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xWindow="0" yWindow="0" windowWidth="28800" windowHeight="11685" activeTab="1"/>
  </bookViews>
  <sheets>
    <sheet name="AHV-001" sheetId="1" r:id="rId1"/>
    <sheet name="AHV-002" sheetId="2" r:id="rId2"/>
  </sheets>
  <calcPr calcId="162913"/>
</workbook>
</file>

<file path=xl/calcChain.xml><?xml version="1.0" encoding="utf-8"?>
<calcChain xmlns="http://schemas.openxmlformats.org/spreadsheetml/2006/main">
  <c r="E18" i="2" l="1"/>
  <c r="F18" i="2"/>
  <c r="G18" i="2"/>
  <c r="H18" i="2"/>
  <c r="I18" i="2"/>
  <c r="J18" i="2"/>
  <c r="K18" i="2"/>
  <c r="L18" i="2"/>
  <c r="D18" i="2"/>
  <c r="E15" i="2"/>
  <c r="F15" i="2"/>
  <c r="G15" i="2"/>
  <c r="H15" i="2"/>
  <c r="I15" i="2"/>
  <c r="J15" i="2"/>
  <c r="K15" i="2"/>
  <c r="L15" i="2"/>
  <c r="D15" i="2"/>
  <c r="E14" i="2"/>
  <c r="F14" i="2"/>
  <c r="G14" i="2"/>
  <c r="H14" i="2"/>
  <c r="I14" i="2"/>
  <c r="J14" i="2"/>
  <c r="K14" i="2"/>
  <c r="L14" i="2"/>
  <c r="D14" i="2"/>
  <c r="E7" i="2"/>
  <c r="H7" i="2"/>
  <c r="L7" i="2"/>
  <c r="D7" i="2"/>
  <c r="E6" i="2"/>
  <c r="F6" i="2"/>
  <c r="F7" i="2" s="1"/>
  <c r="G6" i="2"/>
  <c r="G7" i="2" s="1"/>
  <c r="H6" i="2"/>
  <c r="I6" i="2"/>
  <c r="I7" i="2" s="1"/>
  <c r="J6" i="2"/>
  <c r="J7" i="2" s="1"/>
  <c r="K6" i="2"/>
  <c r="K7" i="2" s="1"/>
  <c r="L6" i="2"/>
  <c r="D6" i="2"/>
  <c r="E10" i="1" l="1"/>
  <c r="E11" i="1" s="1"/>
  <c r="F10" i="1"/>
  <c r="F11" i="1" s="1"/>
  <c r="G10" i="1"/>
  <c r="G11" i="1" s="1"/>
  <c r="H10" i="1"/>
  <c r="H11" i="1" s="1"/>
  <c r="I10" i="1"/>
  <c r="I11" i="1" s="1"/>
  <c r="J10" i="1"/>
  <c r="J11" i="1" s="1"/>
  <c r="K10" i="1"/>
  <c r="K11" i="1" s="1"/>
  <c r="L10" i="1"/>
  <c r="L11" i="1" s="1"/>
  <c r="D10" i="1"/>
  <c r="D11" i="1" s="1"/>
  <c r="E6" i="1" l="1"/>
  <c r="E7" i="1" s="1"/>
  <c r="F6" i="1"/>
  <c r="F7" i="1" s="1"/>
  <c r="G6" i="1"/>
  <c r="G7" i="1" s="1"/>
  <c r="H6" i="1"/>
  <c r="H7" i="1" s="1"/>
  <c r="I6" i="1"/>
  <c r="I7" i="1" s="1"/>
  <c r="J6" i="1"/>
  <c r="J7" i="1" s="1"/>
  <c r="K6" i="1"/>
  <c r="K7" i="1" s="1"/>
  <c r="L6" i="1"/>
  <c r="L7" i="1" s="1"/>
  <c r="D6" i="1"/>
  <c r="D7" i="1" s="1"/>
</calcChain>
</file>

<file path=xl/sharedStrings.xml><?xml version="1.0" encoding="utf-8"?>
<sst xmlns="http://schemas.openxmlformats.org/spreadsheetml/2006/main" count="67" uniqueCount="15">
  <si>
    <t>Data</t>
    <phoneticPr fontId="1"/>
  </si>
  <si>
    <t>Output</t>
    <phoneticPr fontId="1"/>
  </si>
  <si>
    <t>Manual</t>
    <phoneticPr fontId="1"/>
  </si>
  <si>
    <t>MMS</t>
    <phoneticPr fontId="1"/>
  </si>
  <si>
    <t>Cycle time</t>
    <phoneticPr fontId="1"/>
  </si>
  <si>
    <t>Diff %</t>
    <phoneticPr fontId="1"/>
  </si>
  <si>
    <t>Diff Qty</t>
    <phoneticPr fontId="1"/>
  </si>
  <si>
    <t>Item</t>
    <phoneticPr fontId="1"/>
  </si>
  <si>
    <t>AHV-01</t>
    <phoneticPr fontId="1"/>
  </si>
  <si>
    <t>Availability</t>
  </si>
  <si>
    <t>Perfornamce</t>
  </si>
  <si>
    <t>Quality</t>
  </si>
  <si>
    <t>OEE</t>
  </si>
  <si>
    <t>AHV-02</t>
  </si>
  <si>
    <t>The clicking machine's status does not match its actual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</si>
</sst>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Tahoma"/>
      <family val="2"/>
      <charset val="128"/>
      <scheme val="minor"/>
    </font>
    <font>
      <sz val="6"/>
      <name val="Tahoma"/>
      <family val="2"/>
      <charset val="128"/>
      <scheme val="minor"/>
    </font>
    <font>
      <b/>
      <sz val="11"/>
      <color theme="1"/>
      <name val="Tahoma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16" fontId="0" fillId="0" borderId="2" xfId="0" applyNumberFormat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7"/>
  <sheetViews>
    <sheetView workbookViewId="0">
      <selection activeCell="F12" sqref="F12"/>
    </sheetView>
  </sheetViews>
  <sheetFormatPr defaultRowHeight="14.25" x14ac:dyDescent="0.2"/>
  <cols>
    <col min="2" max="2" width="16.75" customWidth="1"/>
    <col min="3" max="3" width="16.375" customWidth="1"/>
    <col min="4" max="4" width="13.875" customWidth="1"/>
    <col min="5" max="6" width="12.5" customWidth="1"/>
    <col min="7" max="7" width="16.375" customWidth="1"/>
    <col min="8" max="12" width="10.625" customWidth="1"/>
  </cols>
  <sheetData>
    <row r="2" spans="2:12" ht="30" customHeight="1" x14ac:dyDescent="0.2">
      <c r="B2" s="6" t="s">
        <v>8</v>
      </c>
    </row>
    <row r="3" spans="2:12" ht="15" thickBot="1" x14ac:dyDescent="0.25">
      <c r="B3" s="3" t="s">
        <v>0</v>
      </c>
      <c r="C3" s="4" t="s">
        <v>7</v>
      </c>
      <c r="D3" s="5">
        <v>46072</v>
      </c>
      <c r="E3" s="5">
        <v>46073</v>
      </c>
      <c r="F3" s="5">
        <v>46074</v>
      </c>
      <c r="G3" s="5">
        <v>46076</v>
      </c>
      <c r="H3" s="5">
        <v>46077</v>
      </c>
      <c r="I3" s="5">
        <v>46078</v>
      </c>
      <c r="J3" s="5">
        <v>46079</v>
      </c>
      <c r="K3" s="5">
        <v>46080</v>
      </c>
      <c r="L3" s="5">
        <v>46081</v>
      </c>
    </row>
    <row r="4" spans="2:12" ht="15" thickTop="1" x14ac:dyDescent="0.2">
      <c r="B4" s="7" t="s">
        <v>1</v>
      </c>
      <c r="C4" s="2" t="s">
        <v>2</v>
      </c>
      <c r="D4" s="2">
        <v>17904</v>
      </c>
      <c r="E4" s="2">
        <v>17399</v>
      </c>
      <c r="F4" s="2">
        <v>17912</v>
      </c>
      <c r="G4" s="2">
        <v>14832</v>
      </c>
      <c r="H4" s="2">
        <v>15350</v>
      </c>
      <c r="I4" s="2">
        <v>18419</v>
      </c>
      <c r="J4" s="2">
        <v>13300</v>
      </c>
      <c r="K4" s="2">
        <v>17909</v>
      </c>
      <c r="L4" s="2"/>
    </row>
    <row r="5" spans="2:12" x14ac:dyDescent="0.2">
      <c r="B5" s="8"/>
      <c r="C5" s="1" t="s">
        <v>3</v>
      </c>
      <c r="D5" s="2">
        <v>17324</v>
      </c>
      <c r="E5" s="2">
        <v>17141</v>
      </c>
      <c r="F5" s="2">
        <v>17656</v>
      </c>
      <c r="G5" s="2">
        <v>14538</v>
      </c>
      <c r="H5" s="2">
        <v>15210</v>
      </c>
      <c r="I5" s="2">
        <v>18013</v>
      </c>
      <c r="J5" s="2">
        <v>13688</v>
      </c>
      <c r="K5" s="1">
        <v>17746</v>
      </c>
      <c r="L5" s="1"/>
    </row>
    <row r="6" spans="2:12" x14ac:dyDescent="0.2">
      <c r="B6" s="8"/>
      <c r="C6" s="1" t="s">
        <v>6</v>
      </c>
      <c r="D6" s="1">
        <f>ABS(D5-D4)</f>
        <v>580</v>
      </c>
      <c r="E6" s="1">
        <f t="shared" ref="E6:L6" si="0">ABS(E5-E4)</f>
        <v>258</v>
      </c>
      <c r="F6" s="1">
        <f t="shared" si="0"/>
        <v>256</v>
      </c>
      <c r="G6" s="1">
        <f t="shared" si="0"/>
        <v>294</v>
      </c>
      <c r="H6" s="1">
        <f t="shared" si="0"/>
        <v>140</v>
      </c>
      <c r="I6" s="1">
        <f t="shared" si="0"/>
        <v>406</v>
      </c>
      <c r="J6" s="1">
        <f t="shared" si="0"/>
        <v>388</v>
      </c>
      <c r="K6" s="1">
        <f t="shared" si="0"/>
        <v>163</v>
      </c>
      <c r="L6" s="1">
        <f t="shared" si="0"/>
        <v>0</v>
      </c>
    </row>
    <row r="7" spans="2:12" x14ac:dyDescent="0.2">
      <c r="B7" s="8"/>
      <c r="C7" s="1" t="s">
        <v>5</v>
      </c>
      <c r="D7" s="1">
        <f>D6*100/D4</f>
        <v>3.2394995531724753</v>
      </c>
      <c r="E7" s="1">
        <f t="shared" ref="E7:L7" si="1">E6*100/E4</f>
        <v>1.482843841600092</v>
      </c>
      <c r="F7" s="1">
        <f t="shared" si="1"/>
        <v>1.4292094685127288</v>
      </c>
      <c r="G7" s="1">
        <f t="shared" si="1"/>
        <v>1.9822006472491909</v>
      </c>
      <c r="H7" s="1">
        <f t="shared" si="1"/>
        <v>0.91205211726384361</v>
      </c>
      <c r="I7" s="1">
        <f t="shared" si="1"/>
        <v>2.2042456159400619</v>
      </c>
      <c r="J7" s="1">
        <f t="shared" si="1"/>
        <v>2.9172932330827068</v>
      </c>
      <c r="K7" s="1">
        <f t="shared" si="1"/>
        <v>0.91015690434976826</v>
      </c>
      <c r="L7" s="1" t="e">
        <f t="shared" si="1"/>
        <v>#DIV/0!</v>
      </c>
    </row>
    <row r="8" spans="2:12" x14ac:dyDescent="0.2">
      <c r="B8" s="8" t="s">
        <v>4</v>
      </c>
      <c r="C8" s="1" t="s">
        <v>2</v>
      </c>
      <c r="D8" s="1"/>
      <c r="E8" s="1"/>
      <c r="F8" s="1"/>
      <c r="G8" s="1"/>
      <c r="H8" s="1"/>
      <c r="I8" s="1"/>
      <c r="J8" s="1"/>
      <c r="K8" s="1"/>
      <c r="L8" s="1"/>
    </row>
    <row r="9" spans="2:12" x14ac:dyDescent="0.2">
      <c r="B9" s="8"/>
      <c r="C9" s="1" t="s">
        <v>3</v>
      </c>
      <c r="D9" s="1">
        <v>4.38</v>
      </c>
      <c r="E9" s="1">
        <v>4.37</v>
      </c>
      <c r="F9" s="1">
        <v>4.3499999999999996</v>
      </c>
      <c r="G9" s="1">
        <v>4.37</v>
      </c>
      <c r="H9" s="1">
        <v>4.37</v>
      </c>
      <c r="I9" s="1">
        <v>4.3899999999999997</v>
      </c>
      <c r="J9" s="1">
        <v>4.38</v>
      </c>
      <c r="K9" s="1">
        <v>4.41</v>
      </c>
      <c r="L9" s="1">
        <v>4.41</v>
      </c>
    </row>
    <row r="10" spans="2:12" x14ac:dyDescent="0.2">
      <c r="B10" s="8"/>
      <c r="C10" s="1" t="s">
        <v>6</v>
      </c>
      <c r="D10" s="1">
        <f>ABS(D9-D8)</f>
        <v>4.38</v>
      </c>
      <c r="E10" s="1">
        <f t="shared" ref="E10:L10" si="2">ABS(E9-E8)</f>
        <v>4.37</v>
      </c>
      <c r="F10" s="1">
        <f t="shared" si="2"/>
        <v>4.3499999999999996</v>
      </c>
      <c r="G10" s="1">
        <f t="shared" si="2"/>
        <v>4.37</v>
      </c>
      <c r="H10" s="1">
        <f t="shared" si="2"/>
        <v>4.37</v>
      </c>
      <c r="I10" s="1">
        <f t="shared" si="2"/>
        <v>4.3899999999999997</v>
      </c>
      <c r="J10" s="1">
        <f t="shared" si="2"/>
        <v>4.38</v>
      </c>
      <c r="K10" s="1">
        <f t="shared" si="2"/>
        <v>4.41</v>
      </c>
      <c r="L10" s="1">
        <f t="shared" si="2"/>
        <v>4.41</v>
      </c>
    </row>
    <row r="11" spans="2:12" x14ac:dyDescent="0.2">
      <c r="B11" s="8"/>
      <c r="C11" s="1" t="s">
        <v>5</v>
      </c>
      <c r="D11" s="1" t="e">
        <f>D10*100/D8</f>
        <v>#DIV/0!</v>
      </c>
      <c r="E11" s="1" t="e">
        <f t="shared" ref="E11:L11" si="3">E10*100/E8</f>
        <v>#DIV/0!</v>
      </c>
      <c r="F11" s="1" t="e">
        <f t="shared" si="3"/>
        <v>#DIV/0!</v>
      </c>
      <c r="G11" s="1" t="e">
        <f t="shared" si="3"/>
        <v>#DIV/0!</v>
      </c>
      <c r="H11" s="1" t="e">
        <f t="shared" si="3"/>
        <v>#DIV/0!</v>
      </c>
      <c r="I11" s="1" t="e">
        <f t="shared" si="3"/>
        <v>#DIV/0!</v>
      </c>
      <c r="J11" s="1" t="e">
        <f t="shared" si="3"/>
        <v>#DIV/0!</v>
      </c>
      <c r="K11" s="1" t="e">
        <f t="shared" si="3"/>
        <v>#DIV/0!</v>
      </c>
      <c r="L11" s="1" t="e">
        <f t="shared" si="3"/>
        <v>#DIV/0!</v>
      </c>
    </row>
    <row r="12" spans="2:12" x14ac:dyDescent="0.2">
      <c r="B12" s="8" t="s">
        <v>9</v>
      </c>
      <c r="C12" s="1" t="s">
        <v>2</v>
      </c>
      <c r="D12" s="1">
        <v>86.3</v>
      </c>
      <c r="E12" s="1">
        <v>85.2</v>
      </c>
      <c r="F12" s="1">
        <v>88.4</v>
      </c>
      <c r="G12" s="1">
        <v>70.8</v>
      </c>
      <c r="H12" s="1">
        <v>75</v>
      </c>
      <c r="I12" s="1">
        <v>89.3</v>
      </c>
      <c r="J12" s="1">
        <v>66.2</v>
      </c>
      <c r="K12" s="1">
        <v>86.5</v>
      </c>
      <c r="L12" s="1"/>
    </row>
    <row r="13" spans="2:12" x14ac:dyDescent="0.2">
      <c r="B13" s="8"/>
      <c r="C13" s="1" t="s">
        <v>3</v>
      </c>
      <c r="D13" s="1"/>
      <c r="E13" s="1"/>
      <c r="F13" s="1"/>
      <c r="G13" s="1"/>
      <c r="H13" s="1"/>
      <c r="I13" s="1"/>
      <c r="J13" s="1"/>
      <c r="K13" s="1"/>
      <c r="L13" s="1"/>
    </row>
    <row r="14" spans="2:12" x14ac:dyDescent="0.2">
      <c r="B14" s="8"/>
      <c r="C14" s="1" t="s">
        <v>6</v>
      </c>
      <c r="D14" s="1"/>
      <c r="E14" s="1"/>
      <c r="F14" s="1"/>
      <c r="G14" s="1"/>
      <c r="H14" s="1"/>
      <c r="I14" s="1"/>
      <c r="J14" s="1"/>
      <c r="K14" s="1"/>
      <c r="L14" s="1"/>
    </row>
    <row r="15" spans="2:12" x14ac:dyDescent="0.2">
      <c r="B15" s="8"/>
      <c r="C15" s="1" t="s">
        <v>5</v>
      </c>
      <c r="D15" s="1"/>
      <c r="E15" s="1"/>
      <c r="F15" s="1"/>
      <c r="G15" s="1"/>
      <c r="H15" s="1"/>
      <c r="I15" s="1"/>
      <c r="J15" s="1"/>
      <c r="K15" s="1"/>
      <c r="L15" s="1"/>
    </row>
    <row r="16" spans="2:12" x14ac:dyDescent="0.2">
      <c r="B16" s="8" t="s">
        <v>10</v>
      </c>
      <c r="C16" s="1" t="s">
        <v>2</v>
      </c>
      <c r="D16" s="1"/>
      <c r="E16" s="1"/>
      <c r="F16" s="1"/>
      <c r="G16" s="1"/>
      <c r="H16" s="1"/>
      <c r="I16" s="1"/>
      <c r="J16" s="1"/>
      <c r="K16" s="1"/>
      <c r="L16" s="1"/>
    </row>
    <row r="17" spans="2:12" x14ac:dyDescent="0.2">
      <c r="B17" s="8"/>
      <c r="C17" s="1" t="s">
        <v>3</v>
      </c>
      <c r="D17" s="1"/>
      <c r="E17" s="1"/>
      <c r="F17" s="1"/>
      <c r="G17" s="1"/>
      <c r="H17" s="1"/>
      <c r="I17" s="1"/>
      <c r="J17" s="1"/>
      <c r="K17" s="1"/>
      <c r="L17" s="1"/>
    </row>
    <row r="18" spans="2:12" x14ac:dyDescent="0.2">
      <c r="B18" s="8"/>
      <c r="C18" s="1" t="s">
        <v>6</v>
      </c>
      <c r="D18" s="1"/>
      <c r="E18" s="1"/>
      <c r="F18" s="1"/>
      <c r="G18" s="1"/>
      <c r="H18" s="1"/>
      <c r="I18" s="1"/>
      <c r="J18" s="1"/>
      <c r="K18" s="1"/>
      <c r="L18" s="1"/>
    </row>
    <row r="19" spans="2:12" x14ac:dyDescent="0.2">
      <c r="B19" s="8"/>
      <c r="C19" s="1" t="s">
        <v>5</v>
      </c>
      <c r="D19" s="1"/>
      <c r="E19" s="1"/>
      <c r="F19" s="1"/>
      <c r="G19" s="1"/>
      <c r="H19" s="1"/>
      <c r="I19" s="1"/>
      <c r="J19" s="1"/>
      <c r="K19" s="1"/>
      <c r="L19" s="1"/>
    </row>
    <row r="20" spans="2:12" x14ac:dyDescent="0.2">
      <c r="B20" s="8" t="s">
        <v>11</v>
      </c>
      <c r="C20" s="1" t="s">
        <v>2</v>
      </c>
      <c r="D20" s="1"/>
      <c r="E20" s="1"/>
      <c r="F20" s="1"/>
      <c r="G20" s="1"/>
      <c r="H20" s="1"/>
      <c r="I20" s="1"/>
      <c r="J20" s="1"/>
      <c r="K20" s="1"/>
      <c r="L20" s="1"/>
    </row>
    <row r="21" spans="2:12" x14ac:dyDescent="0.2">
      <c r="B21" s="8"/>
      <c r="C21" s="1" t="s">
        <v>3</v>
      </c>
      <c r="D21" s="1"/>
      <c r="E21" s="1"/>
      <c r="F21" s="1"/>
      <c r="G21" s="1"/>
      <c r="H21" s="1"/>
      <c r="I21" s="1"/>
      <c r="J21" s="1"/>
      <c r="K21" s="1"/>
      <c r="L21" s="1"/>
    </row>
    <row r="22" spans="2:12" x14ac:dyDescent="0.2">
      <c r="B22" s="8"/>
      <c r="C22" s="1" t="s">
        <v>6</v>
      </c>
      <c r="D22" s="1"/>
      <c r="E22" s="1"/>
      <c r="F22" s="1"/>
      <c r="G22" s="1"/>
      <c r="H22" s="1"/>
      <c r="I22" s="1"/>
      <c r="J22" s="1"/>
      <c r="K22" s="1"/>
      <c r="L22" s="1"/>
    </row>
    <row r="23" spans="2:12" x14ac:dyDescent="0.2">
      <c r="B23" s="8"/>
      <c r="C23" s="1" t="s">
        <v>5</v>
      </c>
      <c r="D23" s="1"/>
      <c r="E23" s="1"/>
      <c r="F23" s="1"/>
      <c r="G23" s="1"/>
      <c r="H23" s="1"/>
      <c r="I23" s="1"/>
      <c r="J23" s="1"/>
      <c r="K23" s="1"/>
      <c r="L23" s="1"/>
    </row>
    <row r="24" spans="2:12" x14ac:dyDescent="0.2">
      <c r="B24" s="8" t="s">
        <v>12</v>
      </c>
      <c r="C24" s="1" t="s">
        <v>2</v>
      </c>
      <c r="D24" s="1"/>
      <c r="E24" s="1"/>
      <c r="F24" s="1"/>
      <c r="G24" s="1"/>
      <c r="H24" s="1"/>
      <c r="I24" s="1"/>
      <c r="J24" s="1"/>
      <c r="K24" s="1"/>
      <c r="L24" s="1"/>
    </row>
    <row r="25" spans="2:12" x14ac:dyDescent="0.2">
      <c r="B25" s="8"/>
      <c r="C25" s="1" t="s">
        <v>3</v>
      </c>
      <c r="D25" s="1"/>
      <c r="E25" s="1"/>
      <c r="F25" s="1"/>
      <c r="G25" s="1"/>
      <c r="H25" s="1"/>
      <c r="I25" s="1"/>
      <c r="J25" s="1"/>
      <c r="K25" s="1"/>
      <c r="L25" s="1"/>
    </row>
    <row r="26" spans="2:12" x14ac:dyDescent="0.2">
      <c r="B26" s="8"/>
      <c r="C26" s="1" t="s">
        <v>6</v>
      </c>
      <c r="D26" s="1"/>
      <c r="E26" s="1"/>
      <c r="F26" s="1"/>
      <c r="G26" s="1"/>
      <c r="H26" s="1"/>
      <c r="I26" s="1"/>
      <c r="J26" s="1"/>
      <c r="K26" s="1"/>
      <c r="L26" s="1"/>
    </row>
    <row r="27" spans="2:12" x14ac:dyDescent="0.2">
      <c r="B27" s="8"/>
      <c r="C27" s="1" t="s">
        <v>5</v>
      </c>
      <c r="D27" s="1"/>
      <c r="E27" s="1"/>
      <c r="F27" s="1"/>
      <c r="G27" s="1"/>
      <c r="H27" s="1"/>
      <c r="I27" s="1"/>
      <c r="J27" s="1"/>
      <c r="K27" s="1"/>
      <c r="L27" s="1"/>
    </row>
  </sheetData>
  <mergeCells count="6">
    <mergeCell ref="B20:B23"/>
    <mergeCell ref="B24:B27"/>
    <mergeCell ref="B4:B7"/>
    <mergeCell ref="B8:B11"/>
    <mergeCell ref="B12:B15"/>
    <mergeCell ref="B16:B19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7"/>
  <sheetViews>
    <sheetView tabSelected="1" workbookViewId="0">
      <selection activeCell="E29" sqref="E29"/>
    </sheetView>
  </sheetViews>
  <sheetFormatPr defaultRowHeight="14.25" x14ac:dyDescent="0.2"/>
  <cols>
    <col min="2" max="2" width="16.75" customWidth="1"/>
    <col min="3" max="3" width="16.375" customWidth="1"/>
    <col min="4" max="4" width="13.875" customWidth="1"/>
    <col min="5" max="6" width="12.5" customWidth="1"/>
    <col min="7" max="7" width="16.375" customWidth="1"/>
    <col min="8" max="12" width="10.625" customWidth="1"/>
  </cols>
  <sheetData>
    <row r="2" spans="2:14" ht="30" customHeight="1" x14ac:dyDescent="0.2">
      <c r="B2" s="6" t="s">
        <v>13</v>
      </c>
    </row>
    <row r="3" spans="2:14" ht="15" thickBot="1" x14ac:dyDescent="0.25">
      <c r="B3" s="3" t="s">
        <v>0</v>
      </c>
      <c r="C3" s="4" t="s">
        <v>7</v>
      </c>
      <c r="D3" s="5">
        <v>46072</v>
      </c>
      <c r="E3" s="5">
        <v>46073</v>
      </c>
      <c r="F3" s="5">
        <v>46074</v>
      </c>
      <c r="G3" s="5">
        <v>46076</v>
      </c>
      <c r="H3" s="5">
        <v>46077</v>
      </c>
      <c r="I3" s="5">
        <v>46078</v>
      </c>
      <c r="J3" s="5">
        <v>46079</v>
      </c>
      <c r="K3" s="5">
        <v>46080</v>
      </c>
      <c r="L3" s="5">
        <v>46081</v>
      </c>
    </row>
    <row r="4" spans="2:14" ht="15" thickTop="1" x14ac:dyDescent="0.2">
      <c r="B4" s="7" t="s">
        <v>1</v>
      </c>
      <c r="C4" s="2" t="s">
        <v>2</v>
      </c>
      <c r="D4" s="2">
        <v>19455</v>
      </c>
      <c r="E4" s="2">
        <v>18416</v>
      </c>
      <c r="F4" s="2">
        <v>18932</v>
      </c>
      <c r="G4" s="2">
        <v>14839</v>
      </c>
      <c r="H4" s="2">
        <v>16371</v>
      </c>
      <c r="I4" s="2">
        <v>19446</v>
      </c>
      <c r="J4" s="2">
        <v>15861</v>
      </c>
      <c r="K4" s="2">
        <v>17392</v>
      </c>
      <c r="L4" s="2"/>
    </row>
    <row r="5" spans="2:14" x14ac:dyDescent="0.2">
      <c r="B5" s="8"/>
      <c r="C5" s="1" t="s">
        <v>3</v>
      </c>
      <c r="D5" s="2">
        <v>19671</v>
      </c>
      <c r="E5" s="2">
        <v>18179</v>
      </c>
      <c r="F5" s="2">
        <v>18682</v>
      </c>
      <c r="G5" s="2">
        <v>14733</v>
      </c>
      <c r="H5" s="2">
        <v>16372</v>
      </c>
      <c r="I5" s="2">
        <v>19405</v>
      </c>
      <c r="J5" s="2">
        <v>15283</v>
      </c>
      <c r="K5" s="1">
        <v>17194</v>
      </c>
      <c r="L5" s="1"/>
    </row>
    <row r="6" spans="2:14" x14ac:dyDescent="0.2">
      <c r="B6" s="8"/>
      <c r="C6" s="1" t="s">
        <v>6</v>
      </c>
      <c r="D6" s="1">
        <f>ABS(D4-D5)</f>
        <v>216</v>
      </c>
      <c r="E6" s="1">
        <f t="shared" ref="E6:L6" si="0">ABS(E4-E5)</f>
        <v>237</v>
      </c>
      <c r="F6" s="1">
        <f t="shared" si="0"/>
        <v>250</v>
      </c>
      <c r="G6" s="1">
        <f t="shared" si="0"/>
        <v>106</v>
      </c>
      <c r="H6" s="1">
        <f t="shared" si="0"/>
        <v>1</v>
      </c>
      <c r="I6" s="1">
        <f t="shared" si="0"/>
        <v>41</v>
      </c>
      <c r="J6" s="1">
        <f t="shared" si="0"/>
        <v>578</v>
      </c>
      <c r="K6" s="1">
        <f t="shared" si="0"/>
        <v>198</v>
      </c>
      <c r="L6" s="1">
        <f t="shared" si="0"/>
        <v>0</v>
      </c>
    </row>
    <row r="7" spans="2:14" x14ac:dyDescent="0.2">
      <c r="B7" s="8"/>
      <c r="C7" s="1" t="s">
        <v>5</v>
      </c>
      <c r="D7" s="1">
        <f>D6*100/D4</f>
        <v>1.110254433307633</v>
      </c>
      <c r="E7" s="1">
        <f t="shared" ref="E7:L7" si="1">E6*100/E4</f>
        <v>1.2869244135534319</v>
      </c>
      <c r="F7" s="1">
        <f t="shared" si="1"/>
        <v>1.3205155292626241</v>
      </c>
      <c r="G7" s="1">
        <f t="shared" si="1"/>
        <v>0.71433384998989147</v>
      </c>
      <c r="H7" s="1">
        <f t="shared" si="1"/>
        <v>6.1083623480544863E-3</v>
      </c>
      <c r="I7" s="1">
        <f t="shared" si="1"/>
        <v>0.21084027563509206</v>
      </c>
      <c r="J7" s="1">
        <f t="shared" si="1"/>
        <v>3.6441586280814575</v>
      </c>
      <c r="K7" s="1">
        <f t="shared" si="1"/>
        <v>1.1384544618215271</v>
      </c>
      <c r="L7" s="1" t="e">
        <f t="shared" si="1"/>
        <v>#DIV/0!</v>
      </c>
    </row>
    <row r="8" spans="2:14" x14ac:dyDescent="0.2">
      <c r="B8" s="8" t="s">
        <v>4</v>
      </c>
      <c r="C8" s="1" t="s">
        <v>2</v>
      </c>
      <c r="D8" s="1"/>
      <c r="E8" s="1"/>
      <c r="F8" s="1"/>
      <c r="G8" s="1"/>
      <c r="H8" s="1"/>
      <c r="I8" s="1"/>
      <c r="J8" s="1"/>
      <c r="K8" s="1"/>
      <c r="L8" s="1"/>
    </row>
    <row r="9" spans="2:14" x14ac:dyDescent="0.2">
      <c r="B9" s="8"/>
      <c r="C9" s="1" t="s">
        <v>3</v>
      </c>
      <c r="D9" s="1">
        <v>4.24</v>
      </c>
      <c r="E9" s="1">
        <v>4.2699999999999996</v>
      </c>
      <c r="F9" s="1">
        <v>4.3</v>
      </c>
      <c r="G9" s="1">
        <v>4.24</v>
      </c>
      <c r="H9" s="1">
        <v>4.24</v>
      </c>
      <c r="I9" s="1">
        <v>4.26</v>
      </c>
      <c r="J9" s="1">
        <v>4.26</v>
      </c>
      <c r="K9" s="1">
        <v>4.24</v>
      </c>
      <c r="L9" s="1"/>
    </row>
    <row r="10" spans="2:14" x14ac:dyDescent="0.2">
      <c r="B10" s="8"/>
      <c r="C10" s="1" t="s">
        <v>6</v>
      </c>
      <c r="D10" s="1"/>
      <c r="E10" s="1"/>
      <c r="F10" s="1"/>
      <c r="G10" s="1"/>
      <c r="H10" s="1"/>
      <c r="I10" s="1"/>
      <c r="J10" s="1"/>
      <c r="K10" s="1"/>
      <c r="L10" s="1"/>
    </row>
    <row r="11" spans="2:14" x14ac:dyDescent="0.2">
      <c r="B11" s="8"/>
      <c r="C11" s="1" t="s">
        <v>5</v>
      </c>
      <c r="D11" s="1"/>
      <c r="E11" s="1"/>
      <c r="F11" s="1"/>
      <c r="G11" s="1"/>
      <c r="H11" s="1"/>
      <c r="I11" s="1"/>
      <c r="J11" s="1"/>
      <c r="K11" s="1"/>
      <c r="L11" s="1"/>
    </row>
    <row r="12" spans="2:14" x14ac:dyDescent="0.2">
      <c r="B12" s="8" t="s">
        <v>9</v>
      </c>
      <c r="C12" s="1" t="s">
        <v>2</v>
      </c>
      <c r="D12" s="1">
        <v>92.1</v>
      </c>
      <c r="E12" s="1">
        <v>85.2</v>
      </c>
      <c r="F12" s="1">
        <v>88.9</v>
      </c>
      <c r="G12" s="1">
        <v>69.5</v>
      </c>
      <c r="H12" s="1">
        <v>79.7</v>
      </c>
      <c r="I12" s="1">
        <v>92.1</v>
      </c>
      <c r="J12" s="1">
        <v>65.400000000000006</v>
      </c>
      <c r="K12" s="1">
        <v>83.2</v>
      </c>
      <c r="L12" s="1"/>
    </row>
    <row r="13" spans="2:14" x14ac:dyDescent="0.2">
      <c r="B13" s="8"/>
      <c r="C13" s="1" t="s">
        <v>3</v>
      </c>
      <c r="D13" s="1"/>
      <c r="E13" s="1"/>
      <c r="F13" s="1"/>
      <c r="G13" s="1">
        <v>66.739999999999995</v>
      </c>
      <c r="H13" s="1">
        <v>80.959999999999994</v>
      </c>
      <c r="I13" s="1">
        <v>95.83</v>
      </c>
      <c r="J13" s="1">
        <v>78.39</v>
      </c>
      <c r="K13" s="1">
        <v>53.8</v>
      </c>
      <c r="L13" s="1"/>
    </row>
    <row r="14" spans="2:14" x14ac:dyDescent="0.2">
      <c r="B14" s="8"/>
      <c r="C14" s="1" t="s">
        <v>6</v>
      </c>
      <c r="D14" s="1">
        <f>ABS(D12-D13)</f>
        <v>92.1</v>
      </c>
      <c r="E14" s="1">
        <f t="shared" ref="E14:L14" si="2">ABS(E12-E13)</f>
        <v>85.2</v>
      </c>
      <c r="F14" s="1">
        <f t="shared" si="2"/>
        <v>88.9</v>
      </c>
      <c r="G14" s="1">
        <f t="shared" si="2"/>
        <v>2.7600000000000051</v>
      </c>
      <c r="H14" s="1">
        <f t="shared" si="2"/>
        <v>1.2599999999999909</v>
      </c>
      <c r="I14" s="1">
        <f t="shared" si="2"/>
        <v>3.730000000000004</v>
      </c>
      <c r="J14" s="1">
        <f t="shared" si="2"/>
        <v>12.989999999999995</v>
      </c>
      <c r="K14" s="1">
        <f t="shared" si="2"/>
        <v>29.400000000000006</v>
      </c>
      <c r="L14" s="1">
        <f t="shared" si="2"/>
        <v>0</v>
      </c>
    </row>
    <row r="15" spans="2:14" x14ac:dyDescent="0.2">
      <c r="B15" s="8"/>
      <c r="C15" s="1" t="s">
        <v>5</v>
      </c>
      <c r="D15" s="1">
        <f>(D14*100/D12)</f>
        <v>100</v>
      </c>
      <c r="E15" s="1">
        <f t="shared" ref="E15:L15" si="3">(E14*100/E12)</f>
        <v>100</v>
      </c>
      <c r="F15" s="1">
        <f t="shared" si="3"/>
        <v>100</v>
      </c>
      <c r="G15" s="1">
        <f t="shared" si="3"/>
        <v>3.9712230215827411</v>
      </c>
      <c r="H15" s="1">
        <f t="shared" si="3"/>
        <v>1.5809284818067639</v>
      </c>
      <c r="I15" s="1">
        <f t="shared" si="3"/>
        <v>4.0499457111835007</v>
      </c>
      <c r="J15" s="9">
        <f t="shared" si="3"/>
        <v>19.862385321100909</v>
      </c>
      <c r="K15" s="9">
        <f t="shared" si="3"/>
        <v>35.336538461538467</v>
      </c>
      <c r="L15" s="1" t="e">
        <f t="shared" si="3"/>
        <v>#DIV/0!</v>
      </c>
      <c r="N15" t="s">
        <v>14</v>
      </c>
    </row>
    <row r="16" spans="2:14" x14ac:dyDescent="0.2">
      <c r="B16" s="8" t="s">
        <v>10</v>
      </c>
      <c r="C16" s="1" t="s">
        <v>2</v>
      </c>
      <c r="D16" s="1">
        <v>105.1</v>
      </c>
      <c r="E16" s="1">
        <v>107.6</v>
      </c>
      <c r="F16" s="1">
        <v>106</v>
      </c>
      <c r="G16" s="1">
        <v>106.2</v>
      </c>
      <c r="H16" s="1">
        <v>102.3</v>
      </c>
      <c r="I16" s="1">
        <v>105.1</v>
      </c>
      <c r="J16" s="1">
        <v>120.7</v>
      </c>
      <c r="K16" s="1">
        <v>104.1</v>
      </c>
      <c r="L16" s="1"/>
    </row>
    <row r="17" spans="2:12" x14ac:dyDescent="0.2">
      <c r="B17" s="8"/>
      <c r="C17" s="1" t="s">
        <v>3</v>
      </c>
      <c r="D17" s="1"/>
      <c r="E17" s="1"/>
      <c r="F17" s="1"/>
      <c r="G17" s="1">
        <v>112.42</v>
      </c>
      <c r="H17" s="1">
        <v>101.01</v>
      </c>
      <c r="I17" s="1">
        <v>100.78</v>
      </c>
      <c r="J17" s="1">
        <v>100.93</v>
      </c>
      <c r="K17" s="1">
        <v>159.06</v>
      </c>
      <c r="L17" s="1">
        <v>104.86</v>
      </c>
    </row>
    <row r="18" spans="2:12" x14ac:dyDescent="0.2">
      <c r="B18" s="8"/>
      <c r="C18" s="1" t="s">
        <v>6</v>
      </c>
      <c r="D18" s="1">
        <f>ABS(D16-D17)</f>
        <v>105.1</v>
      </c>
      <c r="E18" s="1">
        <f t="shared" ref="E18:L18" si="4">ABS(E16-E17)</f>
        <v>107.6</v>
      </c>
      <c r="F18" s="1">
        <f t="shared" si="4"/>
        <v>106</v>
      </c>
      <c r="G18" s="9">
        <f t="shared" si="4"/>
        <v>6.2199999999999989</v>
      </c>
      <c r="H18" s="1">
        <f t="shared" si="4"/>
        <v>1.289999999999992</v>
      </c>
      <c r="I18" s="1">
        <f t="shared" si="4"/>
        <v>4.3199999999999932</v>
      </c>
      <c r="J18" s="9">
        <f t="shared" si="4"/>
        <v>19.769999999999996</v>
      </c>
      <c r="K18" s="9">
        <f t="shared" si="4"/>
        <v>54.960000000000008</v>
      </c>
      <c r="L18" s="1">
        <f t="shared" si="4"/>
        <v>104.86</v>
      </c>
    </row>
    <row r="19" spans="2:12" x14ac:dyDescent="0.2">
      <c r="B19" s="8"/>
      <c r="C19" s="1" t="s">
        <v>5</v>
      </c>
      <c r="D19" s="1"/>
      <c r="E19" s="1"/>
      <c r="F19" s="1"/>
      <c r="G19" s="1"/>
      <c r="H19" s="1"/>
      <c r="I19" s="1"/>
      <c r="J19" s="1"/>
      <c r="K19" s="1"/>
      <c r="L19" s="1"/>
    </row>
    <row r="20" spans="2:12" x14ac:dyDescent="0.2">
      <c r="B20" s="8" t="s">
        <v>11</v>
      </c>
      <c r="C20" s="1" t="s">
        <v>2</v>
      </c>
      <c r="D20" s="1"/>
      <c r="E20" s="1"/>
      <c r="F20" s="1"/>
      <c r="G20" s="1"/>
      <c r="H20" s="1"/>
      <c r="I20" s="1"/>
      <c r="J20" s="1"/>
      <c r="K20" s="1"/>
      <c r="L20" s="1"/>
    </row>
    <row r="21" spans="2:12" x14ac:dyDescent="0.2">
      <c r="B21" s="8"/>
      <c r="C21" s="1" t="s">
        <v>3</v>
      </c>
      <c r="D21" s="1"/>
      <c r="E21" s="1"/>
      <c r="F21" s="1"/>
      <c r="G21" s="1"/>
      <c r="H21" s="1"/>
      <c r="I21" s="1"/>
      <c r="J21" s="1"/>
      <c r="K21" s="1"/>
      <c r="L21" s="1"/>
    </row>
    <row r="22" spans="2:12" x14ac:dyDescent="0.2">
      <c r="B22" s="8"/>
      <c r="C22" s="1" t="s">
        <v>6</v>
      </c>
      <c r="D22" s="1"/>
      <c r="E22" s="1"/>
      <c r="F22" s="1"/>
      <c r="G22" s="1"/>
      <c r="H22" s="1"/>
      <c r="I22" s="1"/>
      <c r="J22" s="1"/>
      <c r="K22" s="1"/>
      <c r="L22" s="1"/>
    </row>
    <row r="23" spans="2:12" x14ac:dyDescent="0.2">
      <c r="B23" s="8"/>
      <c r="C23" s="1" t="s">
        <v>5</v>
      </c>
      <c r="D23" s="1"/>
      <c r="E23" s="1"/>
      <c r="F23" s="1"/>
      <c r="G23" s="1"/>
      <c r="H23" s="1"/>
      <c r="I23" s="1"/>
      <c r="J23" s="1"/>
      <c r="K23" s="1"/>
      <c r="L23" s="1"/>
    </row>
    <row r="24" spans="2:12" x14ac:dyDescent="0.2">
      <c r="B24" s="8" t="s">
        <v>12</v>
      </c>
      <c r="C24" s="1" t="s">
        <v>2</v>
      </c>
      <c r="D24" s="1"/>
      <c r="E24" s="1"/>
      <c r="F24" s="1"/>
      <c r="G24" s="1"/>
      <c r="H24" s="1"/>
      <c r="I24" s="1"/>
      <c r="J24" s="1"/>
      <c r="K24" s="1"/>
      <c r="L24" s="1"/>
    </row>
    <row r="25" spans="2:12" x14ac:dyDescent="0.2">
      <c r="B25" s="8"/>
      <c r="C25" s="1" t="s">
        <v>3</v>
      </c>
      <c r="D25" s="1"/>
      <c r="E25" s="1"/>
      <c r="F25" s="1"/>
      <c r="G25" s="1"/>
      <c r="H25" s="1"/>
      <c r="I25" s="1"/>
      <c r="J25" s="1"/>
      <c r="K25" s="1"/>
      <c r="L25" s="1"/>
    </row>
    <row r="26" spans="2:12" x14ac:dyDescent="0.2">
      <c r="B26" s="8"/>
      <c r="C26" s="1" t="s">
        <v>6</v>
      </c>
      <c r="D26" s="1"/>
      <c r="E26" s="1"/>
      <c r="F26" s="1"/>
      <c r="G26" s="1"/>
      <c r="H26" s="1"/>
      <c r="I26" s="1"/>
      <c r="J26" s="1"/>
      <c r="K26" s="1"/>
      <c r="L26" s="1"/>
    </row>
    <row r="27" spans="2:12" x14ac:dyDescent="0.2">
      <c r="B27" s="8"/>
      <c r="C27" s="1" t="s">
        <v>5</v>
      </c>
      <c r="D27" s="1"/>
      <c r="E27" s="1"/>
      <c r="F27" s="1"/>
      <c r="G27" s="1"/>
      <c r="H27" s="1"/>
      <c r="I27" s="1"/>
      <c r="J27" s="1"/>
      <c r="K27" s="1"/>
      <c r="L27" s="1"/>
    </row>
  </sheetData>
  <mergeCells count="6">
    <mergeCell ref="B4:B7"/>
    <mergeCell ref="B8:B11"/>
    <mergeCell ref="B12:B15"/>
    <mergeCell ref="B16:B19"/>
    <mergeCell ref="B20:B23"/>
    <mergeCell ref="B24:B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AHV-001</vt:lpstr>
      <vt:lpstr>AHV-002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nvn1179</dc:creator>
  <cp:lastModifiedBy>bple114</cp:lastModifiedBy>
  <dcterms:created xsi:type="dcterms:W3CDTF">2025-12-16T02:31:09Z</dcterms:created>
  <dcterms:modified xsi:type="dcterms:W3CDTF">2026-03-05T07:22:09Z</dcterms:modified>
</cp:coreProperties>
</file>