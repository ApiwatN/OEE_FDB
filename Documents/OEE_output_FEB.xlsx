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\OEE_FDB\Documents\"/>
    </mc:Choice>
  </mc:AlternateContent>
  <xr:revisionPtr revIDLastSave="0" documentId="13_ncr:1_{64891A32-D33C-4F95-BFD3-9C649119791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OEE AHV" sheetId="4" r:id="rId1"/>
    <sheet name="AHV-01" sheetId="5" r:id="rId2"/>
    <sheet name="AHV-02" sheetId="13" r:id="rId3"/>
    <sheet name="AHV-03" sheetId="14" r:id="rId4"/>
    <sheet name="AHV-04" sheetId="15" r:id="rId5"/>
    <sheet name="AHV-05" sheetId="16" r:id="rId6"/>
    <sheet name="AHV-06" sheetId="17" r:id="rId7"/>
    <sheet name="Downtime record" sheetId="3" r:id="rId8"/>
    <sheet name="EXPLAINTION" sheetId="2" r:id="rId9"/>
  </sheets>
  <externalReferences>
    <externalReference r:id="rId10"/>
    <externalReference r:id="rId11"/>
  </externalReferences>
  <definedNames>
    <definedName name="_xlnm._FilterDatabase" localSheetId="1" hidden="1">'AHV-01'!$A$1:$U$25</definedName>
    <definedName name="_xlnm._FilterDatabase" localSheetId="2" hidden="1">'AHV-02'!$A$1:$U$25</definedName>
    <definedName name="_xlnm._FilterDatabase" localSheetId="3" hidden="1">'AHV-03'!$A$1:$U$25</definedName>
    <definedName name="_xlnm._FilterDatabase" localSheetId="4" hidden="1">'AHV-04'!$A$1:$U$25</definedName>
    <definedName name="_xlnm._FilterDatabase" localSheetId="5" hidden="1">'AHV-05'!$A$1:$U$25</definedName>
    <definedName name="_xlnm._FilterDatabase" localSheetId="6" hidden="1">'AHV-06'!$A$1:$U$25</definedName>
    <definedName name="_xlnm.Print_Area" localSheetId="0">'OEE AHV'!$A$1:$X$144</definedName>
    <definedName name="信号">[1]GRAPH!$I$129:$X$129</definedName>
    <definedName name="機番">[1]GRAPH!$BP$130:$BP$230</definedName>
    <definedName name="稼働">[1]Magnet!$T$24:$T$25</definedName>
    <definedName name="除外除く信号">[1]GRAPH!$AG$130:$AV$130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6" i="4" l="1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G146" i="4"/>
  <c r="Q146" i="4"/>
  <c r="AF146" i="4" s="1"/>
  <c r="R146" i="4"/>
  <c r="I146" i="4" l="1"/>
  <c r="K146" i="4"/>
  <c r="AH146" i="4"/>
  <c r="AG146" i="4"/>
  <c r="S146" i="4"/>
  <c r="W146" i="4" s="1"/>
  <c r="J146" i="4" l="1"/>
  <c r="L146" i="4" s="1"/>
  <c r="M146" i="4" s="1"/>
  <c r="T146" i="4" s="1"/>
  <c r="V146" i="4" s="1"/>
  <c r="U146" i="4" l="1"/>
  <c r="X146" i="4" s="1"/>
  <c r="F580" i="3"/>
  <c r="F577" i="3"/>
  <c r="F564" i="3"/>
  <c r="F565" i="3"/>
  <c r="F566" i="3"/>
  <c r="F412" i="3"/>
  <c r="F413" i="3"/>
  <c r="F213" i="3"/>
  <c r="F99" i="3"/>
  <c r="AL144" i="4" l="1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G3" i="4"/>
  <c r="I3" i="4" s="1"/>
  <c r="Q3" i="4"/>
  <c r="R3" i="4"/>
  <c r="G144" i="4"/>
  <c r="G145" i="4"/>
  <c r="Q144" i="4"/>
  <c r="AF144" i="4" s="1"/>
  <c r="Q145" i="4"/>
  <c r="AF145" i="4" s="1"/>
  <c r="R144" i="4"/>
  <c r="R145" i="4"/>
  <c r="S145" i="4" l="1"/>
  <c r="W145" i="4" s="1"/>
  <c r="AH145" i="4"/>
  <c r="S144" i="4"/>
  <c r="W144" i="4" s="1"/>
  <c r="AG145" i="4"/>
  <c r="J145" i="4" s="1"/>
  <c r="S3" i="4"/>
  <c r="AH144" i="4"/>
  <c r="AG144" i="4"/>
  <c r="K145" i="4"/>
  <c r="K144" i="4"/>
  <c r="I145" i="4"/>
  <c r="I144" i="4"/>
  <c r="L145" i="4" l="1"/>
  <c r="M145" i="4" s="1"/>
  <c r="T145" i="4" s="1"/>
  <c r="V145" i="4" s="1"/>
  <c r="J144" i="4"/>
  <c r="L144" i="4" s="1"/>
  <c r="M144" i="4" s="1"/>
  <c r="U144" i="4" s="1"/>
  <c r="U145" i="4" l="1"/>
  <c r="X145" i="4" s="1"/>
  <c r="T144" i="4"/>
  <c r="V144" i="4" s="1"/>
  <c r="X144" i="4" s="1"/>
  <c r="Q30" i="4"/>
  <c r="F519" i="3" l="1"/>
  <c r="G519" i="3" s="1"/>
  <c r="F518" i="3"/>
  <c r="G518" i="3" s="1"/>
  <c r="F517" i="3"/>
  <c r="G517" i="3" s="1"/>
  <c r="F516" i="3"/>
  <c r="G516" i="3" s="1"/>
  <c r="F515" i="3"/>
  <c r="G515" i="3" s="1"/>
  <c r="F514" i="3"/>
  <c r="G514" i="3" s="1"/>
  <c r="F513" i="3"/>
  <c r="G513" i="3" s="1"/>
  <c r="F512" i="3"/>
  <c r="G512" i="3" s="1"/>
  <c r="F534" i="3" l="1"/>
  <c r="G534" i="3" s="1"/>
  <c r="J534" i="3"/>
  <c r="F535" i="3"/>
  <c r="G535" i="3" s="1"/>
  <c r="J535" i="3"/>
  <c r="F536" i="3"/>
  <c r="G536" i="3" s="1"/>
  <c r="J536" i="3"/>
  <c r="F537" i="3"/>
  <c r="G537" i="3" s="1"/>
  <c r="J537" i="3"/>
  <c r="F538" i="3"/>
  <c r="G538" i="3" s="1"/>
  <c r="J538" i="3"/>
  <c r="F539" i="3"/>
  <c r="G539" i="3" s="1"/>
  <c r="J539" i="3"/>
  <c r="F540" i="3"/>
  <c r="G540" i="3" s="1"/>
  <c r="J540" i="3"/>
  <c r="F541" i="3"/>
  <c r="G541" i="3" s="1"/>
  <c r="J541" i="3"/>
  <c r="F542" i="3"/>
  <c r="G542" i="3" s="1"/>
  <c r="J542" i="3"/>
  <c r="F543" i="3"/>
  <c r="G543" i="3" s="1"/>
  <c r="J543" i="3"/>
  <c r="F544" i="3"/>
  <c r="G544" i="3" s="1"/>
  <c r="J544" i="3"/>
  <c r="F545" i="3"/>
  <c r="G545" i="3" s="1"/>
  <c r="J545" i="3"/>
  <c r="F546" i="3"/>
  <c r="G546" i="3" s="1"/>
  <c r="J546" i="3"/>
  <c r="F547" i="3"/>
  <c r="G547" i="3" s="1"/>
  <c r="J547" i="3"/>
  <c r="F548" i="3"/>
  <c r="G548" i="3" s="1"/>
  <c r="J548" i="3"/>
  <c r="F549" i="3"/>
  <c r="G549" i="3" s="1"/>
  <c r="J549" i="3"/>
  <c r="F550" i="3"/>
  <c r="G550" i="3" s="1"/>
  <c r="J550" i="3"/>
  <c r="F551" i="3"/>
  <c r="G551" i="3" s="1"/>
  <c r="J551" i="3"/>
  <c r="F552" i="3"/>
  <c r="G552" i="3" s="1"/>
  <c r="J552" i="3"/>
  <c r="F553" i="3"/>
  <c r="G553" i="3" s="1"/>
  <c r="J553" i="3"/>
  <c r="F554" i="3"/>
  <c r="G554" i="3" s="1"/>
  <c r="J554" i="3"/>
  <c r="F555" i="3"/>
  <c r="G555" i="3" s="1"/>
  <c r="J555" i="3"/>
  <c r="F556" i="3"/>
  <c r="G556" i="3" s="1"/>
  <c r="J556" i="3"/>
  <c r="F557" i="3"/>
  <c r="G557" i="3" s="1"/>
  <c r="J557" i="3"/>
  <c r="F558" i="3"/>
  <c r="G558" i="3" s="1"/>
  <c r="J558" i="3"/>
  <c r="F559" i="3"/>
  <c r="G559" i="3" s="1"/>
  <c r="J559" i="3"/>
  <c r="F560" i="3"/>
  <c r="G560" i="3" s="1"/>
  <c r="J560" i="3"/>
  <c r="F561" i="3"/>
  <c r="G561" i="3" s="1"/>
  <c r="J561" i="3"/>
  <c r="F562" i="3"/>
  <c r="G562" i="3" s="1"/>
  <c r="J562" i="3"/>
  <c r="F563" i="3"/>
  <c r="G563" i="3" s="1"/>
  <c r="J563" i="3"/>
  <c r="G564" i="3"/>
  <c r="J564" i="3"/>
  <c r="G565" i="3"/>
  <c r="J565" i="3"/>
  <c r="G566" i="3"/>
  <c r="J566" i="3"/>
  <c r="F567" i="3"/>
  <c r="G567" i="3" s="1"/>
  <c r="J567" i="3"/>
  <c r="F568" i="3"/>
  <c r="G568" i="3" s="1"/>
  <c r="J568" i="3"/>
  <c r="F569" i="3"/>
  <c r="G569" i="3" s="1"/>
  <c r="J569" i="3"/>
  <c r="F570" i="3"/>
  <c r="G570" i="3" s="1"/>
  <c r="J570" i="3"/>
  <c r="F571" i="3"/>
  <c r="G571" i="3" s="1"/>
  <c r="J571" i="3"/>
  <c r="F572" i="3"/>
  <c r="G572" i="3" s="1"/>
  <c r="J572" i="3"/>
  <c r="F573" i="3"/>
  <c r="G573" i="3" s="1"/>
  <c r="J573" i="3"/>
  <c r="F574" i="3"/>
  <c r="G574" i="3" s="1"/>
  <c r="J574" i="3"/>
  <c r="F575" i="3"/>
  <c r="G575" i="3" s="1"/>
  <c r="J575" i="3"/>
  <c r="F576" i="3"/>
  <c r="G576" i="3" s="1"/>
  <c r="J576" i="3"/>
  <c r="G577" i="3"/>
  <c r="J577" i="3"/>
  <c r="F578" i="3"/>
  <c r="G578" i="3" s="1"/>
  <c r="J578" i="3"/>
  <c r="F579" i="3"/>
  <c r="G579" i="3" s="1"/>
  <c r="J579" i="3"/>
  <c r="G580" i="3"/>
  <c r="J580" i="3"/>
  <c r="F581" i="3"/>
  <c r="G581" i="3" s="1"/>
  <c r="J581" i="3"/>
  <c r="F582" i="3"/>
  <c r="G582" i="3" s="1"/>
  <c r="J582" i="3"/>
  <c r="F583" i="3"/>
  <c r="G583" i="3" s="1"/>
  <c r="J583" i="3"/>
  <c r="F584" i="3"/>
  <c r="G584" i="3" s="1"/>
  <c r="J584" i="3"/>
  <c r="F585" i="3"/>
  <c r="G585" i="3" s="1"/>
  <c r="J585" i="3"/>
  <c r="F586" i="3"/>
  <c r="G586" i="3" s="1"/>
  <c r="J586" i="3"/>
  <c r="F587" i="3"/>
  <c r="G587" i="3" s="1"/>
  <c r="J587" i="3"/>
  <c r="F588" i="3"/>
  <c r="G588" i="3" s="1"/>
  <c r="J588" i="3"/>
  <c r="F589" i="3"/>
  <c r="G589" i="3" s="1"/>
  <c r="J589" i="3"/>
  <c r="F590" i="3"/>
  <c r="G590" i="3" s="1"/>
  <c r="J590" i="3"/>
  <c r="F591" i="3"/>
  <c r="G591" i="3" s="1"/>
  <c r="J591" i="3"/>
  <c r="F592" i="3"/>
  <c r="G592" i="3" s="1"/>
  <c r="J592" i="3"/>
  <c r="F593" i="3"/>
  <c r="G593" i="3" s="1"/>
  <c r="J593" i="3"/>
  <c r="F594" i="3"/>
  <c r="G594" i="3" s="1"/>
  <c r="J594" i="3"/>
  <c r="F595" i="3"/>
  <c r="G595" i="3" s="1"/>
  <c r="J595" i="3"/>
  <c r="F596" i="3"/>
  <c r="G596" i="3" s="1"/>
  <c r="J596" i="3"/>
  <c r="F597" i="3"/>
  <c r="G597" i="3" s="1"/>
  <c r="J597" i="3"/>
  <c r="F598" i="3"/>
  <c r="G598" i="3" s="1"/>
  <c r="J598" i="3"/>
  <c r="F599" i="3"/>
  <c r="G599" i="3" s="1"/>
  <c r="J599" i="3"/>
  <c r="F600" i="3"/>
  <c r="G600" i="3" s="1"/>
  <c r="J600" i="3"/>
  <c r="F601" i="3"/>
  <c r="G601" i="3" s="1"/>
  <c r="J601" i="3"/>
  <c r="F602" i="3"/>
  <c r="G602" i="3" s="1"/>
  <c r="J602" i="3"/>
  <c r="F603" i="3"/>
  <c r="G603" i="3" s="1"/>
  <c r="J603" i="3"/>
  <c r="F604" i="3"/>
  <c r="G604" i="3" s="1"/>
  <c r="J604" i="3"/>
  <c r="F605" i="3"/>
  <c r="G605" i="3" s="1"/>
  <c r="J605" i="3"/>
  <c r="F606" i="3"/>
  <c r="G606" i="3" s="1"/>
  <c r="J606" i="3"/>
  <c r="F607" i="3"/>
  <c r="G607" i="3" s="1"/>
  <c r="J607" i="3"/>
  <c r="F608" i="3"/>
  <c r="G608" i="3" s="1"/>
  <c r="J608" i="3"/>
  <c r="F609" i="3"/>
  <c r="G609" i="3" s="1"/>
  <c r="J609" i="3"/>
  <c r="F610" i="3"/>
  <c r="G610" i="3" s="1"/>
  <c r="J610" i="3"/>
  <c r="F611" i="3"/>
  <c r="G611" i="3" s="1"/>
  <c r="J611" i="3"/>
  <c r="F612" i="3"/>
  <c r="G612" i="3" s="1"/>
  <c r="J612" i="3"/>
  <c r="F613" i="3"/>
  <c r="G613" i="3" s="1"/>
  <c r="J613" i="3"/>
  <c r="F614" i="3"/>
  <c r="G614" i="3" s="1"/>
  <c r="J614" i="3"/>
  <c r="F615" i="3"/>
  <c r="G615" i="3" s="1"/>
  <c r="J615" i="3"/>
  <c r="F616" i="3"/>
  <c r="G616" i="3" s="1"/>
  <c r="J616" i="3"/>
  <c r="F617" i="3"/>
  <c r="G617" i="3" s="1"/>
  <c r="J617" i="3"/>
  <c r="F618" i="3"/>
  <c r="G618" i="3" s="1"/>
  <c r="J618" i="3"/>
  <c r="F619" i="3"/>
  <c r="G619" i="3" s="1"/>
  <c r="J619" i="3"/>
  <c r="F620" i="3"/>
  <c r="G620" i="3" s="1"/>
  <c r="J620" i="3"/>
  <c r="F621" i="3"/>
  <c r="G621" i="3" s="1"/>
  <c r="J621" i="3"/>
  <c r="F622" i="3"/>
  <c r="G622" i="3" s="1"/>
  <c r="J622" i="3"/>
  <c r="F623" i="3"/>
  <c r="G623" i="3" s="1"/>
  <c r="J623" i="3"/>
  <c r="F624" i="3"/>
  <c r="G624" i="3" s="1"/>
  <c r="J624" i="3"/>
  <c r="F625" i="3"/>
  <c r="G625" i="3" s="1"/>
  <c r="J625" i="3"/>
  <c r="F626" i="3"/>
  <c r="G626" i="3" s="1"/>
  <c r="J626" i="3"/>
  <c r="F627" i="3"/>
  <c r="G627" i="3" s="1"/>
  <c r="J627" i="3"/>
  <c r="F628" i="3"/>
  <c r="G628" i="3" s="1"/>
  <c r="J628" i="3"/>
  <c r="F629" i="3"/>
  <c r="G629" i="3" s="1"/>
  <c r="J629" i="3"/>
  <c r="F630" i="3"/>
  <c r="G630" i="3" s="1"/>
  <c r="J630" i="3"/>
  <c r="F631" i="3"/>
  <c r="G631" i="3" s="1"/>
  <c r="J63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G473" i="3" s="1"/>
  <c r="F474" i="3"/>
  <c r="G474" i="3" s="1"/>
  <c r="F475" i="3"/>
  <c r="G475" i="3" s="1"/>
  <c r="F476" i="3"/>
  <c r="G476" i="3" s="1"/>
  <c r="F477" i="3"/>
  <c r="G477" i="3" s="1"/>
  <c r="F478" i="3"/>
  <c r="G478" i="3" s="1"/>
  <c r="F479" i="3"/>
  <c r="G479" i="3" s="1"/>
  <c r="F480" i="3"/>
  <c r="G480" i="3" s="1"/>
  <c r="F481" i="3"/>
  <c r="G481" i="3" s="1"/>
  <c r="F482" i="3"/>
  <c r="G482" i="3" s="1"/>
  <c r="F483" i="3"/>
  <c r="G483" i="3" s="1"/>
  <c r="F484" i="3"/>
  <c r="G484" i="3" s="1"/>
  <c r="F485" i="3"/>
  <c r="G485" i="3" s="1"/>
  <c r="F486" i="3"/>
  <c r="G486" i="3" s="1"/>
  <c r="F487" i="3"/>
  <c r="G487" i="3" s="1"/>
  <c r="F488" i="3"/>
  <c r="G488" i="3" s="1"/>
  <c r="F489" i="3"/>
  <c r="G489" i="3" s="1"/>
  <c r="F490" i="3"/>
  <c r="G490" i="3" s="1"/>
  <c r="F491" i="3"/>
  <c r="G491" i="3" s="1"/>
  <c r="F492" i="3"/>
  <c r="G492" i="3" s="1"/>
  <c r="F493" i="3"/>
  <c r="G493" i="3" s="1"/>
  <c r="F494" i="3"/>
  <c r="G494" i="3" s="1"/>
  <c r="F495" i="3"/>
  <c r="G495" i="3" s="1"/>
  <c r="F496" i="3"/>
  <c r="G496" i="3" s="1"/>
  <c r="F497" i="3"/>
  <c r="G497" i="3" s="1"/>
  <c r="F498" i="3"/>
  <c r="G498" i="3" s="1"/>
  <c r="F499" i="3"/>
  <c r="G499" i="3" s="1"/>
  <c r="F500" i="3"/>
  <c r="G500" i="3" s="1"/>
  <c r="F501" i="3"/>
  <c r="G501" i="3" s="1"/>
  <c r="F502" i="3"/>
  <c r="G502" i="3" s="1"/>
  <c r="F503" i="3"/>
  <c r="G503" i="3" s="1"/>
  <c r="F504" i="3"/>
  <c r="G504" i="3" s="1"/>
  <c r="F505" i="3"/>
  <c r="G505" i="3" s="1"/>
  <c r="F506" i="3"/>
  <c r="G506" i="3" s="1"/>
  <c r="F507" i="3"/>
  <c r="G507" i="3" s="1"/>
  <c r="F508" i="3"/>
  <c r="G508" i="3" s="1"/>
  <c r="F509" i="3"/>
  <c r="G509" i="3" s="1"/>
  <c r="F510" i="3"/>
  <c r="G510" i="3" s="1"/>
  <c r="F511" i="3"/>
  <c r="G511" i="3" s="1"/>
  <c r="F520" i="3"/>
  <c r="G520" i="3" s="1"/>
  <c r="F521" i="3"/>
  <c r="G521" i="3" s="1"/>
  <c r="F522" i="3"/>
  <c r="G522" i="3" s="1"/>
  <c r="F523" i="3"/>
  <c r="G523" i="3" s="1"/>
  <c r="F524" i="3"/>
  <c r="G524" i="3" s="1"/>
  <c r="F525" i="3"/>
  <c r="G525" i="3" s="1"/>
  <c r="F526" i="3"/>
  <c r="G526" i="3" s="1"/>
  <c r="F527" i="3"/>
  <c r="G527" i="3" s="1"/>
  <c r="F528" i="3"/>
  <c r="G528" i="3" s="1"/>
  <c r="F529" i="3"/>
  <c r="G529" i="3" s="1"/>
  <c r="F530" i="3"/>
  <c r="G530" i="3" s="1"/>
  <c r="F531" i="3"/>
  <c r="G531" i="3" s="1"/>
  <c r="F532" i="3"/>
  <c r="G532" i="3" s="1"/>
  <c r="F533" i="3"/>
  <c r="G533" i="3" s="1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R143" i="4" l="1"/>
  <c r="Q143" i="4"/>
  <c r="AF143" i="4" s="1"/>
  <c r="G143" i="4"/>
  <c r="G113" i="4"/>
  <c r="I113" i="4" s="1"/>
  <c r="G114" i="4"/>
  <c r="I114" i="4" s="1"/>
  <c r="G115" i="4"/>
  <c r="I115" i="4" s="1"/>
  <c r="G116" i="4"/>
  <c r="I116" i="4" s="1"/>
  <c r="G117" i="4"/>
  <c r="I117" i="4" s="1"/>
  <c r="G118" i="4"/>
  <c r="I118" i="4" s="1"/>
  <c r="G119" i="4"/>
  <c r="I119" i="4" s="1"/>
  <c r="G120" i="4"/>
  <c r="I120" i="4" s="1"/>
  <c r="G121" i="4"/>
  <c r="I121" i="4" s="1"/>
  <c r="G122" i="4"/>
  <c r="I122" i="4" s="1"/>
  <c r="G123" i="4"/>
  <c r="I123" i="4" s="1"/>
  <c r="G124" i="4"/>
  <c r="I124" i="4" s="1"/>
  <c r="G125" i="4"/>
  <c r="I125" i="4" s="1"/>
  <c r="G126" i="4"/>
  <c r="I126" i="4" s="1"/>
  <c r="G127" i="4"/>
  <c r="I127" i="4" s="1"/>
  <c r="G128" i="4"/>
  <c r="I128" i="4" s="1"/>
  <c r="G129" i="4"/>
  <c r="I129" i="4" s="1"/>
  <c r="G130" i="4"/>
  <c r="I130" i="4" s="1"/>
  <c r="G131" i="4"/>
  <c r="I131" i="4" s="1"/>
  <c r="G132" i="4"/>
  <c r="I132" i="4" s="1"/>
  <c r="G133" i="4"/>
  <c r="I133" i="4" s="1"/>
  <c r="G134" i="4"/>
  <c r="I134" i="4" s="1"/>
  <c r="G135" i="4"/>
  <c r="I135" i="4" s="1"/>
  <c r="G136" i="4"/>
  <c r="I136" i="4" s="1"/>
  <c r="G137" i="4"/>
  <c r="I137" i="4" s="1"/>
  <c r="G138" i="4"/>
  <c r="I138" i="4" s="1"/>
  <c r="G139" i="4"/>
  <c r="I139" i="4" s="1"/>
  <c r="G140" i="4"/>
  <c r="I140" i="4" s="1"/>
  <c r="G141" i="4"/>
  <c r="I141" i="4" s="1"/>
  <c r="G142" i="4"/>
  <c r="I142" i="4" s="1"/>
  <c r="G107" i="4"/>
  <c r="I107" i="4" s="1"/>
  <c r="G108" i="4"/>
  <c r="I108" i="4" s="1"/>
  <c r="G109" i="4"/>
  <c r="I109" i="4" s="1"/>
  <c r="G110" i="4"/>
  <c r="I110" i="4" s="1"/>
  <c r="G111" i="4"/>
  <c r="I111" i="4" s="1"/>
  <c r="G112" i="4"/>
  <c r="I112" i="4" s="1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Q138" i="4"/>
  <c r="AF138" i="4" s="1"/>
  <c r="Q139" i="4"/>
  <c r="AF139" i="4" s="1"/>
  <c r="Q140" i="4"/>
  <c r="AG140" i="4" s="1"/>
  <c r="Q141" i="4"/>
  <c r="AF141" i="4" s="1"/>
  <c r="Q142" i="4"/>
  <c r="AF142" i="4" s="1"/>
  <c r="R138" i="4"/>
  <c r="R139" i="4"/>
  <c r="R140" i="4"/>
  <c r="R141" i="4"/>
  <c r="R142" i="4"/>
  <c r="Q137" i="4"/>
  <c r="AF137" i="4" s="1"/>
  <c r="R137" i="4"/>
  <c r="Q132" i="4"/>
  <c r="AH132" i="4" s="1"/>
  <c r="Q133" i="4"/>
  <c r="AH133" i="4" s="1"/>
  <c r="Q134" i="4"/>
  <c r="AF134" i="4" s="1"/>
  <c r="Q135" i="4"/>
  <c r="AF135" i="4" s="1"/>
  <c r="Q136" i="4"/>
  <c r="AF136" i="4" s="1"/>
  <c r="R132" i="4"/>
  <c r="R133" i="4"/>
  <c r="R134" i="4"/>
  <c r="R135" i="4"/>
  <c r="R136" i="4"/>
  <c r="Q131" i="4"/>
  <c r="AH131" i="4" s="1"/>
  <c r="R131" i="4"/>
  <c r="Q126" i="4"/>
  <c r="AF126" i="4" s="1"/>
  <c r="Q127" i="4"/>
  <c r="AF127" i="4" s="1"/>
  <c r="Q128" i="4"/>
  <c r="AG128" i="4" s="1"/>
  <c r="Q129" i="4"/>
  <c r="AF129" i="4" s="1"/>
  <c r="Q130" i="4"/>
  <c r="AF130" i="4" s="1"/>
  <c r="R126" i="4"/>
  <c r="R127" i="4"/>
  <c r="R128" i="4"/>
  <c r="R129" i="4"/>
  <c r="R130" i="4"/>
  <c r="Q125" i="4"/>
  <c r="AF125" i="4" s="1"/>
  <c r="R125" i="4"/>
  <c r="Q120" i="4"/>
  <c r="AG120" i="4" s="1"/>
  <c r="Q121" i="4"/>
  <c r="AH121" i="4" s="1"/>
  <c r="Q122" i="4"/>
  <c r="AG122" i="4" s="1"/>
  <c r="Q123" i="4"/>
  <c r="AF123" i="4" s="1"/>
  <c r="Q124" i="4"/>
  <c r="AG124" i="4" s="1"/>
  <c r="R120" i="4"/>
  <c r="R121" i="4"/>
  <c r="R122" i="4"/>
  <c r="R123" i="4"/>
  <c r="R124" i="4"/>
  <c r="Q119" i="4"/>
  <c r="AF119" i="4" s="1"/>
  <c r="R119" i="4"/>
  <c r="Q118" i="4"/>
  <c r="AF118" i="4" s="1"/>
  <c r="R118" i="4"/>
  <c r="AG132" i="4" l="1"/>
  <c r="AG131" i="4"/>
  <c r="AF131" i="4"/>
  <c r="AF132" i="4"/>
  <c r="AH125" i="4"/>
  <c r="AH126" i="4"/>
  <c r="AG126" i="4"/>
  <c r="J126" i="4" s="1"/>
  <c r="AH124" i="4"/>
  <c r="AG142" i="4"/>
  <c r="AF124" i="4"/>
  <c r="AH142" i="4"/>
  <c r="I143" i="4"/>
  <c r="AF140" i="4"/>
  <c r="AH123" i="4"/>
  <c r="AH139" i="4"/>
  <c r="AG123" i="4"/>
  <c r="AG139" i="4"/>
  <c r="AH119" i="4"/>
  <c r="AH138" i="4"/>
  <c r="AG119" i="4"/>
  <c r="AG138" i="4"/>
  <c r="AH118" i="4"/>
  <c r="AH137" i="4"/>
  <c r="AG118" i="4"/>
  <c r="AG133" i="4"/>
  <c r="AF120" i="4"/>
  <c r="AF133" i="4"/>
  <c r="AH130" i="4"/>
  <c r="AG137" i="4"/>
  <c r="AH143" i="4"/>
  <c r="AG130" i="4"/>
  <c r="AG143" i="4"/>
  <c r="AH136" i="4"/>
  <c r="AH129" i="4"/>
  <c r="AG125" i="4"/>
  <c r="AG136" i="4"/>
  <c r="AH122" i="4"/>
  <c r="AG129" i="4"/>
  <c r="AG135" i="4"/>
  <c r="AH128" i="4"/>
  <c r="AH141" i="4"/>
  <c r="AG141" i="4"/>
  <c r="AH134" i="4"/>
  <c r="AF128" i="4"/>
  <c r="S139" i="4"/>
  <c r="W139" i="4" s="1"/>
  <c r="AG134" i="4"/>
  <c r="AH127" i="4"/>
  <c r="AF121" i="4"/>
  <c r="AF122" i="4"/>
  <c r="AG121" i="4"/>
  <c r="S136" i="4"/>
  <c r="W136" i="4" s="1"/>
  <c r="AH140" i="4"/>
  <c r="AG127" i="4"/>
  <c r="AH120" i="4"/>
  <c r="AH135" i="4"/>
  <c r="K143" i="4"/>
  <c r="S132" i="4"/>
  <c r="W132" i="4" s="1"/>
  <c r="S143" i="4"/>
  <c r="W143" i="4" s="1"/>
  <c r="S141" i="4"/>
  <c r="W141" i="4" s="1"/>
  <c r="S140" i="4"/>
  <c r="W140" i="4" s="1"/>
  <c r="S122" i="4"/>
  <c r="W122" i="4" s="1"/>
  <c r="S138" i="4"/>
  <c r="W138" i="4" s="1"/>
  <c r="S129" i="4"/>
  <c r="W129" i="4" s="1"/>
  <c r="S130" i="4"/>
  <c r="W130" i="4" s="1"/>
  <c r="S137" i="4"/>
  <c r="W137" i="4" s="1"/>
  <c r="S135" i="4"/>
  <c r="W135" i="4" s="1"/>
  <c r="S134" i="4"/>
  <c r="W134" i="4" s="1"/>
  <c r="S133" i="4"/>
  <c r="W133" i="4" s="1"/>
  <c r="S119" i="4"/>
  <c r="W119" i="4" s="1"/>
  <c r="S128" i="4"/>
  <c r="W128" i="4" s="1"/>
  <c r="S123" i="4"/>
  <c r="W123" i="4" s="1"/>
  <c r="S126" i="4"/>
  <c r="W126" i="4" s="1"/>
  <c r="S142" i="4"/>
  <c r="W142" i="4" s="1"/>
  <c r="S124" i="4"/>
  <c r="W124" i="4" s="1"/>
  <c r="S120" i="4"/>
  <c r="W120" i="4" s="1"/>
  <c r="S131" i="4"/>
  <c r="W131" i="4" s="1"/>
  <c r="S121" i="4"/>
  <c r="W121" i="4" s="1"/>
  <c r="S125" i="4"/>
  <c r="W125" i="4" s="1"/>
  <c r="S127" i="4"/>
  <c r="W127" i="4" s="1"/>
  <c r="S118" i="4"/>
  <c r="J131" i="4" l="1"/>
  <c r="J143" i="4"/>
  <c r="J136" i="4"/>
  <c r="J133" i="4"/>
  <c r="J123" i="4"/>
  <c r="J130" i="4"/>
  <c r="J125" i="4"/>
  <c r="J127" i="4"/>
  <c r="J137" i="4"/>
  <c r="J140" i="4"/>
  <c r="J124" i="4"/>
  <c r="J141" i="4"/>
  <c r="J138" i="4"/>
  <c r="J119" i="4"/>
  <c r="J142" i="4"/>
  <c r="J135" i="4"/>
  <c r="J134" i="4"/>
  <c r="J129" i="4"/>
  <c r="J118" i="4"/>
  <c r="J139" i="4"/>
  <c r="J122" i="4"/>
  <c r="J120" i="4"/>
  <c r="J121" i="4"/>
  <c r="J128" i="4"/>
  <c r="J132" i="4"/>
  <c r="L143" i="4"/>
  <c r="M143" i="4" s="1"/>
  <c r="Q4" i="4"/>
  <c r="R4" i="4"/>
  <c r="Q5" i="4"/>
  <c r="R5" i="4"/>
  <c r="Q6" i="4"/>
  <c r="R6" i="4"/>
  <c r="Q7" i="4"/>
  <c r="R7" i="4"/>
  <c r="Q8" i="4"/>
  <c r="R8" i="4"/>
  <c r="Q9" i="4"/>
  <c r="R9" i="4"/>
  <c r="Q10" i="4"/>
  <c r="R10" i="4"/>
  <c r="Q11" i="4"/>
  <c r="R11" i="4"/>
  <c r="Q12" i="4"/>
  <c r="R12" i="4"/>
  <c r="Q13" i="4"/>
  <c r="R13" i="4"/>
  <c r="Q14" i="4"/>
  <c r="R14" i="4"/>
  <c r="Q15" i="4"/>
  <c r="R15" i="4"/>
  <c r="Q16" i="4"/>
  <c r="R16" i="4"/>
  <c r="Q17" i="4"/>
  <c r="R17" i="4"/>
  <c r="Q18" i="4"/>
  <c r="R18" i="4"/>
  <c r="Q19" i="4"/>
  <c r="R19" i="4"/>
  <c r="Q20" i="4"/>
  <c r="R20" i="4"/>
  <c r="Q21" i="4"/>
  <c r="R21" i="4"/>
  <c r="Q22" i="4"/>
  <c r="R22" i="4"/>
  <c r="Q23" i="4"/>
  <c r="R23" i="4"/>
  <c r="Q24" i="4"/>
  <c r="R24" i="4"/>
  <c r="Q25" i="4"/>
  <c r="R25" i="4"/>
  <c r="Q26" i="4"/>
  <c r="R26" i="4"/>
  <c r="Q27" i="4"/>
  <c r="R27" i="4"/>
  <c r="Q28" i="4"/>
  <c r="R28" i="4"/>
  <c r="Q29" i="4"/>
  <c r="R29" i="4"/>
  <c r="R30" i="4"/>
  <c r="S30" i="4" s="1"/>
  <c r="Q31" i="4"/>
  <c r="R31" i="4"/>
  <c r="Q32" i="4"/>
  <c r="R32" i="4"/>
  <c r="Q33" i="4"/>
  <c r="R33" i="4"/>
  <c r="Q34" i="4"/>
  <c r="R34" i="4"/>
  <c r="Q35" i="4"/>
  <c r="R35" i="4"/>
  <c r="Q36" i="4"/>
  <c r="R36" i="4"/>
  <c r="Q37" i="4"/>
  <c r="R37" i="4"/>
  <c r="Q38" i="4"/>
  <c r="R38" i="4"/>
  <c r="Q39" i="4"/>
  <c r="R39" i="4"/>
  <c r="Q40" i="4"/>
  <c r="R40" i="4"/>
  <c r="Q41" i="4"/>
  <c r="R41" i="4"/>
  <c r="Q42" i="4"/>
  <c r="R42" i="4"/>
  <c r="Q43" i="4"/>
  <c r="R43" i="4"/>
  <c r="Q44" i="4"/>
  <c r="R44" i="4"/>
  <c r="Q45" i="4"/>
  <c r="R45" i="4"/>
  <c r="Q46" i="4"/>
  <c r="R46" i="4"/>
  <c r="Q47" i="4"/>
  <c r="R47" i="4"/>
  <c r="Q48" i="4"/>
  <c r="R48" i="4"/>
  <c r="Q49" i="4"/>
  <c r="R49" i="4"/>
  <c r="Q50" i="4"/>
  <c r="R50" i="4"/>
  <c r="Q51" i="4"/>
  <c r="R51" i="4"/>
  <c r="Q52" i="4"/>
  <c r="R52" i="4"/>
  <c r="Q53" i="4"/>
  <c r="R53" i="4"/>
  <c r="Q54" i="4"/>
  <c r="R54" i="4"/>
  <c r="Q55" i="4"/>
  <c r="R55" i="4"/>
  <c r="Q56" i="4"/>
  <c r="R56" i="4"/>
  <c r="Q57" i="4"/>
  <c r="R57" i="4"/>
  <c r="Q58" i="4"/>
  <c r="R58" i="4"/>
  <c r="Q59" i="4"/>
  <c r="R59" i="4"/>
  <c r="Q60" i="4"/>
  <c r="R60" i="4"/>
  <c r="Q61" i="4"/>
  <c r="R61" i="4"/>
  <c r="Q62" i="4"/>
  <c r="R62" i="4"/>
  <c r="Q63" i="4"/>
  <c r="R63" i="4"/>
  <c r="Q64" i="4"/>
  <c r="R64" i="4"/>
  <c r="Q65" i="4"/>
  <c r="R65" i="4"/>
  <c r="Q66" i="4"/>
  <c r="R66" i="4"/>
  <c r="Q67" i="4"/>
  <c r="R67" i="4"/>
  <c r="Q68" i="4"/>
  <c r="R68" i="4"/>
  <c r="Q69" i="4"/>
  <c r="R69" i="4"/>
  <c r="Q70" i="4"/>
  <c r="R70" i="4"/>
  <c r="Q71" i="4"/>
  <c r="R71" i="4"/>
  <c r="Q72" i="4"/>
  <c r="R72" i="4"/>
  <c r="Q73" i="4"/>
  <c r="R73" i="4"/>
  <c r="Q74" i="4"/>
  <c r="R74" i="4"/>
  <c r="Q75" i="4"/>
  <c r="R75" i="4"/>
  <c r="Q76" i="4"/>
  <c r="R76" i="4"/>
  <c r="Q77" i="4"/>
  <c r="R77" i="4"/>
  <c r="Q78" i="4"/>
  <c r="R78" i="4"/>
  <c r="Q79" i="4"/>
  <c r="R79" i="4"/>
  <c r="Q80" i="4"/>
  <c r="R80" i="4"/>
  <c r="Q81" i="4"/>
  <c r="R81" i="4"/>
  <c r="Q82" i="4"/>
  <c r="R82" i="4"/>
  <c r="Q83" i="4"/>
  <c r="R83" i="4"/>
  <c r="Q84" i="4"/>
  <c r="R84" i="4"/>
  <c r="Q85" i="4"/>
  <c r="R85" i="4"/>
  <c r="Q86" i="4"/>
  <c r="R86" i="4"/>
  <c r="Q87" i="4"/>
  <c r="R87" i="4"/>
  <c r="Q88" i="4"/>
  <c r="R88" i="4"/>
  <c r="Q89" i="4"/>
  <c r="R89" i="4"/>
  <c r="Q90" i="4"/>
  <c r="R90" i="4"/>
  <c r="Q91" i="4"/>
  <c r="R91" i="4"/>
  <c r="Q92" i="4"/>
  <c r="R92" i="4"/>
  <c r="Q93" i="4"/>
  <c r="R93" i="4"/>
  <c r="Q94" i="4"/>
  <c r="R94" i="4"/>
  <c r="Q95" i="4"/>
  <c r="R95" i="4"/>
  <c r="Q96" i="4"/>
  <c r="R96" i="4"/>
  <c r="Q97" i="4"/>
  <c r="R97" i="4"/>
  <c r="Q98" i="4"/>
  <c r="R98" i="4"/>
  <c r="Q99" i="4"/>
  <c r="R99" i="4"/>
  <c r="Q100" i="4"/>
  <c r="R100" i="4"/>
  <c r="Q101" i="4"/>
  <c r="R101" i="4"/>
  <c r="Q102" i="4"/>
  <c r="R102" i="4"/>
  <c r="Q103" i="4"/>
  <c r="R103" i="4"/>
  <c r="Q104" i="4"/>
  <c r="R104" i="4"/>
  <c r="Q105" i="4"/>
  <c r="R105" i="4"/>
  <c r="Q106" i="4"/>
  <c r="R106" i="4"/>
  <c r="Q107" i="4"/>
  <c r="R107" i="4"/>
  <c r="Q108" i="4"/>
  <c r="R108" i="4"/>
  <c r="Q109" i="4"/>
  <c r="R109" i="4"/>
  <c r="Q110" i="4"/>
  <c r="R110" i="4"/>
  <c r="Q111" i="4"/>
  <c r="R111" i="4"/>
  <c r="Q112" i="4"/>
  <c r="R112" i="4"/>
  <c r="Q113" i="4"/>
  <c r="R113" i="4"/>
  <c r="Q114" i="4"/>
  <c r="R114" i="4"/>
  <c r="Q115" i="4"/>
  <c r="R115" i="4"/>
  <c r="Q116" i="4"/>
  <c r="R116" i="4"/>
  <c r="Q117" i="4"/>
  <c r="R117" i="4"/>
  <c r="W118" i="4"/>
  <c r="S94" i="4" l="1"/>
  <c r="W94" i="4" s="1"/>
  <c r="S76" i="4"/>
  <c r="W76" i="4" s="1"/>
  <c r="S96" i="4"/>
  <c r="W96" i="4" s="1"/>
  <c r="S65" i="4"/>
  <c r="W65" i="4" s="1"/>
  <c r="S108" i="4"/>
  <c r="W108" i="4" s="1"/>
  <c r="AG115" i="4"/>
  <c r="AH115" i="4"/>
  <c r="AF115" i="4"/>
  <c r="AF107" i="4"/>
  <c r="AG107" i="4"/>
  <c r="AH107" i="4"/>
  <c r="AF116" i="4"/>
  <c r="AG116" i="4"/>
  <c r="AH116" i="4"/>
  <c r="AH113" i="4"/>
  <c r="AF113" i="4"/>
  <c r="AG113" i="4"/>
  <c r="AF111" i="4"/>
  <c r="AG111" i="4"/>
  <c r="AH111" i="4"/>
  <c r="AF110" i="4"/>
  <c r="AG110" i="4"/>
  <c r="AH110" i="4"/>
  <c r="AG108" i="4"/>
  <c r="AF108" i="4"/>
  <c r="AH108" i="4"/>
  <c r="AH114" i="4"/>
  <c r="AF114" i="4"/>
  <c r="AG114" i="4"/>
  <c r="AH109" i="4"/>
  <c r="AF109" i="4"/>
  <c r="AG109" i="4"/>
  <c r="AH117" i="4"/>
  <c r="AF117" i="4"/>
  <c r="AG117" i="4"/>
  <c r="AG112" i="4"/>
  <c r="AF112" i="4"/>
  <c r="AH112" i="4"/>
  <c r="U143" i="4"/>
  <c r="T143" i="4"/>
  <c r="V143" i="4" s="1"/>
  <c r="S42" i="4"/>
  <c r="W42" i="4" s="1"/>
  <c r="S10" i="4"/>
  <c r="W10" i="4" s="1"/>
  <c r="S89" i="4"/>
  <c r="W89" i="4" s="1"/>
  <c r="S7" i="4"/>
  <c r="W7" i="4" s="1"/>
  <c r="S26" i="4"/>
  <c r="W26" i="4" s="1"/>
  <c r="S4" i="4"/>
  <c r="W4" i="4" s="1"/>
  <c r="S103" i="4"/>
  <c r="W103" i="4" s="1"/>
  <c r="S31" i="4"/>
  <c r="W31" i="4" s="1"/>
  <c r="S50" i="4"/>
  <c r="W50" i="4" s="1"/>
  <c r="S9" i="4"/>
  <c r="W9" i="4" s="1"/>
  <c r="S98" i="4"/>
  <c r="W98" i="4" s="1"/>
  <c r="S105" i="4"/>
  <c r="W105" i="4" s="1"/>
  <c r="S34" i="4"/>
  <c r="W34" i="4" s="1"/>
  <c r="S90" i="4"/>
  <c r="W90" i="4" s="1"/>
  <c r="S27" i="4"/>
  <c r="W27" i="4" s="1"/>
  <c r="S39" i="4"/>
  <c r="W39" i="4" s="1"/>
  <c r="S29" i="4"/>
  <c r="W29" i="4" s="1"/>
  <c r="S67" i="4"/>
  <c r="W67" i="4" s="1"/>
  <c r="S85" i="4"/>
  <c r="W85" i="4" s="1"/>
  <c r="S93" i="4"/>
  <c r="W93" i="4" s="1"/>
  <c r="S84" i="4"/>
  <c r="W84" i="4" s="1"/>
  <c r="S74" i="4"/>
  <c r="W74" i="4" s="1"/>
  <c r="S59" i="4"/>
  <c r="W59" i="4" s="1"/>
  <c r="S91" i="4"/>
  <c r="W91" i="4" s="1"/>
  <c r="S24" i="4"/>
  <c r="W24" i="4" s="1"/>
  <c r="S5" i="4"/>
  <c r="W5" i="4" s="1"/>
  <c r="S46" i="4"/>
  <c r="W46" i="4" s="1"/>
  <c r="S81" i="4"/>
  <c r="W81" i="4" s="1"/>
  <c r="S88" i="4"/>
  <c r="W88" i="4" s="1"/>
  <c r="S55" i="4"/>
  <c r="W55" i="4" s="1"/>
  <c r="S80" i="4"/>
  <c r="W80" i="4" s="1"/>
  <c r="S35" i="4"/>
  <c r="W35" i="4" s="1"/>
  <c r="S104" i="4"/>
  <c r="W104" i="4" s="1"/>
  <c r="S79" i="4"/>
  <c r="W79" i="4" s="1"/>
  <c r="S20" i="4"/>
  <c r="W20" i="4" s="1"/>
  <c r="S62" i="4"/>
  <c r="W62" i="4" s="1"/>
  <c r="S22" i="4"/>
  <c r="W22" i="4" s="1"/>
  <c r="S72" i="4"/>
  <c r="W72" i="4" s="1"/>
  <c r="S14" i="4"/>
  <c r="W14" i="4" s="1"/>
  <c r="S66" i="4"/>
  <c r="W66" i="4" s="1"/>
  <c r="S41" i="4"/>
  <c r="W41" i="4" s="1"/>
  <c r="S82" i="4"/>
  <c r="W82" i="4" s="1"/>
  <c r="S47" i="4"/>
  <c r="W47" i="4" s="1"/>
  <c r="S16" i="4"/>
  <c r="W16" i="4" s="1"/>
  <c r="S49" i="4"/>
  <c r="W49" i="4" s="1"/>
  <c r="S37" i="4"/>
  <c r="W37" i="4" s="1"/>
  <c r="S109" i="4"/>
  <c r="W109" i="4" s="1"/>
  <c r="S86" i="4"/>
  <c r="W86" i="4" s="1"/>
  <c r="S44" i="4"/>
  <c r="W44" i="4" s="1"/>
  <c r="S100" i="4"/>
  <c r="W100" i="4" s="1"/>
  <c r="S61" i="4"/>
  <c r="W61" i="4" s="1"/>
  <c r="S54" i="4"/>
  <c r="W54" i="4" s="1"/>
  <c r="S99" i="4"/>
  <c r="W99" i="4" s="1"/>
  <c r="S52" i="4"/>
  <c r="W52" i="4" s="1"/>
  <c r="S75" i="4"/>
  <c r="W75" i="4" s="1"/>
  <c r="S40" i="4"/>
  <c r="W40" i="4" s="1"/>
  <c r="S15" i="4"/>
  <c r="W15" i="4" s="1"/>
  <c r="S69" i="4"/>
  <c r="W69" i="4" s="1"/>
  <c r="S107" i="4"/>
  <c r="W107" i="4" s="1"/>
  <c r="S101" i="4"/>
  <c r="W101" i="4" s="1"/>
  <c r="S95" i="4"/>
  <c r="W95" i="4" s="1"/>
  <c r="S32" i="4"/>
  <c r="W32" i="4" s="1"/>
  <c r="S57" i="4"/>
  <c r="W57" i="4" s="1"/>
  <c r="S12" i="4"/>
  <c r="W12" i="4" s="1"/>
  <c r="S19" i="4"/>
  <c r="W19" i="4" s="1"/>
  <c r="S11" i="4"/>
  <c r="W11" i="4" s="1"/>
  <c r="S51" i="4"/>
  <c r="W51" i="4" s="1"/>
  <c r="S64" i="4"/>
  <c r="W64" i="4" s="1"/>
  <c r="S70" i="4"/>
  <c r="W70" i="4" s="1"/>
  <c r="S77" i="4"/>
  <c r="W77" i="4" s="1"/>
  <c r="S17" i="4"/>
  <c r="W17" i="4" s="1"/>
  <c r="S53" i="4"/>
  <c r="W53" i="4" s="1"/>
  <c r="S23" i="4"/>
  <c r="W23" i="4" s="1"/>
  <c r="S115" i="4"/>
  <c r="W115" i="4" s="1"/>
  <c r="S117" i="4"/>
  <c r="W117" i="4" s="1"/>
  <c r="S114" i="4"/>
  <c r="W114" i="4" s="1"/>
  <c r="S110" i="4"/>
  <c r="W110" i="4" s="1"/>
  <c r="S112" i="4"/>
  <c r="W112" i="4" s="1"/>
  <c r="S13" i="4"/>
  <c r="W13" i="4" s="1"/>
  <c r="S113" i="4"/>
  <c r="W113" i="4" s="1"/>
  <c r="S92" i="4"/>
  <c r="W92" i="4" s="1"/>
  <c r="S36" i="4"/>
  <c r="W36" i="4" s="1"/>
  <c r="S71" i="4"/>
  <c r="W71" i="4" s="1"/>
  <c r="S60" i="4"/>
  <c r="W60" i="4" s="1"/>
  <c r="S58" i="4"/>
  <c r="W58" i="4" s="1"/>
  <c r="S116" i="4"/>
  <c r="W116" i="4" s="1"/>
  <c r="S73" i="4"/>
  <c r="W73" i="4" s="1"/>
  <c r="S56" i="4"/>
  <c r="W56" i="4" s="1"/>
  <c r="S45" i="4"/>
  <c r="W45" i="4" s="1"/>
  <c r="S43" i="4"/>
  <c r="W43" i="4" s="1"/>
  <c r="S21" i="4"/>
  <c r="W21" i="4" s="1"/>
  <c r="S78" i="4"/>
  <c r="W78" i="4" s="1"/>
  <c r="S111" i="4"/>
  <c r="W111" i="4" s="1"/>
  <c r="S28" i="4"/>
  <c r="W28" i="4" s="1"/>
  <c r="S6" i="4"/>
  <c r="W6" i="4" s="1"/>
  <c r="W30" i="4"/>
  <c r="S25" i="4"/>
  <c r="W25" i="4" s="1"/>
  <c r="S63" i="4"/>
  <c r="W63" i="4" s="1"/>
  <c r="S48" i="4"/>
  <c r="W48" i="4" s="1"/>
  <c r="S33" i="4"/>
  <c r="W33" i="4" s="1"/>
  <c r="S102" i="4"/>
  <c r="W102" i="4" s="1"/>
  <c r="S18" i="4"/>
  <c r="W18" i="4" s="1"/>
  <c r="S87" i="4"/>
  <c r="W87" i="4" s="1"/>
  <c r="S68" i="4"/>
  <c r="W68" i="4" s="1"/>
  <c r="S83" i="4"/>
  <c r="W83" i="4" s="1"/>
  <c r="S106" i="4"/>
  <c r="W106" i="4" s="1"/>
  <c r="S38" i="4"/>
  <c r="W38" i="4" s="1"/>
  <c r="S8" i="4"/>
  <c r="W8" i="4" s="1"/>
  <c r="S97" i="4"/>
  <c r="W97" i="4" s="1"/>
  <c r="AF41" i="4"/>
  <c r="AG41" i="4"/>
  <c r="AH41" i="4"/>
  <c r="AF42" i="4"/>
  <c r="AG42" i="4"/>
  <c r="AH42" i="4"/>
  <c r="AF43" i="4"/>
  <c r="AG43" i="4"/>
  <c r="AH43" i="4"/>
  <c r="AF44" i="4"/>
  <c r="AG44" i="4"/>
  <c r="AH44" i="4"/>
  <c r="AF45" i="4"/>
  <c r="AG45" i="4"/>
  <c r="AH45" i="4"/>
  <c r="AF46" i="4"/>
  <c r="AG46" i="4"/>
  <c r="AH46" i="4"/>
  <c r="AF47" i="4"/>
  <c r="AG47" i="4"/>
  <c r="AH47" i="4"/>
  <c r="AF48" i="4"/>
  <c r="AG48" i="4"/>
  <c r="AH48" i="4"/>
  <c r="AF49" i="4"/>
  <c r="AG49" i="4"/>
  <c r="AH49" i="4"/>
  <c r="AF50" i="4"/>
  <c r="AG50" i="4"/>
  <c r="AH50" i="4"/>
  <c r="AF51" i="4"/>
  <c r="AG51" i="4"/>
  <c r="AH51" i="4"/>
  <c r="AF52" i="4"/>
  <c r="AG52" i="4"/>
  <c r="AH52" i="4"/>
  <c r="AF53" i="4"/>
  <c r="AG53" i="4"/>
  <c r="AH53" i="4"/>
  <c r="AF54" i="4"/>
  <c r="AG54" i="4"/>
  <c r="AH54" i="4"/>
  <c r="AF55" i="4"/>
  <c r="AG55" i="4"/>
  <c r="AH55" i="4"/>
  <c r="AF56" i="4"/>
  <c r="AG56" i="4"/>
  <c r="AH56" i="4"/>
  <c r="AF57" i="4"/>
  <c r="AG57" i="4"/>
  <c r="AH57" i="4"/>
  <c r="AF58" i="4"/>
  <c r="AG58" i="4"/>
  <c r="AH58" i="4"/>
  <c r="AF59" i="4"/>
  <c r="AG59" i="4"/>
  <c r="AH59" i="4"/>
  <c r="AF60" i="4"/>
  <c r="AG60" i="4"/>
  <c r="AH60" i="4"/>
  <c r="AF61" i="4"/>
  <c r="AG61" i="4"/>
  <c r="AH61" i="4"/>
  <c r="AF62" i="4"/>
  <c r="AG62" i="4"/>
  <c r="AH62" i="4"/>
  <c r="AF63" i="4"/>
  <c r="AG63" i="4"/>
  <c r="AH63" i="4"/>
  <c r="AF64" i="4"/>
  <c r="AG64" i="4"/>
  <c r="AH64" i="4"/>
  <c r="AF65" i="4"/>
  <c r="AG65" i="4"/>
  <c r="AH65" i="4"/>
  <c r="AF66" i="4"/>
  <c r="AG66" i="4"/>
  <c r="AH66" i="4"/>
  <c r="AF67" i="4"/>
  <c r="AG67" i="4"/>
  <c r="AH67" i="4"/>
  <c r="AF68" i="4"/>
  <c r="AG68" i="4"/>
  <c r="AH68" i="4"/>
  <c r="AF69" i="4"/>
  <c r="AG69" i="4"/>
  <c r="AH69" i="4"/>
  <c r="AF70" i="4"/>
  <c r="AG70" i="4"/>
  <c r="AH70" i="4"/>
  <c r="AF71" i="4"/>
  <c r="AG71" i="4"/>
  <c r="AH71" i="4"/>
  <c r="AF72" i="4"/>
  <c r="AG72" i="4"/>
  <c r="AH72" i="4"/>
  <c r="AF73" i="4"/>
  <c r="AG73" i="4"/>
  <c r="AH73" i="4"/>
  <c r="AF74" i="4"/>
  <c r="AG74" i="4"/>
  <c r="AH74" i="4"/>
  <c r="AF75" i="4"/>
  <c r="AG75" i="4"/>
  <c r="AH75" i="4"/>
  <c r="AF76" i="4"/>
  <c r="AG76" i="4"/>
  <c r="AH76" i="4"/>
  <c r="AF77" i="4"/>
  <c r="AG77" i="4"/>
  <c r="AH77" i="4"/>
  <c r="AF78" i="4"/>
  <c r="AG78" i="4"/>
  <c r="AH78" i="4"/>
  <c r="AF79" i="4"/>
  <c r="AG79" i="4"/>
  <c r="AH79" i="4"/>
  <c r="AF80" i="4"/>
  <c r="AG80" i="4"/>
  <c r="AH80" i="4"/>
  <c r="AF81" i="4"/>
  <c r="AG81" i="4"/>
  <c r="AH81" i="4"/>
  <c r="AF82" i="4"/>
  <c r="AG82" i="4"/>
  <c r="AH82" i="4"/>
  <c r="AF83" i="4"/>
  <c r="AG83" i="4"/>
  <c r="AH83" i="4"/>
  <c r="AF84" i="4"/>
  <c r="AG84" i="4"/>
  <c r="AH84" i="4"/>
  <c r="AF85" i="4"/>
  <c r="AG85" i="4"/>
  <c r="AH85" i="4"/>
  <c r="AF86" i="4"/>
  <c r="AG86" i="4"/>
  <c r="AH86" i="4"/>
  <c r="AF87" i="4"/>
  <c r="AG87" i="4"/>
  <c r="AH87" i="4"/>
  <c r="AF88" i="4"/>
  <c r="AG88" i="4"/>
  <c r="AH88" i="4"/>
  <c r="AF89" i="4"/>
  <c r="AG89" i="4"/>
  <c r="AH89" i="4"/>
  <c r="AF90" i="4"/>
  <c r="AG90" i="4"/>
  <c r="AH90" i="4"/>
  <c r="AF91" i="4"/>
  <c r="AG91" i="4"/>
  <c r="AH91" i="4"/>
  <c r="AF92" i="4"/>
  <c r="AG92" i="4"/>
  <c r="AH92" i="4"/>
  <c r="AF93" i="4"/>
  <c r="AG93" i="4"/>
  <c r="AH93" i="4"/>
  <c r="AF94" i="4"/>
  <c r="AG94" i="4"/>
  <c r="AH94" i="4"/>
  <c r="AF95" i="4"/>
  <c r="AG95" i="4"/>
  <c r="AH95" i="4"/>
  <c r="AF96" i="4"/>
  <c r="AG96" i="4"/>
  <c r="AH96" i="4"/>
  <c r="AF97" i="4"/>
  <c r="AG97" i="4"/>
  <c r="AH97" i="4"/>
  <c r="AF98" i="4"/>
  <c r="AG98" i="4"/>
  <c r="AH98" i="4"/>
  <c r="AF99" i="4"/>
  <c r="AG99" i="4"/>
  <c r="AH99" i="4"/>
  <c r="AF100" i="4"/>
  <c r="AG100" i="4"/>
  <c r="AH100" i="4"/>
  <c r="AF101" i="4"/>
  <c r="AG101" i="4"/>
  <c r="AH101" i="4"/>
  <c r="AF102" i="4"/>
  <c r="AG102" i="4"/>
  <c r="AH102" i="4"/>
  <c r="AF103" i="4"/>
  <c r="AG103" i="4"/>
  <c r="AH103" i="4"/>
  <c r="AF104" i="4"/>
  <c r="AG104" i="4"/>
  <c r="AH104" i="4"/>
  <c r="AF105" i="4"/>
  <c r="AG105" i="4"/>
  <c r="AH105" i="4"/>
  <c r="AF106" i="4"/>
  <c r="AG106" i="4"/>
  <c r="AH106" i="4"/>
  <c r="AM4" i="4"/>
  <c r="AN4" i="4"/>
  <c r="AO4" i="4"/>
  <c r="AP4" i="4"/>
  <c r="AQ4" i="4"/>
  <c r="AR4" i="4"/>
  <c r="AS4" i="4"/>
  <c r="AT4" i="4"/>
  <c r="AW4" i="4"/>
  <c r="AX4" i="4"/>
  <c r="AN5" i="4"/>
  <c r="AO5" i="4"/>
  <c r="AP5" i="4"/>
  <c r="AR5" i="4"/>
  <c r="AW5" i="4"/>
  <c r="AX5" i="4"/>
  <c r="AM6" i="4"/>
  <c r="AN6" i="4"/>
  <c r="AO6" i="4"/>
  <c r="AP6" i="4"/>
  <c r="AR6" i="4"/>
  <c r="AS6" i="4"/>
  <c r="AT6" i="4"/>
  <c r="AW6" i="4"/>
  <c r="AX6" i="4"/>
  <c r="AM7" i="4"/>
  <c r="AN7" i="4"/>
  <c r="AO7" i="4"/>
  <c r="AP7" i="4"/>
  <c r="AQ7" i="4"/>
  <c r="AR7" i="4"/>
  <c r="AS7" i="4"/>
  <c r="AU7" i="4"/>
  <c r="AW7" i="4"/>
  <c r="AX7" i="4"/>
  <c r="AM8" i="4"/>
  <c r="AO8" i="4"/>
  <c r="AQ8" i="4"/>
  <c r="AR8" i="4"/>
  <c r="AS8" i="4"/>
  <c r="AT8" i="4"/>
  <c r="AV8" i="4"/>
  <c r="AW8" i="4"/>
  <c r="AX8" i="4"/>
  <c r="AM9" i="4"/>
  <c r="AN9" i="4"/>
  <c r="AO9" i="4"/>
  <c r="AR9" i="4"/>
  <c r="AS9" i="4"/>
  <c r="AT9" i="4"/>
  <c r="AV9" i="4"/>
  <c r="AW9" i="4"/>
  <c r="AX9" i="4"/>
  <c r="AL10" i="4"/>
  <c r="AM10" i="4"/>
  <c r="AN10" i="4"/>
  <c r="AO10" i="4"/>
  <c r="AP10" i="4"/>
  <c r="AR10" i="4"/>
  <c r="AS10" i="4"/>
  <c r="AT10" i="4"/>
  <c r="AW10" i="4"/>
  <c r="AX10" i="4"/>
  <c r="AN11" i="4"/>
  <c r="AO11" i="4"/>
  <c r="AP11" i="4"/>
  <c r="AR11" i="4"/>
  <c r="AS11" i="4"/>
  <c r="AT11" i="4"/>
  <c r="AW11" i="4"/>
  <c r="AX11" i="4"/>
  <c r="AL12" i="4"/>
  <c r="AM12" i="4"/>
  <c r="AN12" i="4"/>
  <c r="AO12" i="4"/>
  <c r="AP12" i="4"/>
  <c r="AR12" i="4"/>
  <c r="AS12" i="4"/>
  <c r="AV12" i="4"/>
  <c r="AW12" i="4"/>
  <c r="AX12" i="4"/>
  <c r="AL13" i="4"/>
  <c r="AM13" i="4"/>
  <c r="AN13" i="4"/>
  <c r="AO13" i="4"/>
  <c r="AP13" i="4"/>
  <c r="AQ13" i="4"/>
  <c r="AR13" i="4"/>
  <c r="AS13" i="4"/>
  <c r="AT13" i="4"/>
  <c r="AV13" i="4"/>
  <c r="AW13" i="4"/>
  <c r="AX13" i="4"/>
  <c r="AM14" i="4"/>
  <c r="AN14" i="4"/>
  <c r="AO14" i="4"/>
  <c r="AQ14" i="4"/>
  <c r="AR14" i="4"/>
  <c r="AS14" i="4"/>
  <c r="AT14" i="4"/>
  <c r="AV14" i="4"/>
  <c r="AW14" i="4"/>
  <c r="AX14" i="4"/>
  <c r="AM15" i="4"/>
  <c r="AN15" i="4"/>
  <c r="AO15" i="4"/>
  <c r="AP15" i="4"/>
  <c r="AQ15" i="4"/>
  <c r="AS15" i="4"/>
  <c r="AT15" i="4"/>
  <c r="AV15" i="4"/>
  <c r="AW15" i="4"/>
  <c r="AX15" i="4"/>
  <c r="AM16" i="4"/>
  <c r="AN16" i="4"/>
  <c r="AO16" i="4"/>
  <c r="AP16" i="4"/>
  <c r="AQ16" i="4"/>
  <c r="AR16" i="4"/>
  <c r="AS16" i="4"/>
  <c r="AT16" i="4"/>
  <c r="AV16" i="4"/>
  <c r="AW16" i="4"/>
  <c r="AX16" i="4"/>
  <c r="AL17" i="4"/>
  <c r="AM17" i="4"/>
  <c r="AN17" i="4"/>
  <c r="AO17" i="4"/>
  <c r="AP17" i="4"/>
  <c r="AQ17" i="4"/>
  <c r="AR17" i="4"/>
  <c r="AS17" i="4"/>
  <c r="AW17" i="4"/>
  <c r="AX17" i="4"/>
  <c r="AM18" i="4"/>
  <c r="AN18" i="4"/>
  <c r="AO18" i="4"/>
  <c r="AP18" i="4"/>
  <c r="AQ18" i="4"/>
  <c r="AR18" i="4"/>
  <c r="AS18" i="4"/>
  <c r="AT18" i="4"/>
  <c r="AV18" i="4"/>
  <c r="AW18" i="4"/>
  <c r="AX18" i="4"/>
  <c r="AM19" i="4"/>
  <c r="AN19" i="4"/>
  <c r="AO19" i="4"/>
  <c r="AP19" i="4"/>
  <c r="AQ19" i="4"/>
  <c r="AR19" i="4"/>
  <c r="AS19" i="4"/>
  <c r="AT19" i="4"/>
  <c r="AV19" i="4"/>
  <c r="AW19" i="4"/>
  <c r="AX19" i="4"/>
  <c r="AM20" i="4"/>
  <c r="AN20" i="4"/>
  <c r="AQ20" i="4"/>
  <c r="AR20" i="4"/>
  <c r="AS20" i="4"/>
  <c r="AT20" i="4"/>
  <c r="AW20" i="4"/>
  <c r="AX20" i="4"/>
  <c r="AM21" i="4"/>
  <c r="AN21" i="4"/>
  <c r="AO21" i="4"/>
  <c r="AP21" i="4"/>
  <c r="AQ21" i="4"/>
  <c r="AS21" i="4"/>
  <c r="AW21" i="4"/>
  <c r="AX21" i="4"/>
  <c r="AM22" i="4"/>
  <c r="AN22" i="4"/>
  <c r="AO22" i="4"/>
  <c r="AP22" i="4"/>
  <c r="AQ22" i="4"/>
  <c r="AR22" i="4"/>
  <c r="AS22" i="4"/>
  <c r="AU22" i="4"/>
  <c r="AW22" i="4"/>
  <c r="AX22" i="4"/>
  <c r="AM23" i="4"/>
  <c r="AN23" i="4"/>
  <c r="AP23" i="4"/>
  <c r="AQ23" i="4"/>
  <c r="AR23" i="4"/>
  <c r="AS23" i="4"/>
  <c r="AT23" i="4"/>
  <c r="AW23" i="4"/>
  <c r="AX23" i="4"/>
  <c r="AM24" i="4"/>
  <c r="AN24" i="4"/>
  <c r="AQ24" i="4"/>
  <c r="AR24" i="4"/>
  <c r="AS24" i="4"/>
  <c r="AV24" i="4"/>
  <c r="AW24" i="4"/>
  <c r="AX24" i="4"/>
  <c r="AM25" i="4"/>
  <c r="AN25" i="4"/>
  <c r="AP25" i="4"/>
  <c r="AQ25" i="4"/>
  <c r="AR25" i="4"/>
  <c r="AS25" i="4"/>
  <c r="AT25" i="4"/>
  <c r="AW25" i="4"/>
  <c r="AX25" i="4"/>
  <c r="AL26" i="4"/>
  <c r="AM26" i="4"/>
  <c r="AN26" i="4"/>
  <c r="AP26" i="4"/>
  <c r="AQ26" i="4"/>
  <c r="AR26" i="4"/>
  <c r="AT26" i="4"/>
  <c r="AW26" i="4"/>
  <c r="AX26" i="4"/>
  <c r="AM27" i="4"/>
  <c r="AN27" i="4"/>
  <c r="AO27" i="4"/>
  <c r="AP27" i="4"/>
  <c r="AQ27" i="4"/>
  <c r="AR27" i="4"/>
  <c r="AS27" i="4"/>
  <c r="AU27" i="4"/>
  <c r="AW27" i="4"/>
  <c r="AX27" i="4"/>
  <c r="AM28" i="4"/>
  <c r="AO28" i="4"/>
  <c r="AP28" i="4"/>
  <c r="AQ28" i="4"/>
  <c r="AR28" i="4"/>
  <c r="AS28" i="4"/>
  <c r="AT28" i="4"/>
  <c r="AW28" i="4"/>
  <c r="AX28" i="4"/>
  <c r="AM29" i="4"/>
  <c r="AO29" i="4"/>
  <c r="AQ29" i="4"/>
  <c r="AR29" i="4"/>
  <c r="AS29" i="4"/>
  <c r="AT29" i="4"/>
  <c r="AW29" i="4"/>
  <c r="AX29" i="4"/>
  <c r="AL30" i="4"/>
  <c r="AM30" i="4"/>
  <c r="AN30" i="4"/>
  <c r="AO30" i="4"/>
  <c r="AP30" i="4"/>
  <c r="AQ30" i="4"/>
  <c r="AR30" i="4"/>
  <c r="AT30" i="4"/>
  <c r="AW30" i="4"/>
  <c r="AX30" i="4"/>
  <c r="AL31" i="4"/>
  <c r="AM31" i="4"/>
  <c r="AN31" i="4"/>
  <c r="AO31" i="4"/>
  <c r="AP31" i="4"/>
  <c r="AQ31" i="4"/>
  <c r="AR31" i="4"/>
  <c r="AT31" i="4"/>
  <c r="AV31" i="4"/>
  <c r="AW31" i="4"/>
  <c r="AX31" i="4"/>
  <c r="AM32" i="4"/>
  <c r="AN32" i="4"/>
  <c r="AO32" i="4"/>
  <c r="AP32" i="4"/>
  <c r="AQ32" i="4"/>
  <c r="AR32" i="4"/>
  <c r="AS32" i="4"/>
  <c r="AW32" i="4"/>
  <c r="AX32" i="4"/>
  <c r="AM33" i="4"/>
  <c r="AN33" i="4"/>
  <c r="AO33" i="4"/>
  <c r="AP33" i="4"/>
  <c r="AQ33" i="4"/>
  <c r="AR33" i="4"/>
  <c r="AS33" i="4"/>
  <c r="AV33" i="4"/>
  <c r="AW33" i="4"/>
  <c r="AX33" i="4"/>
  <c r="AM34" i="4"/>
  <c r="AN34" i="4"/>
  <c r="AO34" i="4"/>
  <c r="AP34" i="4"/>
  <c r="AQ34" i="4"/>
  <c r="AR34" i="4"/>
  <c r="AS34" i="4"/>
  <c r="AU34" i="4"/>
  <c r="AW34" i="4"/>
  <c r="AX34" i="4"/>
  <c r="AM35" i="4"/>
  <c r="AN35" i="4"/>
  <c r="AO35" i="4"/>
  <c r="AP35" i="4"/>
  <c r="AQ35" i="4"/>
  <c r="AR35" i="4"/>
  <c r="AS35" i="4"/>
  <c r="AT35" i="4"/>
  <c r="AV35" i="4"/>
  <c r="AW35" i="4"/>
  <c r="AX35" i="4"/>
  <c r="AL36" i="4"/>
  <c r="AM36" i="4"/>
  <c r="AN36" i="4"/>
  <c r="AO36" i="4"/>
  <c r="AP36" i="4"/>
  <c r="AQ36" i="4"/>
  <c r="AS36" i="4"/>
  <c r="AT36" i="4"/>
  <c r="AU36" i="4"/>
  <c r="AV36" i="4"/>
  <c r="AW36" i="4"/>
  <c r="AX36" i="4"/>
  <c r="AL37" i="4"/>
  <c r="AM37" i="4"/>
  <c r="AN37" i="4"/>
  <c r="AO37" i="4"/>
  <c r="AQ37" i="4"/>
  <c r="AS37" i="4"/>
  <c r="AT37" i="4"/>
  <c r="AU37" i="4"/>
  <c r="AV37" i="4"/>
  <c r="AW37" i="4"/>
  <c r="AX37" i="4"/>
  <c r="AM38" i="4"/>
  <c r="AN38" i="4"/>
  <c r="AO38" i="4"/>
  <c r="AP38" i="4"/>
  <c r="AQ38" i="4"/>
  <c r="AR38" i="4"/>
  <c r="AS38" i="4"/>
  <c r="AT38" i="4"/>
  <c r="AW38" i="4"/>
  <c r="AX38" i="4"/>
  <c r="AM39" i="4"/>
  <c r="AN39" i="4"/>
  <c r="AO39" i="4"/>
  <c r="AP39" i="4"/>
  <c r="AR39" i="4"/>
  <c r="AS39" i="4"/>
  <c r="AT39" i="4"/>
  <c r="AU39" i="4"/>
  <c r="AV39" i="4"/>
  <c r="AW39" i="4"/>
  <c r="AX39" i="4"/>
  <c r="AM40" i="4"/>
  <c r="AN40" i="4"/>
  <c r="AO40" i="4"/>
  <c r="AP40" i="4"/>
  <c r="AQ40" i="4"/>
  <c r="AR40" i="4"/>
  <c r="AS40" i="4"/>
  <c r="AT40" i="4"/>
  <c r="AV40" i="4"/>
  <c r="AW40" i="4"/>
  <c r="AX40" i="4"/>
  <c r="AL41" i="4"/>
  <c r="AM41" i="4"/>
  <c r="AN41" i="4"/>
  <c r="AO41" i="4"/>
  <c r="AP41" i="4"/>
  <c r="AQ41" i="4"/>
  <c r="AR41" i="4"/>
  <c r="AS41" i="4"/>
  <c r="AV41" i="4"/>
  <c r="AW41" i="4"/>
  <c r="AX41" i="4"/>
  <c r="AL42" i="4"/>
  <c r="AM42" i="4"/>
  <c r="AN42" i="4"/>
  <c r="AO42" i="4"/>
  <c r="AP42" i="4"/>
  <c r="AQ42" i="4"/>
  <c r="AR42" i="4"/>
  <c r="AS42" i="4"/>
  <c r="AU42" i="4"/>
  <c r="AV42" i="4"/>
  <c r="AW42" i="4"/>
  <c r="AX42" i="4"/>
  <c r="AM43" i="4"/>
  <c r="AN43" i="4"/>
  <c r="AO43" i="4"/>
  <c r="AP43" i="4"/>
  <c r="AQ43" i="4"/>
  <c r="AR43" i="4"/>
  <c r="AS43" i="4"/>
  <c r="AV43" i="4"/>
  <c r="AW43" i="4"/>
  <c r="AX43" i="4"/>
  <c r="AL44" i="4"/>
  <c r="AM44" i="4"/>
  <c r="AN44" i="4"/>
  <c r="AO44" i="4"/>
  <c r="AP44" i="4"/>
  <c r="AQ44" i="4"/>
  <c r="AS44" i="4"/>
  <c r="AT44" i="4"/>
  <c r="AU44" i="4"/>
  <c r="AW44" i="4"/>
  <c r="AX44" i="4"/>
  <c r="AM45" i="4"/>
  <c r="AN45" i="4"/>
  <c r="AO45" i="4"/>
  <c r="AP45" i="4"/>
  <c r="AR45" i="4"/>
  <c r="AS45" i="4"/>
  <c r="AT45" i="4"/>
  <c r="AV45" i="4"/>
  <c r="AW45" i="4"/>
  <c r="AX45" i="4"/>
  <c r="AL46" i="4"/>
  <c r="AN46" i="4"/>
  <c r="AO46" i="4"/>
  <c r="AQ46" i="4"/>
  <c r="AR46" i="4"/>
  <c r="AS46" i="4"/>
  <c r="AT46" i="4"/>
  <c r="AU46" i="4"/>
  <c r="AW46" i="4"/>
  <c r="AX46" i="4"/>
  <c r="AL47" i="4"/>
  <c r="AM47" i="4"/>
  <c r="AN47" i="4"/>
  <c r="AO47" i="4"/>
  <c r="AP47" i="4"/>
  <c r="AQ47" i="4"/>
  <c r="AS47" i="4"/>
  <c r="AT47" i="4"/>
  <c r="AW47" i="4"/>
  <c r="AX47" i="4"/>
  <c r="AL48" i="4"/>
  <c r="AM48" i="4"/>
  <c r="AN48" i="4"/>
  <c r="AO48" i="4"/>
  <c r="AP48" i="4"/>
  <c r="AQ48" i="4"/>
  <c r="AR48" i="4"/>
  <c r="AS48" i="4"/>
  <c r="AU48" i="4"/>
  <c r="AV48" i="4"/>
  <c r="AW48" i="4"/>
  <c r="AX48" i="4"/>
  <c r="AM49" i="4"/>
  <c r="AN49" i="4"/>
  <c r="AO49" i="4"/>
  <c r="AP49" i="4"/>
  <c r="AQ49" i="4"/>
  <c r="AR49" i="4"/>
  <c r="AS49" i="4"/>
  <c r="AU49" i="4"/>
  <c r="AX49" i="4"/>
  <c r="AM50" i="4"/>
  <c r="AN50" i="4"/>
  <c r="AO50" i="4"/>
  <c r="AP50" i="4"/>
  <c r="AQ50" i="4"/>
  <c r="AS50" i="4"/>
  <c r="AT50" i="4"/>
  <c r="AU50" i="4"/>
  <c r="AW50" i="4"/>
  <c r="AX50" i="4"/>
  <c r="AL51" i="4"/>
  <c r="AM51" i="4"/>
  <c r="AO51" i="4"/>
  <c r="AP51" i="4"/>
  <c r="AQ51" i="4"/>
  <c r="AR51" i="4"/>
  <c r="AS51" i="4"/>
  <c r="AT51" i="4"/>
  <c r="AU51" i="4"/>
  <c r="AW51" i="4"/>
  <c r="AX51" i="4"/>
  <c r="AL52" i="4"/>
  <c r="AM52" i="4"/>
  <c r="AN52" i="4"/>
  <c r="AO52" i="4"/>
  <c r="AQ52" i="4"/>
  <c r="AR52" i="4"/>
  <c r="AS52" i="4"/>
  <c r="AT52" i="4"/>
  <c r="AU52" i="4"/>
  <c r="AW52" i="4"/>
  <c r="AX52" i="4"/>
  <c r="AM53" i="4"/>
  <c r="AN53" i="4"/>
  <c r="AP53" i="4"/>
  <c r="AQ53" i="4"/>
  <c r="AS53" i="4"/>
  <c r="AT53" i="4"/>
  <c r="AW53" i="4"/>
  <c r="AX53" i="4"/>
  <c r="AM54" i="4"/>
  <c r="AO54" i="4"/>
  <c r="AP54" i="4"/>
  <c r="AQ54" i="4"/>
  <c r="AS54" i="4"/>
  <c r="AT54" i="4"/>
  <c r="AW54" i="4"/>
  <c r="AX54" i="4"/>
  <c r="AM55" i="4"/>
  <c r="AN55" i="4"/>
  <c r="AO55" i="4"/>
  <c r="AP55" i="4"/>
  <c r="AQ55" i="4"/>
  <c r="AR55" i="4"/>
  <c r="AS55" i="4"/>
  <c r="AT55" i="4"/>
  <c r="AV55" i="4"/>
  <c r="AW55" i="4"/>
  <c r="AX55" i="4"/>
  <c r="AL56" i="4"/>
  <c r="AN56" i="4"/>
  <c r="AO56" i="4"/>
  <c r="AP56" i="4"/>
  <c r="AQ56" i="4"/>
  <c r="AS56" i="4"/>
  <c r="AU56" i="4"/>
  <c r="AW56" i="4"/>
  <c r="AX56" i="4"/>
  <c r="AL57" i="4"/>
  <c r="AO57" i="4"/>
  <c r="AP57" i="4"/>
  <c r="AQ57" i="4"/>
  <c r="AR57" i="4"/>
  <c r="AS57" i="4"/>
  <c r="AT57" i="4"/>
  <c r="AU57" i="4"/>
  <c r="AV57" i="4"/>
  <c r="AW57" i="4"/>
  <c r="AX57" i="4"/>
  <c r="AN58" i="4"/>
  <c r="AO58" i="4"/>
  <c r="AP58" i="4"/>
  <c r="AQ58" i="4"/>
  <c r="AR58" i="4"/>
  <c r="AS58" i="4"/>
  <c r="AT58" i="4"/>
  <c r="AV58" i="4"/>
  <c r="AW58" i="4"/>
  <c r="AX58" i="4"/>
  <c r="AM59" i="4"/>
  <c r="AN59" i="4"/>
  <c r="AO59" i="4"/>
  <c r="AP59" i="4"/>
  <c r="AQ59" i="4"/>
  <c r="AR59" i="4"/>
  <c r="AS59" i="4"/>
  <c r="AT59" i="4"/>
  <c r="AW59" i="4"/>
  <c r="AX59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M61" i="4"/>
  <c r="AN61" i="4"/>
  <c r="AO61" i="4"/>
  <c r="AP61" i="4"/>
  <c r="AQ61" i="4"/>
  <c r="AR61" i="4"/>
  <c r="AS61" i="4"/>
  <c r="AT61" i="4"/>
  <c r="AV61" i="4"/>
  <c r="AW61" i="4"/>
  <c r="AX61" i="4"/>
  <c r="AN62" i="4"/>
  <c r="AO62" i="4"/>
  <c r="AP62" i="4"/>
  <c r="AQ62" i="4"/>
  <c r="AR62" i="4"/>
  <c r="AS62" i="4"/>
  <c r="AT62" i="4"/>
  <c r="AU62" i="4"/>
  <c r="AV62" i="4"/>
  <c r="AW62" i="4"/>
  <c r="AX62" i="4"/>
  <c r="AN63" i="4"/>
  <c r="AO63" i="4"/>
  <c r="AP63" i="4"/>
  <c r="AQ63" i="4"/>
  <c r="AR63" i="4"/>
  <c r="AS63" i="4"/>
  <c r="AT63" i="4"/>
  <c r="AV63" i="4"/>
  <c r="AW63" i="4"/>
  <c r="AX63" i="4"/>
  <c r="AM64" i="4"/>
  <c r="AO64" i="4"/>
  <c r="AP64" i="4"/>
  <c r="AQ64" i="4"/>
  <c r="AR64" i="4"/>
  <c r="AS64" i="4"/>
  <c r="AV64" i="4"/>
  <c r="AW64" i="4"/>
  <c r="AX64" i="4"/>
  <c r="AP65" i="4"/>
  <c r="AQ65" i="4"/>
  <c r="AR65" i="4"/>
  <c r="AS65" i="4"/>
  <c r="AT65" i="4"/>
  <c r="AU65" i="4"/>
  <c r="AW65" i="4"/>
  <c r="AX65" i="4"/>
  <c r="AP66" i="4"/>
  <c r="AQ66" i="4"/>
  <c r="AR66" i="4"/>
  <c r="AS66" i="4"/>
  <c r="AT66" i="4"/>
  <c r="AU66" i="4"/>
  <c r="AV66" i="4"/>
  <c r="AW66" i="4"/>
  <c r="AX66" i="4"/>
  <c r="AL67" i="4"/>
  <c r="AM67" i="4"/>
  <c r="AN67" i="4"/>
  <c r="AO67" i="4"/>
  <c r="AP67" i="4"/>
  <c r="AQ67" i="4"/>
  <c r="AR67" i="4"/>
  <c r="AS67" i="4"/>
  <c r="AT67" i="4"/>
  <c r="AV67" i="4"/>
  <c r="AW67" i="4"/>
  <c r="AX67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N69" i="4"/>
  <c r="AO69" i="4"/>
  <c r="AP69" i="4"/>
  <c r="AQ69" i="4"/>
  <c r="AS69" i="4"/>
  <c r="AT69" i="4"/>
  <c r="AV69" i="4"/>
  <c r="AW69" i="4"/>
  <c r="AX69" i="4"/>
  <c r="AN70" i="4"/>
  <c r="AO70" i="4"/>
  <c r="AP70" i="4"/>
  <c r="AQ70" i="4"/>
  <c r="AR70" i="4"/>
  <c r="AS70" i="4"/>
  <c r="AT70" i="4"/>
  <c r="AW70" i="4"/>
  <c r="AX70" i="4"/>
  <c r="AM71" i="4"/>
  <c r="AN71" i="4"/>
  <c r="AO71" i="4"/>
  <c r="AP71" i="4"/>
  <c r="AQ71" i="4"/>
  <c r="AR71" i="4"/>
  <c r="AS71" i="4"/>
  <c r="AT71" i="4"/>
  <c r="AW71" i="4"/>
  <c r="AX71" i="4"/>
  <c r="AL72" i="4"/>
  <c r="AM72" i="4"/>
  <c r="AN72" i="4"/>
  <c r="AO72" i="4"/>
  <c r="AP72" i="4"/>
  <c r="AQ72" i="4"/>
  <c r="AR72" i="4"/>
  <c r="AS72" i="4"/>
  <c r="AV72" i="4"/>
  <c r="AW72" i="4"/>
  <c r="AX72" i="4"/>
  <c r="AN73" i="4"/>
  <c r="AO73" i="4"/>
  <c r="AP73" i="4"/>
  <c r="AQ73" i="4"/>
  <c r="AR73" i="4"/>
  <c r="AS73" i="4"/>
  <c r="AT73" i="4"/>
  <c r="AU73" i="4"/>
  <c r="AW73" i="4"/>
  <c r="AX73" i="4"/>
  <c r="AL74" i="4"/>
  <c r="AM74" i="4"/>
  <c r="AN74" i="4"/>
  <c r="AO74" i="4"/>
  <c r="AP74" i="4"/>
  <c r="AQ74" i="4"/>
  <c r="AR74" i="4"/>
  <c r="AS74" i="4"/>
  <c r="AT74" i="4"/>
  <c r="AV74" i="4"/>
  <c r="AW74" i="4"/>
  <c r="AX74" i="4"/>
  <c r="AM75" i="4"/>
  <c r="AN75" i="4"/>
  <c r="AO75" i="4"/>
  <c r="AP75" i="4"/>
  <c r="AQ75" i="4"/>
  <c r="AR75" i="4"/>
  <c r="AS75" i="4"/>
  <c r="AT75" i="4"/>
  <c r="AW75" i="4"/>
  <c r="AX75" i="4"/>
  <c r="AM76" i="4"/>
  <c r="AN76" i="4"/>
  <c r="AO76" i="4"/>
  <c r="AP76" i="4"/>
  <c r="AQ76" i="4"/>
  <c r="AR76" i="4"/>
  <c r="AS76" i="4"/>
  <c r="AT76" i="4"/>
  <c r="AW76" i="4"/>
  <c r="AX76" i="4"/>
  <c r="AM77" i="4"/>
  <c r="AN77" i="4"/>
  <c r="AO77" i="4"/>
  <c r="AQ77" i="4"/>
  <c r="AS77" i="4"/>
  <c r="AT77" i="4"/>
  <c r="AW77" i="4"/>
  <c r="AX77" i="4"/>
  <c r="AM78" i="4"/>
  <c r="AN78" i="4"/>
  <c r="AQ78" i="4"/>
  <c r="AR78" i="4"/>
  <c r="AS78" i="4"/>
  <c r="AT78" i="4"/>
  <c r="AW78" i="4"/>
  <c r="AX78" i="4"/>
  <c r="AM79" i="4"/>
  <c r="AN79" i="4"/>
  <c r="AO79" i="4"/>
  <c r="AP79" i="4"/>
  <c r="AQ79" i="4"/>
  <c r="AS79" i="4"/>
  <c r="AT79" i="4"/>
  <c r="AU79" i="4"/>
  <c r="AX79" i="4"/>
  <c r="AM80" i="4"/>
  <c r="AN80" i="4"/>
  <c r="AO80" i="4"/>
  <c r="AP80" i="4"/>
  <c r="AQ80" i="4"/>
  <c r="AR80" i="4"/>
  <c r="AS80" i="4"/>
  <c r="AT80" i="4"/>
  <c r="AV80" i="4"/>
  <c r="AW80" i="4"/>
  <c r="AX80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M82" i="4"/>
  <c r="AN82" i="4"/>
  <c r="AO82" i="4"/>
  <c r="AP82" i="4"/>
  <c r="AQ82" i="4"/>
  <c r="AR82" i="4"/>
  <c r="AS82" i="4"/>
  <c r="AT82" i="4"/>
  <c r="AW82" i="4"/>
  <c r="AX82" i="4"/>
  <c r="AM83" i="4"/>
  <c r="AN83" i="4"/>
  <c r="AO83" i="4"/>
  <c r="AP83" i="4"/>
  <c r="AQ83" i="4"/>
  <c r="AR83" i="4"/>
  <c r="AS83" i="4"/>
  <c r="AT83" i="4"/>
  <c r="AU83" i="4"/>
  <c r="AW83" i="4"/>
  <c r="AX83" i="4"/>
  <c r="AL84" i="4"/>
  <c r="AM84" i="4"/>
  <c r="AN84" i="4"/>
  <c r="AO84" i="4"/>
  <c r="AP84" i="4"/>
  <c r="AQ84" i="4"/>
  <c r="AR84" i="4"/>
  <c r="AS84" i="4"/>
  <c r="AT84" i="4"/>
  <c r="AV84" i="4"/>
  <c r="AW84" i="4"/>
  <c r="AX84" i="4"/>
  <c r="AM85" i="4"/>
  <c r="AN85" i="4"/>
  <c r="AO85" i="4"/>
  <c r="AP85" i="4"/>
  <c r="AQ85" i="4"/>
  <c r="AR85" i="4"/>
  <c r="AS85" i="4"/>
  <c r="AT85" i="4"/>
  <c r="AV85" i="4"/>
  <c r="AW85" i="4"/>
  <c r="AX85" i="4"/>
  <c r="AM86" i="4"/>
  <c r="AN86" i="4"/>
  <c r="AO86" i="4"/>
  <c r="AP86" i="4"/>
  <c r="AR86" i="4"/>
  <c r="AS86" i="4"/>
  <c r="AT86" i="4"/>
  <c r="AV86" i="4"/>
  <c r="AW86" i="4"/>
  <c r="AX86" i="4"/>
  <c r="AM87" i="4"/>
  <c r="AN87" i="4"/>
  <c r="AO87" i="4"/>
  <c r="AP87" i="4"/>
  <c r="AQ87" i="4"/>
  <c r="AR87" i="4"/>
  <c r="AS87" i="4"/>
  <c r="AT87" i="4"/>
  <c r="AV87" i="4"/>
  <c r="AW87" i="4"/>
  <c r="AX87" i="4"/>
  <c r="AM88" i="4"/>
  <c r="AN88" i="4"/>
  <c r="AO88" i="4"/>
  <c r="AP88" i="4"/>
  <c r="AQ88" i="4"/>
  <c r="AS88" i="4"/>
  <c r="AT88" i="4"/>
  <c r="AU88" i="4"/>
  <c r="AV88" i="4"/>
  <c r="AW88" i="4"/>
  <c r="AX88" i="4"/>
  <c r="AM89" i="4"/>
  <c r="AN89" i="4"/>
  <c r="AO89" i="4"/>
  <c r="AP89" i="4"/>
  <c r="AQ89" i="4"/>
  <c r="AS89" i="4"/>
  <c r="AT89" i="4"/>
  <c r="AV89" i="4"/>
  <c r="AW89" i="4"/>
  <c r="AX89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M91" i="4"/>
  <c r="AN91" i="4"/>
  <c r="AO91" i="4"/>
  <c r="AP91" i="4"/>
  <c r="AQ91" i="4"/>
  <c r="AR91" i="4"/>
  <c r="AS91" i="4"/>
  <c r="AT91" i="4"/>
  <c r="AV91" i="4"/>
  <c r="AW91" i="4"/>
  <c r="AX91" i="4"/>
  <c r="AL92" i="4"/>
  <c r="AM92" i="4"/>
  <c r="AN92" i="4"/>
  <c r="AO92" i="4"/>
  <c r="AP92" i="4"/>
  <c r="AQ92" i="4"/>
  <c r="AS92" i="4"/>
  <c r="AT92" i="4"/>
  <c r="AU92" i="4"/>
  <c r="AW92" i="4"/>
  <c r="AX92" i="4"/>
  <c r="AM93" i="4"/>
  <c r="AN93" i="4"/>
  <c r="AO93" i="4"/>
  <c r="AP93" i="4"/>
  <c r="AQ93" i="4"/>
  <c r="AS93" i="4"/>
  <c r="AT93" i="4"/>
  <c r="AW93" i="4"/>
  <c r="AX93" i="4"/>
  <c r="AM94" i="4"/>
  <c r="AN94" i="4"/>
  <c r="AO94" i="4"/>
  <c r="AP94" i="4"/>
  <c r="AQ94" i="4"/>
  <c r="AR94" i="4"/>
  <c r="AS94" i="4"/>
  <c r="AT94" i="4"/>
  <c r="AW94" i="4"/>
  <c r="AX94" i="4"/>
  <c r="AL95" i="4"/>
  <c r="AO95" i="4"/>
  <c r="AP95" i="4"/>
  <c r="AQ95" i="4"/>
  <c r="AR95" i="4"/>
  <c r="AS95" i="4"/>
  <c r="AT95" i="4"/>
  <c r="AU95" i="4"/>
  <c r="AW95" i="4"/>
  <c r="AX95" i="4"/>
  <c r="AM96" i="4"/>
  <c r="AN96" i="4"/>
  <c r="AO96" i="4"/>
  <c r="AP96" i="4"/>
  <c r="AQ96" i="4"/>
  <c r="AR96" i="4"/>
  <c r="AS96" i="4"/>
  <c r="AT96" i="4"/>
  <c r="AW96" i="4"/>
  <c r="AX96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M98" i="4"/>
  <c r="AN98" i="4"/>
  <c r="AO98" i="4"/>
  <c r="AP98" i="4"/>
  <c r="AQ98" i="4"/>
  <c r="AR98" i="4"/>
  <c r="AS98" i="4"/>
  <c r="AT98" i="4"/>
  <c r="AV98" i="4"/>
  <c r="AW98" i="4"/>
  <c r="AX98" i="4"/>
  <c r="AM99" i="4"/>
  <c r="AN99" i="4"/>
  <c r="AO99" i="4"/>
  <c r="AP99" i="4"/>
  <c r="AQ99" i="4"/>
  <c r="AR99" i="4"/>
  <c r="AS99" i="4"/>
  <c r="AT99" i="4"/>
  <c r="AW99" i="4"/>
  <c r="AX99" i="4"/>
  <c r="AM100" i="4"/>
  <c r="AN100" i="4"/>
  <c r="AO100" i="4"/>
  <c r="AP100" i="4"/>
  <c r="AQ100" i="4"/>
  <c r="AR100" i="4"/>
  <c r="AS100" i="4"/>
  <c r="AT100" i="4"/>
  <c r="AU100" i="4"/>
  <c r="AW100" i="4"/>
  <c r="AX100" i="4"/>
  <c r="AN101" i="4"/>
  <c r="AO101" i="4"/>
  <c r="AP101" i="4"/>
  <c r="AQ101" i="4"/>
  <c r="AR101" i="4"/>
  <c r="AS101" i="4"/>
  <c r="AT101" i="4"/>
  <c r="AU101" i="4"/>
  <c r="AV101" i="4"/>
  <c r="AW101" i="4"/>
  <c r="AX101" i="4"/>
  <c r="AM102" i="4"/>
  <c r="AO102" i="4"/>
  <c r="AP102" i="4"/>
  <c r="AQ102" i="4"/>
  <c r="AR102" i="4"/>
  <c r="AS102" i="4"/>
  <c r="AT102" i="4"/>
  <c r="AW102" i="4"/>
  <c r="AX102" i="4"/>
  <c r="AM103" i="4"/>
  <c r="AN103" i="4"/>
  <c r="AO103" i="4"/>
  <c r="AP103" i="4"/>
  <c r="AQ103" i="4"/>
  <c r="AR103" i="4"/>
  <c r="AS103" i="4"/>
  <c r="AT103" i="4"/>
  <c r="AV103" i="4"/>
  <c r="AW103" i="4"/>
  <c r="AX103" i="4"/>
  <c r="AN104" i="4"/>
  <c r="AO104" i="4"/>
  <c r="AP104" i="4"/>
  <c r="AQ104" i="4"/>
  <c r="AR104" i="4"/>
  <c r="AS104" i="4"/>
  <c r="AT104" i="4"/>
  <c r="AV104" i="4"/>
  <c r="AW104" i="4"/>
  <c r="AX104" i="4"/>
  <c r="AL105" i="4"/>
  <c r="AM105" i="4"/>
  <c r="AN105" i="4"/>
  <c r="AO105" i="4"/>
  <c r="AP105" i="4"/>
  <c r="AQ105" i="4"/>
  <c r="AR105" i="4"/>
  <c r="AS105" i="4"/>
  <c r="AT105" i="4"/>
  <c r="AV105" i="4"/>
  <c r="AW105" i="4"/>
  <c r="AX105" i="4"/>
  <c r="AM106" i="4"/>
  <c r="AN106" i="4"/>
  <c r="AO106" i="4"/>
  <c r="AP106" i="4"/>
  <c r="AR106" i="4"/>
  <c r="AS106" i="4"/>
  <c r="AT106" i="4"/>
  <c r="AU106" i="4"/>
  <c r="AW106" i="4"/>
  <c r="AX106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G97" i="4"/>
  <c r="I97" i="4" s="1"/>
  <c r="G98" i="4"/>
  <c r="I98" i="4" s="1"/>
  <c r="G99" i="4"/>
  <c r="I99" i="4" s="1"/>
  <c r="G100" i="4"/>
  <c r="I100" i="4" s="1"/>
  <c r="G101" i="4"/>
  <c r="I101" i="4" s="1"/>
  <c r="G102" i="4"/>
  <c r="I102" i="4" s="1"/>
  <c r="G103" i="4"/>
  <c r="I103" i="4" s="1"/>
  <c r="G104" i="4"/>
  <c r="I104" i="4" s="1"/>
  <c r="G105" i="4"/>
  <c r="I105" i="4" s="1"/>
  <c r="G106" i="4"/>
  <c r="I106" i="4" s="1"/>
  <c r="J115" i="4" l="1"/>
  <c r="J78" i="4"/>
  <c r="J110" i="4"/>
  <c r="J98" i="4"/>
  <c r="J58" i="4"/>
  <c r="J97" i="4"/>
  <c r="J77" i="4"/>
  <c r="J57" i="4"/>
  <c r="J109" i="4"/>
  <c r="J111" i="4"/>
  <c r="J107" i="4"/>
  <c r="J94" i="4"/>
  <c r="J74" i="4"/>
  <c r="J54" i="4"/>
  <c r="J70" i="4"/>
  <c r="J96" i="4"/>
  <c r="J76" i="4"/>
  <c r="J56" i="4"/>
  <c r="J50" i="4"/>
  <c r="J90" i="4"/>
  <c r="J112" i="4"/>
  <c r="J91" i="4"/>
  <c r="J71" i="4"/>
  <c r="J51" i="4"/>
  <c r="J104" i="4"/>
  <c r="J84" i="4"/>
  <c r="J64" i="4"/>
  <c r="J44" i="4"/>
  <c r="J103" i="4"/>
  <c r="J83" i="4"/>
  <c r="J63" i="4"/>
  <c r="J43" i="4"/>
  <c r="J113" i="4"/>
  <c r="J89" i="4"/>
  <c r="J69" i="4"/>
  <c r="J49" i="4"/>
  <c r="J117" i="4"/>
  <c r="J102" i="4"/>
  <c r="J82" i="4"/>
  <c r="J62" i="4"/>
  <c r="J42" i="4"/>
  <c r="J95" i="4"/>
  <c r="J75" i="4"/>
  <c r="J55" i="4"/>
  <c r="J116" i="4"/>
  <c r="J88" i="4"/>
  <c r="J68" i="4"/>
  <c r="J48" i="4"/>
  <c r="J101" i="4"/>
  <c r="J81" i="4"/>
  <c r="J61" i="4"/>
  <c r="J41" i="4"/>
  <c r="J87" i="4"/>
  <c r="J67" i="4"/>
  <c r="J47" i="4"/>
  <c r="J114" i="4"/>
  <c r="J100" i="4"/>
  <c r="J80" i="4"/>
  <c r="J60" i="4"/>
  <c r="J93" i="4"/>
  <c r="J73" i="4"/>
  <c r="J53" i="4"/>
  <c r="J106" i="4"/>
  <c r="J86" i="4"/>
  <c r="J66" i="4"/>
  <c r="J46" i="4"/>
  <c r="J108" i="4"/>
  <c r="J99" i="4"/>
  <c r="J79" i="4"/>
  <c r="J59" i="4"/>
  <c r="J92" i="4"/>
  <c r="J72" i="4"/>
  <c r="J52" i="4"/>
  <c r="J105" i="4"/>
  <c r="J85" i="4"/>
  <c r="J65" i="4"/>
  <c r="J45" i="4"/>
  <c r="K138" i="4"/>
  <c r="L138" i="4" s="1"/>
  <c r="M138" i="4" s="1"/>
  <c r="T138" i="4" s="1"/>
  <c r="K108" i="4"/>
  <c r="K133" i="4"/>
  <c r="L133" i="4" s="1"/>
  <c r="M133" i="4" s="1"/>
  <c r="T133" i="4" s="1"/>
  <c r="K113" i="4"/>
  <c r="K120" i="4"/>
  <c r="L120" i="4" s="1"/>
  <c r="M120" i="4" s="1"/>
  <c r="T120" i="4" s="1"/>
  <c r="K130" i="4"/>
  <c r="L130" i="4" s="1"/>
  <c r="M130" i="4" s="1"/>
  <c r="T130" i="4" s="1"/>
  <c r="K115" i="4"/>
  <c r="K128" i="4"/>
  <c r="L128" i="4" s="1"/>
  <c r="M128" i="4" s="1"/>
  <c r="T128" i="4" s="1"/>
  <c r="K125" i="4"/>
  <c r="L125" i="4" s="1"/>
  <c r="M125" i="4" s="1"/>
  <c r="T125" i="4" s="1"/>
  <c r="K140" i="4"/>
  <c r="L140" i="4" s="1"/>
  <c r="M140" i="4" s="1"/>
  <c r="T140" i="4" s="1"/>
  <c r="K135" i="4"/>
  <c r="L135" i="4" s="1"/>
  <c r="M135" i="4" s="1"/>
  <c r="T135" i="4" s="1"/>
  <c r="K110" i="4"/>
  <c r="K118" i="4"/>
  <c r="L118" i="4" s="1"/>
  <c r="M118" i="4" s="1"/>
  <c r="T118" i="4" s="1"/>
  <c r="K142" i="4"/>
  <c r="L142" i="4" s="1"/>
  <c r="M142" i="4" s="1"/>
  <c r="T142" i="4" s="1"/>
  <c r="K132" i="4"/>
  <c r="L132" i="4" s="1"/>
  <c r="M132" i="4" s="1"/>
  <c r="T132" i="4" s="1"/>
  <c r="K107" i="4"/>
  <c r="K124" i="4"/>
  <c r="L124" i="4" s="1"/>
  <c r="M124" i="4" s="1"/>
  <c r="T124" i="4" s="1"/>
  <c r="K119" i="4"/>
  <c r="L119" i="4" s="1"/>
  <c r="M119" i="4" s="1"/>
  <c r="T119" i="4" s="1"/>
  <c r="K114" i="4"/>
  <c r="K109" i="4"/>
  <c r="K117" i="4"/>
  <c r="K127" i="4"/>
  <c r="L127" i="4" s="1"/>
  <c r="M127" i="4" s="1"/>
  <c r="T127" i="4" s="1"/>
  <c r="K112" i="4"/>
  <c r="K139" i="4"/>
  <c r="L139" i="4" s="1"/>
  <c r="M139" i="4" s="1"/>
  <c r="T139" i="4" s="1"/>
  <c r="K134" i="4"/>
  <c r="L134" i="4" s="1"/>
  <c r="M134" i="4" s="1"/>
  <c r="T134" i="4" s="1"/>
  <c r="K129" i="4"/>
  <c r="L129" i="4" s="1"/>
  <c r="M129" i="4" s="1"/>
  <c r="T129" i="4" s="1"/>
  <c r="K122" i="4"/>
  <c r="L122" i="4" s="1"/>
  <c r="M122" i="4" s="1"/>
  <c r="T122" i="4" s="1"/>
  <c r="K136" i="4"/>
  <c r="L136" i="4" s="1"/>
  <c r="M136" i="4" s="1"/>
  <c r="T136" i="4" s="1"/>
  <c r="K121" i="4"/>
  <c r="L121" i="4" s="1"/>
  <c r="M121" i="4" s="1"/>
  <c r="T121" i="4" s="1"/>
  <c r="K111" i="4"/>
  <c r="K137" i="4"/>
  <c r="L137" i="4" s="1"/>
  <c r="M137" i="4" s="1"/>
  <c r="T137" i="4" s="1"/>
  <c r="K141" i="4"/>
  <c r="L141" i="4" s="1"/>
  <c r="M141" i="4" s="1"/>
  <c r="T141" i="4" s="1"/>
  <c r="K131" i="4"/>
  <c r="L131" i="4" s="1"/>
  <c r="M131" i="4" s="1"/>
  <c r="T131" i="4" s="1"/>
  <c r="K126" i="4"/>
  <c r="L126" i="4" s="1"/>
  <c r="M126" i="4" s="1"/>
  <c r="T126" i="4" s="1"/>
  <c r="K116" i="4"/>
  <c r="K123" i="4"/>
  <c r="L123" i="4" s="1"/>
  <c r="M123" i="4" s="1"/>
  <c r="T123" i="4" s="1"/>
  <c r="X143" i="4"/>
  <c r="AE54" i="4"/>
  <c r="AE56" i="4"/>
  <c r="AE57" i="4"/>
  <c r="AE59" i="4"/>
  <c r="AE46" i="4"/>
  <c r="AE50" i="4"/>
  <c r="AF33" i="4"/>
  <c r="AF34" i="4"/>
  <c r="AE35" i="4"/>
  <c r="AF36" i="4"/>
  <c r="AE37" i="4"/>
  <c r="AE38" i="4"/>
  <c r="AH39" i="4"/>
  <c r="AE40" i="4"/>
  <c r="G60" i="4"/>
  <c r="I60" i="4" s="1"/>
  <c r="G61" i="4"/>
  <c r="I61" i="4" s="1"/>
  <c r="G62" i="4"/>
  <c r="I62" i="4" s="1"/>
  <c r="G63" i="4"/>
  <c r="I63" i="4" s="1"/>
  <c r="G50" i="4"/>
  <c r="I50" i="4" s="1"/>
  <c r="G51" i="4"/>
  <c r="I51" i="4" s="1"/>
  <c r="G52" i="4"/>
  <c r="I52" i="4" s="1"/>
  <c r="G53" i="4"/>
  <c r="I53" i="4" s="1"/>
  <c r="G54" i="4"/>
  <c r="I54" i="4" s="1"/>
  <c r="G55" i="4"/>
  <c r="I55" i="4" s="1"/>
  <c r="G56" i="4"/>
  <c r="I56" i="4" s="1"/>
  <c r="G57" i="4"/>
  <c r="I57" i="4" s="1"/>
  <c r="G58" i="4"/>
  <c r="I58" i="4" s="1"/>
  <c r="G59" i="4"/>
  <c r="I59" i="4" s="1"/>
  <c r="G40" i="4"/>
  <c r="I40" i="4" s="1"/>
  <c r="G41" i="4"/>
  <c r="I41" i="4" s="1"/>
  <c r="G42" i="4"/>
  <c r="I42" i="4" s="1"/>
  <c r="G43" i="4"/>
  <c r="I43" i="4" s="1"/>
  <c r="G44" i="4"/>
  <c r="I44" i="4" s="1"/>
  <c r="G45" i="4"/>
  <c r="I45" i="4" s="1"/>
  <c r="G46" i="4"/>
  <c r="I46" i="4" s="1"/>
  <c r="G47" i="4"/>
  <c r="I47" i="4" s="1"/>
  <c r="G48" i="4"/>
  <c r="I48" i="4" s="1"/>
  <c r="G49" i="4"/>
  <c r="I49" i="4" s="1"/>
  <c r="G33" i="4"/>
  <c r="I33" i="4" s="1"/>
  <c r="G34" i="4"/>
  <c r="I34" i="4" s="1"/>
  <c r="G35" i="4"/>
  <c r="I35" i="4" s="1"/>
  <c r="G36" i="4"/>
  <c r="I36" i="4" s="1"/>
  <c r="G37" i="4"/>
  <c r="I37" i="4" s="1"/>
  <c r="G38" i="4"/>
  <c r="I38" i="4" s="1"/>
  <c r="G39" i="4"/>
  <c r="I39" i="4" s="1"/>
  <c r="L113" i="4" l="1"/>
  <c r="M113" i="4" s="1"/>
  <c r="L108" i="4"/>
  <c r="M108" i="4" s="1"/>
  <c r="L111" i="4"/>
  <c r="M111" i="4" s="1"/>
  <c r="L109" i="4"/>
  <c r="M109" i="4" s="1"/>
  <c r="L114" i="4"/>
  <c r="M114" i="4" s="1"/>
  <c r="L116" i="4"/>
  <c r="M116" i="4" s="1"/>
  <c r="T116" i="4" s="1"/>
  <c r="L110" i="4"/>
  <c r="M110" i="4" s="1"/>
  <c r="L112" i="4"/>
  <c r="M112" i="4" s="1"/>
  <c r="L115" i="4"/>
  <c r="M115" i="4" s="1"/>
  <c r="T115" i="4" s="1"/>
  <c r="L107" i="4"/>
  <c r="M107" i="4" s="1"/>
  <c r="L117" i="4"/>
  <c r="M117" i="4" s="1"/>
  <c r="T117" i="4" s="1"/>
  <c r="AE60" i="4"/>
  <c r="AE44" i="4"/>
  <c r="AE47" i="4"/>
  <c r="AE63" i="4"/>
  <c r="AG39" i="4"/>
  <c r="AG38" i="4"/>
  <c r="AF38" i="4"/>
  <c r="AH37" i="4"/>
  <c r="AE45" i="4"/>
  <c r="AG37" i="4"/>
  <c r="AF37" i="4"/>
  <c r="AE41" i="4"/>
  <c r="AE42" i="4"/>
  <c r="AE61" i="4"/>
  <c r="AF39" i="4"/>
  <c r="AE43" i="4"/>
  <c r="AE62" i="4"/>
  <c r="AH38" i="4"/>
  <c r="AE49" i="4"/>
  <c r="AG36" i="4"/>
  <c r="J36" i="4" s="1"/>
  <c r="AE51" i="4"/>
  <c r="AH35" i="4"/>
  <c r="AE33" i="4"/>
  <c r="AE52" i="4"/>
  <c r="AG35" i="4"/>
  <c r="AE34" i="4"/>
  <c r="AE53" i="4"/>
  <c r="AF35" i="4"/>
  <c r="AH34" i="4"/>
  <c r="AE36" i="4"/>
  <c r="AE55" i="4"/>
  <c r="AG34" i="4"/>
  <c r="AH36" i="4"/>
  <c r="AH40" i="4"/>
  <c r="AE48" i="4"/>
  <c r="AG40" i="4"/>
  <c r="AH33" i="4"/>
  <c r="AE39" i="4"/>
  <c r="AE58" i="4"/>
  <c r="AF40" i="4"/>
  <c r="AG33" i="4"/>
  <c r="J40" i="4" l="1"/>
  <c r="J34" i="4"/>
  <c r="J37" i="4"/>
  <c r="J33" i="4"/>
  <c r="J39" i="4"/>
  <c r="J35" i="4"/>
  <c r="J38" i="4"/>
  <c r="U112" i="4"/>
  <c r="T112" i="4"/>
  <c r="U110" i="4"/>
  <c r="T110" i="4"/>
  <c r="U114" i="4"/>
  <c r="T114" i="4"/>
  <c r="U109" i="4"/>
  <c r="T109" i="4"/>
  <c r="V109" i="4" s="1"/>
  <c r="U111" i="4"/>
  <c r="T111" i="4"/>
  <c r="T108" i="4"/>
  <c r="V108" i="4" s="1"/>
  <c r="T107" i="4"/>
  <c r="V107" i="4" s="1"/>
  <c r="U113" i="4"/>
  <c r="T113" i="4"/>
  <c r="U108" i="4"/>
  <c r="U107" i="4"/>
  <c r="X109" i="4" l="1"/>
  <c r="X107" i="4"/>
  <c r="X108" i="4"/>
  <c r="K24" i="17"/>
  <c r="B24" i="17"/>
  <c r="U3" i="17"/>
  <c r="U4" i="17" s="1"/>
  <c r="U5" i="17" s="1"/>
  <c r="U6" i="17" s="1"/>
  <c r="U7" i="17" s="1"/>
  <c r="U8" i="17" s="1"/>
  <c r="U9" i="17" s="1"/>
  <c r="U10" i="17" s="1"/>
  <c r="U11" i="17" s="1"/>
  <c r="U12" i="17" s="1"/>
  <c r="U13" i="17" s="1"/>
  <c r="U14" i="17" s="1"/>
  <c r="U15" i="17" s="1"/>
  <c r="U16" i="17" s="1"/>
  <c r="U17" i="17" s="1"/>
  <c r="U18" i="17" s="1"/>
  <c r="U19" i="17" s="1"/>
  <c r="U20" i="17" s="1"/>
  <c r="U21" i="17" s="1"/>
  <c r="U22" i="17" s="1"/>
  <c r="U23" i="17" s="1"/>
  <c r="U24" i="17" s="1"/>
  <c r="U25" i="17" s="1"/>
  <c r="P2" i="17"/>
  <c r="P3" i="17" s="1"/>
  <c r="P4" i="17" s="1"/>
  <c r="P5" i="17" s="1"/>
  <c r="P6" i="17" s="1"/>
  <c r="P7" i="17" s="1"/>
  <c r="P8" i="17" s="1"/>
  <c r="P9" i="17" s="1"/>
  <c r="P10" i="17" s="1"/>
  <c r="P11" i="17" s="1"/>
  <c r="P12" i="17" s="1"/>
  <c r="P13" i="17" s="1"/>
  <c r="P14" i="17" s="1"/>
  <c r="P15" i="17" s="1"/>
  <c r="P16" i="17" s="1"/>
  <c r="P17" i="17" s="1"/>
  <c r="P18" i="17" s="1"/>
  <c r="P19" i="17" s="1"/>
  <c r="P20" i="17" s="1"/>
  <c r="P21" i="17" s="1"/>
  <c r="P22" i="17" s="1"/>
  <c r="P23" i="17" s="1"/>
  <c r="P24" i="17" s="1"/>
  <c r="P25" i="17" s="1"/>
  <c r="M2" i="17"/>
  <c r="M3" i="17" s="1"/>
  <c r="M4" i="17" s="1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I2" i="17"/>
  <c r="K24" i="16"/>
  <c r="O24" i="16" s="1"/>
  <c r="U3" i="16"/>
  <c r="U4" i="16" s="1"/>
  <c r="U5" i="16" s="1"/>
  <c r="U6" i="16" s="1"/>
  <c r="U7" i="16" s="1"/>
  <c r="U8" i="16" s="1"/>
  <c r="U9" i="16" s="1"/>
  <c r="U10" i="16" s="1"/>
  <c r="U11" i="16" s="1"/>
  <c r="U12" i="16" s="1"/>
  <c r="U13" i="16" s="1"/>
  <c r="U14" i="16" s="1"/>
  <c r="U15" i="16" s="1"/>
  <c r="U16" i="16" s="1"/>
  <c r="U17" i="16" s="1"/>
  <c r="U18" i="16" s="1"/>
  <c r="U19" i="16" s="1"/>
  <c r="U20" i="16" s="1"/>
  <c r="U21" i="16" s="1"/>
  <c r="U22" i="16" s="1"/>
  <c r="U23" i="16" s="1"/>
  <c r="U24" i="16" s="1"/>
  <c r="U25" i="16" s="1"/>
  <c r="P2" i="16"/>
  <c r="P3" i="16" s="1"/>
  <c r="P4" i="16" s="1"/>
  <c r="P5" i="16" s="1"/>
  <c r="P6" i="16" s="1"/>
  <c r="P7" i="16" s="1"/>
  <c r="P8" i="16" s="1"/>
  <c r="P9" i="16" s="1"/>
  <c r="P10" i="16" s="1"/>
  <c r="P11" i="16" s="1"/>
  <c r="P12" i="16" s="1"/>
  <c r="P13" i="16" s="1"/>
  <c r="P14" i="16" s="1"/>
  <c r="P15" i="16" s="1"/>
  <c r="P16" i="16" s="1"/>
  <c r="P17" i="16" s="1"/>
  <c r="P18" i="16" s="1"/>
  <c r="P19" i="16" s="1"/>
  <c r="P20" i="16" s="1"/>
  <c r="P21" i="16" s="1"/>
  <c r="P22" i="16" s="1"/>
  <c r="P23" i="16" s="1"/>
  <c r="P24" i="16" s="1"/>
  <c r="P25" i="16" s="1"/>
  <c r="M2" i="16"/>
  <c r="M3" i="16" s="1"/>
  <c r="M4" i="16" s="1"/>
  <c r="M5" i="16" s="1"/>
  <c r="M6" i="16" s="1"/>
  <c r="M7" i="16" s="1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I2" i="16"/>
  <c r="K16" i="15"/>
  <c r="B16" i="15"/>
  <c r="U3" i="15"/>
  <c r="U4" i="15" s="1"/>
  <c r="U5" i="15" s="1"/>
  <c r="U6" i="15" s="1"/>
  <c r="U7" i="15" s="1"/>
  <c r="U8" i="15" s="1"/>
  <c r="U9" i="15" s="1"/>
  <c r="U10" i="15" s="1"/>
  <c r="U11" i="15" s="1"/>
  <c r="U12" i="15" s="1"/>
  <c r="U13" i="15" s="1"/>
  <c r="U14" i="15" s="1"/>
  <c r="U15" i="15" s="1"/>
  <c r="U16" i="15" s="1"/>
  <c r="U17" i="15" s="1"/>
  <c r="U18" i="15" s="1"/>
  <c r="U19" i="15" s="1"/>
  <c r="U20" i="15" s="1"/>
  <c r="U21" i="15" s="1"/>
  <c r="U22" i="15" s="1"/>
  <c r="U23" i="15" s="1"/>
  <c r="U24" i="15" s="1"/>
  <c r="U25" i="15" s="1"/>
  <c r="P2" i="15"/>
  <c r="P3" i="15" s="1"/>
  <c r="P4" i="15" s="1"/>
  <c r="P5" i="15" s="1"/>
  <c r="P6" i="15" s="1"/>
  <c r="P7" i="15" s="1"/>
  <c r="P8" i="15" s="1"/>
  <c r="P9" i="15" s="1"/>
  <c r="P10" i="15" s="1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M2" i="15"/>
  <c r="M3" i="15" s="1"/>
  <c r="M4" i="15" s="1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M25" i="15" s="1"/>
  <c r="I2" i="15"/>
  <c r="R2" i="15" s="1"/>
  <c r="K16" i="14"/>
  <c r="O16" i="14" s="1"/>
  <c r="B16" i="14"/>
  <c r="U3" i="14"/>
  <c r="U4" i="14" s="1"/>
  <c r="U5" i="14" s="1"/>
  <c r="U6" i="14" s="1"/>
  <c r="U7" i="14" s="1"/>
  <c r="U8" i="14" s="1"/>
  <c r="U9" i="14" s="1"/>
  <c r="U10" i="14" s="1"/>
  <c r="U11" i="14" s="1"/>
  <c r="U12" i="14" s="1"/>
  <c r="U13" i="14" s="1"/>
  <c r="U14" i="14" s="1"/>
  <c r="U15" i="14" s="1"/>
  <c r="U16" i="14" s="1"/>
  <c r="U17" i="14" s="1"/>
  <c r="U18" i="14" s="1"/>
  <c r="U19" i="14" s="1"/>
  <c r="U20" i="14" s="1"/>
  <c r="U21" i="14" s="1"/>
  <c r="U22" i="14" s="1"/>
  <c r="U23" i="14" s="1"/>
  <c r="U24" i="14" s="1"/>
  <c r="U25" i="14" s="1"/>
  <c r="P2" i="14"/>
  <c r="P3" i="14" s="1"/>
  <c r="P4" i="14" s="1"/>
  <c r="P5" i="14" s="1"/>
  <c r="P6" i="14" s="1"/>
  <c r="P7" i="14" s="1"/>
  <c r="P8" i="14" s="1"/>
  <c r="P9" i="14" s="1"/>
  <c r="P10" i="14" s="1"/>
  <c r="P11" i="14" s="1"/>
  <c r="P12" i="14" s="1"/>
  <c r="P13" i="14" s="1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25" i="14" s="1"/>
  <c r="M2" i="14"/>
  <c r="M3" i="14" s="1"/>
  <c r="M4" i="14" s="1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I2" i="14"/>
  <c r="K16" i="13"/>
  <c r="B16" i="13"/>
  <c r="U3" i="13"/>
  <c r="U4" i="13" s="1"/>
  <c r="U5" i="13" s="1"/>
  <c r="U6" i="13" s="1"/>
  <c r="U7" i="13" s="1"/>
  <c r="U8" i="13" s="1"/>
  <c r="U9" i="13" s="1"/>
  <c r="U10" i="13" s="1"/>
  <c r="U11" i="13" s="1"/>
  <c r="U12" i="13" s="1"/>
  <c r="U13" i="13" s="1"/>
  <c r="U14" i="13" s="1"/>
  <c r="U15" i="13" s="1"/>
  <c r="U16" i="13" s="1"/>
  <c r="U17" i="13" s="1"/>
  <c r="U18" i="13" s="1"/>
  <c r="U19" i="13" s="1"/>
  <c r="U20" i="13" s="1"/>
  <c r="U21" i="13" s="1"/>
  <c r="U22" i="13" s="1"/>
  <c r="U23" i="13" s="1"/>
  <c r="U24" i="13" s="1"/>
  <c r="U25" i="13" s="1"/>
  <c r="P2" i="13"/>
  <c r="P3" i="13" s="1"/>
  <c r="P4" i="13" s="1"/>
  <c r="P5" i="13" s="1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M2" i="13"/>
  <c r="M3" i="13" s="1"/>
  <c r="M4" i="13" s="1"/>
  <c r="M5" i="13" s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I2" i="13"/>
  <c r="P2" i="5"/>
  <c r="M2" i="5"/>
  <c r="I2" i="5"/>
  <c r="R2" i="13" l="1"/>
  <c r="R2" i="16"/>
  <c r="R2" i="17"/>
  <c r="R2" i="14"/>
  <c r="I3" i="14"/>
  <c r="R3" i="14" s="1"/>
  <c r="I3" i="15"/>
  <c r="R3" i="15" s="1"/>
  <c r="I3" i="17"/>
  <c r="R3" i="17" s="1"/>
  <c r="O16" i="15"/>
  <c r="O24" i="17"/>
  <c r="I3" i="16"/>
  <c r="I4" i="15"/>
  <c r="I4" i="14"/>
  <c r="O16" i="13"/>
  <c r="I3" i="13"/>
  <c r="I4" i="17" l="1"/>
  <c r="R4" i="17"/>
  <c r="I5" i="17"/>
  <c r="R3" i="16"/>
  <c r="I4" i="16"/>
  <c r="R4" i="15"/>
  <c r="I5" i="15"/>
  <c r="R4" i="14"/>
  <c r="I5" i="14"/>
  <c r="I4" i="13"/>
  <c r="R3" i="13"/>
  <c r="I6" i="17" l="1"/>
  <c r="R5" i="17"/>
  <c r="R4" i="16"/>
  <c r="I5" i="16"/>
  <c r="I6" i="15"/>
  <c r="R5" i="15"/>
  <c r="I6" i="14"/>
  <c r="R5" i="14"/>
  <c r="R4" i="13"/>
  <c r="I5" i="13"/>
  <c r="R6" i="17" l="1"/>
  <c r="I7" i="17"/>
  <c r="I6" i="16"/>
  <c r="R5" i="16"/>
  <c r="I7" i="15"/>
  <c r="R6" i="15"/>
  <c r="I7" i="14"/>
  <c r="R6" i="14"/>
  <c r="I6" i="13"/>
  <c r="R5" i="13"/>
  <c r="I8" i="17" l="1"/>
  <c r="R7" i="17"/>
  <c r="I7" i="16"/>
  <c r="R6" i="16"/>
  <c r="I8" i="15"/>
  <c r="R7" i="15"/>
  <c r="R7" i="14"/>
  <c r="I8" i="14"/>
  <c r="I7" i="13"/>
  <c r="R6" i="13"/>
  <c r="I9" i="17" l="1"/>
  <c r="R8" i="17"/>
  <c r="R7" i="16"/>
  <c r="I8" i="16"/>
  <c r="I9" i="15"/>
  <c r="R8" i="15"/>
  <c r="R8" i="14"/>
  <c r="I9" i="14"/>
  <c r="I8" i="13"/>
  <c r="R7" i="13"/>
  <c r="R9" i="17" l="1"/>
  <c r="I10" i="17"/>
  <c r="I9" i="16"/>
  <c r="R8" i="16"/>
  <c r="R9" i="15"/>
  <c r="I10" i="15"/>
  <c r="R9" i="14"/>
  <c r="I10" i="14"/>
  <c r="I9" i="13"/>
  <c r="R8" i="13"/>
  <c r="R10" i="17" l="1"/>
  <c r="I11" i="17"/>
  <c r="R9" i="16"/>
  <c r="I10" i="16"/>
  <c r="R10" i="15"/>
  <c r="I11" i="15"/>
  <c r="R10" i="14"/>
  <c r="I11" i="14"/>
  <c r="R9" i="13"/>
  <c r="I10" i="13"/>
  <c r="R11" i="17" l="1"/>
  <c r="I12" i="17"/>
  <c r="R10" i="16"/>
  <c r="I11" i="16"/>
  <c r="R11" i="15"/>
  <c r="I12" i="15"/>
  <c r="R11" i="14"/>
  <c r="I12" i="14"/>
  <c r="R10" i="13"/>
  <c r="I11" i="13"/>
  <c r="R12" i="17" l="1"/>
  <c r="I13" i="17"/>
  <c r="R11" i="16"/>
  <c r="I12" i="16"/>
  <c r="R12" i="15"/>
  <c r="I13" i="15"/>
  <c r="I13" i="14"/>
  <c r="R12" i="14"/>
  <c r="R11" i="13"/>
  <c r="I12" i="13"/>
  <c r="R13" i="17" l="1"/>
  <c r="I14" i="17"/>
  <c r="R12" i="16"/>
  <c r="I13" i="16"/>
  <c r="R13" i="15"/>
  <c r="I14" i="15"/>
  <c r="R13" i="14"/>
  <c r="I14" i="14"/>
  <c r="R12" i="13"/>
  <c r="I13" i="13"/>
  <c r="R14" i="17" l="1"/>
  <c r="I15" i="17"/>
  <c r="R13" i="16"/>
  <c r="I14" i="16"/>
  <c r="R14" i="15"/>
  <c r="I15" i="15"/>
  <c r="R14" i="14"/>
  <c r="I15" i="14"/>
  <c r="R13" i="13"/>
  <c r="I14" i="13"/>
  <c r="I16" i="17" l="1"/>
  <c r="R15" i="17"/>
  <c r="R14" i="16"/>
  <c r="I15" i="16"/>
  <c r="I16" i="15"/>
  <c r="R15" i="15"/>
  <c r="I16" i="14"/>
  <c r="R15" i="14"/>
  <c r="R14" i="13"/>
  <c r="I15" i="13"/>
  <c r="R16" i="17" l="1"/>
  <c r="I17" i="17"/>
  <c r="I16" i="16"/>
  <c r="R15" i="16"/>
  <c r="I17" i="15"/>
  <c r="R16" i="15"/>
  <c r="R16" i="14"/>
  <c r="I17" i="14"/>
  <c r="I16" i="13"/>
  <c r="R15" i="13"/>
  <c r="R17" i="17" l="1"/>
  <c r="I18" i="17"/>
  <c r="R16" i="16"/>
  <c r="I17" i="16"/>
  <c r="R17" i="15"/>
  <c r="I18" i="15"/>
  <c r="R17" i="14"/>
  <c r="I18" i="14"/>
  <c r="I17" i="13"/>
  <c r="R16" i="13"/>
  <c r="I19" i="17" l="1"/>
  <c r="R18" i="17"/>
  <c r="R17" i="16"/>
  <c r="I18" i="16"/>
  <c r="I19" i="15"/>
  <c r="R18" i="15"/>
  <c r="I19" i="14"/>
  <c r="R18" i="14"/>
  <c r="I18" i="13"/>
  <c r="R17" i="13"/>
  <c r="R19" i="17" l="1"/>
  <c r="I20" i="17"/>
  <c r="I19" i="16"/>
  <c r="R18" i="16"/>
  <c r="R19" i="15"/>
  <c r="I20" i="15"/>
  <c r="R19" i="14"/>
  <c r="I20" i="14"/>
  <c r="I19" i="13"/>
  <c r="R18" i="13"/>
  <c r="R20" i="17" l="1"/>
  <c r="I21" i="17"/>
  <c r="R19" i="16"/>
  <c r="I20" i="16"/>
  <c r="R20" i="15"/>
  <c r="I21" i="15"/>
  <c r="R20" i="14"/>
  <c r="I21" i="14"/>
  <c r="R19" i="13"/>
  <c r="I20" i="13"/>
  <c r="R21" i="17" l="1"/>
  <c r="I22" i="17"/>
  <c r="R20" i="16"/>
  <c r="I21" i="16"/>
  <c r="R21" i="15"/>
  <c r="I22" i="15"/>
  <c r="R21" i="14"/>
  <c r="I22" i="14"/>
  <c r="R20" i="13"/>
  <c r="I21" i="13"/>
  <c r="R22" i="17" l="1"/>
  <c r="I23" i="17"/>
  <c r="R21" i="16"/>
  <c r="I22" i="16"/>
  <c r="R22" i="15"/>
  <c r="I23" i="15"/>
  <c r="I23" i="14"/>
  <c r="R22" i="14"/>
  <c r="R21" i="13"/>
  <c r="I22" i="13"/>
  <c r="R23" i="17" l="1"/>
  <c r="I24" i="17"/>
  <c r="R22" i="16"/>
  <c r="I23" i="16"/>
  <c r="R23" i="15"/>
  <c r="I24" i="15"/>
  <c r="R23" i="14"/>
  <c r="I24" i="14"/>
  <c r="R22" i="13"/>
  <c r="I23" i="13"/>
  <c r="R24" i="17" l="1"/>
  <c r="I25" i="17"/>
  <c r="R23" i="16"/>
  <c r="I24" i="16"/>
  <c r="R24" i="15"/>
  <c r="I25" i="15"/>
  <c r="R24" i="14"/>
  <c r="I25" i="14"/>
  <c r="R23" i="13"/>
  <c r="I24" i="13"/>
  <c r="R25" i="17" l="1"/>
  <c r="R24" i="16"/>
  <c r="I25" i="16"/>
  <c r="R25" i="15"/>
  <c r="R25" i="14"/>
  <c r="R24" i="13"/>
  <c r="I25" i="13"/>
  <c r="R25" i="16" l="1"/>
  <c r="R25" i="13"/>
  <c r="K10" i="5" l="1"/>
  <c r="K16" i="5"/>
  <c r="K2" i="5" l="1"/>
  <c r="F159" i="3" l="1"/>
  <c r="F92" i="3" l="1"/>
  <c r="K7" i="5" l="1"/>
  <c r="K11" i="5"/>
  <c r="K12" i="5"/>
  <c r="K13" i="5"/>
  <c r="K14" i="5"/>
  <c r="K15" i="5"/>
  <c r="K17" i="5"/>
  <c r="K18" i="5"/>
  <c r="K21" i="5"/>
  <c r="K2" i="13"/>
  <c r="O2" i="13" s="1"/>
  <c r="K6" i="13"/>
  <c r="K7" i="13"/>
  <c r="K10" i="13"/>
  <c r="K11" i="13"/>
  <c r="K12" i="13"/>
  <c r="K13" i="13"/>
  <c r="K14" i="13"/>
  <c r="K15" i="13"/>
  <c r="K17" i="13"/>
  <c r="K18" i="13"/>
  <c r="K21" i="13"/>
  <c r="K6" i="14"/>
  <c r="K7" i="14"/>
  <c r="K10" i="14"/>
  <c r="K11" i="14"/>
  <c r="K12" i="14"/>
  <c r="K13" i="14"/>
  <c r="K14" i="14"/>
  <c r="K15" i="14"/>
  <c r="K17" i="14"/>
  <c r="K18" i="14"/>
  <c r="K21" i="14"/>
  <c r="K6" i="15"/>
  <c r="K7" i="15"/>
  <c r="K10" i="15"/>
  <c r="K11" i="15"/>
  <c r="K12" i="15"/>
  <c r="K13" i="15"/>
  <c r="K14" i="15"/>
  <c r="K15" i="15"/>
  <c r="K17" i="15"/>
  <c r="K18" i="15"/>
  <c r="K21" i="15"/>
  <c r="K22" i="15"/>
  <c r="K23" i="15"/>
  <c r="K6" i="16"/>
  <c r="K7" i="16"/>
  <c r="K14" i="16"/>
  <c r="K20" i="16"/>
  <c r="K21" i="16"/>
  <c r="K22" i="16"/>
  <c r="K23" i="16"/>
  <c r="K6" i="17"/>
  <c r="K7" i="17"/>
  <c r="K14" i="17"/>
  <c r="K15" i="17"/>
  <c r="K19" i="17"/>
  <c r="K20" i="17"/>
  <c r="K21" i="17"/>
  <c r="K22" i="17"/>
  <c r="K23" i="17"/>
  <c r="K25" i="5"/>
  <c r="K25" i="13"/>
  <c r="K19" i="16" l="1"/>
  <c r="O19" i="16" s="1"/>
  <c r="K20" i="15"/>
  <c r="O20" i="15" s="1"/>
  <c r="K19" i="15"/>
  <c r="O19" i="15" s="1"/>
  <c r="K19" i="14"/>
  <c r="O19" i="14" s="1"/>
  <c r="K24" i="15"/>
  <c r="O24" i="15" s="1"/>
  <c r="K23" i="14"/>
  <c r="O23" i="14" s="1"/>
  <c r="K24" i="14"/>
  <c r="O24" i="14" s="1"/>
  <c r="K22" i="14"/>
  <c r="O22" i="14" s="1"/>
  <c r="K20" i="14"/>
  <c r="O20" i="14" s="1"/>
  <c r="K23" i="13"/>
  <c r="O23" i="13" s="1"/>
  <c r="K19" i="13"/>
  <c r="O19" i="13" s="1"/>
  <c r="K22" i="13"/>
  <c r="O22" i="13" s="1"/>
  <c r="K24" i="13"/>
  <c r="O24" i="13" s="1"/>
  <c r="K20" i="13"/>
  <c r="O20" i="13" s="1"/>
  <c r="K23" i="5"/>
  <c r="K19" i="5"/>
  <c r="K20" i="5"/>
  <c r="K22" i="5"/>
  <c r="K24" i="5"/>
  <c r="K10" i="16"/>
  <c r="O10" i="16" s="1"/>
  <c r="K13" i="16"/>
  <c r="O13" i="16" s="1"/>
  <c r="K11" i="16"/>
  <c r="O11" i="16" s="1"/>
  <c r="K18" i="17"/>
  <c r="O18" i="17" s="1"/>
  <c r="K13" i="17"/>
  <c r="O13" i="17" s="1"/>
  <c r="K12" i="17"/>
  <c r="O12" i="17" s="1"/>
  <c r="K10" i="17"/>
  <c r="O10" i="17" s="1"/>
  <c r="K11" i="17"/>
  <c r="O11" i="17" s="1"/>
  <c r="K17" i="17"/>
  <c r="O17" i="17" s="1"/>
  <c r="K16" i="17"/>
  <c r="O16" i="17" s="1"/>
  <c r="K17" i="16"/>
  <c r="O17" i="16" s="1"/>
  <c r="K12" i="16"/>
  <c r="O12" i="16" s="1"/>
  <c r="K16" i="16"/>
  <c r="O16" i="16" s="1"/>
  <c r="K18" i="16"/>
  <c r="O18" i="16" s="1"/>
  <c r="K15" i="16"/>
  <c r="O15" i="16" s="1"/>
  <c r="K5" i="14"/>
  <c r="O5" i="14" s="1"/>
  <c r="K3" i="14"/>
  <c r="O3" i="14" s="1"/>
  <c r="K4" i="15"/>
  <c r="O4" i="15" s="1"/>
  <c r="K2" i="15"/>
  <c r="O2" i="15" s="1"/>
  <c r="K8" i="17"/>
  <c r="O8" i="17" s="1"/>
  <c r="K9" i="17"/>
  <c r="O9" i="17" s="1"/>
  <c r="K5" i="16"/>
  <c r="O5" i="16" s="1"/>
  <c r="K3" i="16"/>
  <c r="O3" i="16" s="1"/>
  <c r="K8" i="15"/>
  <c r="O8" i="15" s="1"/>
  <c r="K9" i="15"/>
  <c r="O9" i="15" s="1"/>
  <c r="K8" i="14"/>
  <c r="O8" i="14" s="1"/>
  <c r="K9" i="14"/>
  <c r="O9" i="14" s="1"/>
  <c r="K5" i="15"/>
  <c r="O5" i="15" s="1"/>
  <c r="K3" i="15"/>
  <c r="O3" i="15" s="1"/>
  <c r="K8" i="16"/>
  <c r="O8" i="16" s="1"/>
  <c r="K9" i="16"/>
  <c r="O9" i="16" s="1"/>
  <c r="K4" i="14"/>
  <c r="O4" i="14" s="1"/>
  <c r="K2" i="14"/>
  <c r="O2" i="14" s="1"/>
  <c r="K4" i="16"/>
  <c r="O4" i="16" s="1"/>
  <c r="K2" i="16"/>
  <c r="O2" i="16" s="1"/>
  <c r="K5" i="13"/>
  <c r="O5" i="13" s="1"/>
  <c r="K3" i="13"/>
  <c r="O3" i="13" s="1"/>
  <c r="K4" i="17"/>
  <c r="O4" i="17" s="1"/>
  <c r="K2" i="17"/>
  <c r="O2" i="17" s="1"/>
  <c r="K8" i="5"/>
  <c r="K9" i="5"/>
  <c r="K6" i="5"/>
  <c r="K4" i="5"/>
  <c r="K5" i="17"/>
  <c r="O5" i="17" s="1"/>
  <c r="K3" i="17"/>
  <c r="O3" i="17" s="1"/>
  <c r="K8" i="13"/>
  <c r="O8" i="13" s="1"/>
  <c r="K9" i="13"/>
  <c r="O9" i="13" s="1"/>
  <c r="K5" i="5"/>
  <c r="K3" i="5"/>
  <c r="K4" i="13"/>
  <c r="O4" i="13" s="1"/>
  <c r="O21" i="16"/>
  <c r="O18" i="15"/>
  <c r="O15" i="14"/>
  <c r="O13" i="13"/>
  <c r="K25" i="16"/>
  <c r="O20" i="16"/>
  <c r="O17" i="15"/>
  <c r="O14" i="14"/>
  <c r="O12" i="13"/>
  <c r="O23" i="17"/>
  <c r="O15" i="15"/>
  <c r="O13" i="14"/>
  <c r="O11" i="13"/>
  <c r="O14" i="15"/>
  <c r="O13" i="15"/>
  <c r="O11" i="14"/>
  <c r="O22" i="17"/>
  <c r="O20" i="17"/>
  <c r="O14" i="16"/>
  <c r="O12" i="15"/>
  <c r="O10" i="14"/>
  <c r="O7" i="13"/>
  <c r="K25" i="15"/>
  <c r="O19" i="17"/>
  <c r="O11" i="15"/>
  <c r="O6" i="13"/>
  <c r="O10" i="15"/>
  <c r="O7" i="14"/>
  <c r="O10" i="13"/>
  <c r="O15" i="17"/>
  <c r="O6" i="14"/>
  <c r="O14" i="17"/>
  <c r="O7" i="15"/>
  <c r="O6" i="15"/>
  <c r="K25" i="14"/>
  <c r="O7" i="16"/>
  <c r="O12" i="14"/>
  <c r="O6" i="16"/>
  <c r="O21" i="13"/>
  <c r="O7" i="17"/>
  <c r="O6" i="17"/>
  <c r="O23" i="15"/>
  <c r="O21" i="14"/>
  <c r="K25" i="17"/>
  <c r="O25" i="13"/>
  <c r="O22" i="15"/>
  <c r="O18" i="13"/>
  <c r="O21" i="15"/>
  <c r="O17" i="13"/>
  <c r="O21" i="17"/>
  <c r="O23" i="16"/>
  <c r="O18" i="14"/>
  <c r="O15" i="13"/>
  <c r="O22" i="16"/>
  <c r="O17" i="14"/>
  <c r="O14" i="13"/>
  <c r="V115" i="4" l="1"/>
  <c r="V138" i="4"/>
  <c r="U127" i="4"/>
  <c r="V127" i="4"/>
  <c r="V124" i="4"/>
  <c r="U124" i="4"/>
  <c r="V133" i="4"/>
  <c r="U133" i="4"/>
  <c r="V110" i="4"/>
  <c r="X110" i="4" s="1"/>
  <c r="B24" i="16"/>
  <c r="O25" i="16"/>
  <c r="O25" i="17"/>
  <c r="O25" i="14"/>
  <c r="O25" i="15"/>
  <c r="X133" i="4" l="1"/>
  <c r="X124" i="4"/>
  <c r="U115" i="4"/>
  <c r="X115" i="4" s="1"/>
  <c r="U138" i="4"/>
  <c r="X138" i="4" s="1"/>
  <c r="V119" i="4"/>
  <c r="U119" i="4"/>
  <c r="V122" i="4"/>
  <c r="U122" i="4"/>
  <c r="V123" i="4"/>
  <c r="U123" i="4"/>
  <c r="U140" i="4"/>
  <c r="V140" i="4"/>
  <c r="V120" i="4"/>
  <c r="U120" i="4"/>
  <c r="V141" i="4"/>
  <c r="U141" i="4"/>
  <c r="V136" i="4"/>
  <c r="U136" i="4"/>
  <c r="V126" i="4"/>
  <c r="U126" i="4"/>
  <c r="U128" i="4"/>
  <c r="V128" i="4"/>
  <c r="V137" i="4"/>
  <c r="U137" i="4"/>
  <c r="V121" i="4"/>
  <c r="U121" i="4"/>
  <c r="V131" i="4"/>
  <c r="U131" i="4"/>
  <c r="V135" i="4"/>
  <c r="U135" i="4"/>
  <c r="V130" i="4"/>
  <c r="U130" i="4"/>
  <c r="V132" i="4"/>
  <c r="U132" i="4"/>
  <c r="V125" i="4"/>
  <c r="U125" i="4"/>
  <c r="V139" i="4"/>
  <c r="U139" i="4"/>
  <c r="V129" i="4"/>
  <c r="U129" i="4"/>
  <c r="V134" i="4"/>
  <c r="U134" i="4"/>
  <c r="V142" i="4"/>
  <c r="U142" i="4"/>
  <c r="X127" i="4"/>
  <c r="V113" i="4"/>
  <c r="X113" i="4" s="1"/>
  <c r="U116" i="4"/>
  <c r="V116" i="4"/>
  <c r="V111" i="4"/>
  <c r="X111" i="4" s="1"/>
  <c r="V114" i="4"/>
  <c r="X114" i="4" s="1"/>
  <c r="V112" i="4"/>
  <c r="X112" i="4" s="1"/>
  <c r="F374" i="3"/>
  <c r="G374" i="3" s="1"/>
  <c r="X125" i="4" l="1"/>
  <c r="X140" i="4"/>
  <c r="X126" i="4"/>
  <c r="X128" i="4"/>
  <c r="X135" i="4"/>
  <c r="X123" i="4"/>
  <c r="X137" i="4"/>
  <c r="X141" i="4"/>
  <c r="X129" i="4"/>
  <c r="X134" i="4"/>
  <c r="X131" i="4"/>
  <c r="X122" i="4"/>
  <c r="X120" i="4"/>
  <c r="X142" i="4"/>
  <c r="X136" i="4"/>
  <c r="X132" i="4"/>
  <c r="X130" i="4"/>
  <c r="X139" i="4"/>
  <c r="X121" i="4"/>
  <c r="X119" i="4"/>
  <c r="X116" i="4"/>
  <c r="V117" i="4"/>
  <c r="U117" i="4"/>
  <c r="V118" i="4"/>
  <c r="U118" i="4"/>
  <c r="G446" i="3"/>
  <c r="J446" i="3"/>
  <c r="G447" i="3"/>
  <c r="AR15" i="4" s="1"/>
  <c r="J447" i="3"/>
  <c r="G448" i="3"/>
  <c r="J448" i="3"/>
  <c r="G449" i="3"/>
  <c r="AR37" i="4" s="1"/>
  <c r="J449" i="3"/>
  <c r="G450" i="3"/>
  <c r="J450" i="3"/>
  <c r="G451" i="3"/>
  <c r="J451" i="3"/>
  <c r="G452" i="3"/>
  <c r="J452" i="3"/>
  <c r="G453" i="3"/>
  <c r="J453" i="3"/>
  <c r="G454" i="3"/>
  <c r="J454" i="3"/>
  <c r="G455" i="3"/>
  <c r="J455" i="3"/>
  <c r="G456" i="3"/>
  <c r="AO53" i="4" s="1"/>
  <c r="J456" i="3"/>
  <c r="G457" i="3"/>
  <c r="AR53" i="4" s="1"/>
  <c r="J457" i="3"/>
  <c r="G458" i="3"/>
  <c r="AR54" i="4" s="1"/>
  <c r="J458" i="3"/>
  <c r="G459" i="3"/>
  <c r="AR89" i="4" s="1"/>
  <c r="J459" i="3"/>
  <c r="G460" i="3"/>
  <c r="J460" i="3"/>
  <c r="G461" i="3"/>
  <c r="J461" i="3"/>
  <c r="G462" i="3"/>
  <c r="J462" i="3"/>
  <c r="G463" i="3"/>
  <c r="AR92" i="4" s="1"/>
  <c r="J463" i="3"/>
  <c r="G464" i="3"/>
  <c r="J464" i="3"/>
  <c r="G465" i="3"/>
  <c r="AP46" i="4" s="1"/>
  <c r="J465" i="3"/>
  <c r="G466" i="3"/>
  <c r="J466" i="3"/>
  <c r="G467" i="3"/>
  <c r="J467" i="3"/>
  <c r="G468" i="3"/>
  <c r="J468" i="3"/>
  <c r="G469" i="3"/>
  <c r="J469" i="3"/>
  <c r="G470" i="3"/>
  <c r="J470" i="3"/>
  <c r="G471" i="3"/>
  <c r="J471" i="3"/>
  <c r="G472" i="3"/>
  <c r="J472" i="3"/>
  <c r="G419" i="3"/>
  <c r="AQ39" i="4" s="1"/>
  <c r="J419" i="3"/>
  <c r="G420" i="3"/>
  <c r="J420" i="3"/>
  <c r="G421" i="3"/>
  <c r="J421" i="3"/>
  <c r="G422" i="3"/>
  <c r="J422" i="3"/>
  <c r="G423" i="3"/>
  <c r="J423" i="3"/>
  <c r="G424" i="3"/>
  <c r="J424" i="3"/>
  <c r="G425" i="3"/>
  <c r="J425" i="3"/>
  <c r="G426" i="3"/>
  <c r="J426" i="3"/>
  <c r="G427" i="3"/>
  <c r="J427" i="3"/>
  <c r="G428" i="3"/>
  <c r="J428" i="3"/>
  <c r="G429" i="3"/>
  <c r="J429" i="3"/>
  <c r="G430" i="3"/>
  <c r="J430" i="3"/>
  <c r="G431" i="3"/>
  <c r="J431" i="3"/>
  <c r="G432" i="3"/>
  <c r="AR36" i="4" s="1"/>
  <c r="J432" i="3"/>
  <c r="G433" i="3"/>
  <c r="J433" i="3"/>
  <c r="G434" i="3"/>
  <c r="J434" i="3"/>
  <c r="G435" i="3"/>
  <c r="J435" i="3"/>
  <c r="G436" i="3"/>
  <c r="J436" i="3"/>
  <c r="G437" i="3"/>
  <c r="J437" i="3"/>
  <c r="G438" i="3"/>
  <c r="J438" i="3"/>
  <c r="G439" i="3"/>
  <c r="AQ12" i="4" s="1"/>
  <c r="J439" i="3"/>
  <c r="G440" i="3"/>
  <c r="J440" i="3"/>
  <c r="G441" i="3"/>
  <c r="J441" i="3"/>
  <c r="G442" i="3"/>
  <c r="J442" i="3"/>
  <c r="G443" i="3"/>
  <c r="J443" i="3"/>
  <c r="G444" i="3"/>
  <c r="J444" i="3"/>
  <c r="G445" i="3"/>
  <c r="J445" i="3"/>
  <c r="G403" i="3"/>
  <c r="J403" i="3"/>
  <c r="G404" i="3"/>
  <c r="J404" i="3"/>
  <c r="G405" i="3"/>
  <c r="J405" i="3"/>
  <c r="G406" i="3"/>
  <c r="J406" i="3"/>
  <c r="G407" i="3"/>
  <c r="AT24" i="4" s="1"/>
  <c r="J407" i="3"/>
  <c r="G408" i="3"/>
  <c r="J408" i="3"/>
  <c r="G409" i="3"/>
  <c r="J409" i="3"/>
  <c r="G410" i="3"/>
  <c r="J410" i="3"/>
  <c r="G411" i="3"/>
  <c r="J411" i="3"/>
  <c r="G412" i="3"/>
  <c r="J412" i="3"/>
  <c r="G413" i="3"/>
  <c r="J413" i="3"/>
  <c r="G414" i="3"/>
  <c r="J414" i="3"/>
  <c r="G415" i="3"/>
  <c r="AS26" i="4" s="1"/>
  <c r="J415" i="3"/>
  <c r="G416" i="3"/>
  <c r="J416" i="3"/>
  <c r="G417" i="3"/>
  <c r="J417" i="3"/>
  <c r="G418" i="3"/>
  <c r="J418" i="3"/>
  <c r="G402" i="3"/>
  <c r="J402" i="3"/>
  <c r="J11" i="3"/>
  <c r="F376" i="3"/>
  <c r="F255" i="3"/>
  <c r="AN57" i="4" l="1"/>
  <c r="AQ9" i="4"/>
  <c r="K36" i="4"/>
  <c r="L36" i="4" s="1"/>
  <c r="M36" i="4" s="1"/>
  <c r="AV38" i="4"/>
  <c r="AM58" i="4"/>
  <c r="AW49" i="4"/>
  <c r="AR21" i="4"/>
  <c r="AQ6" i="4"/>
  <c r="AP24" i="4"/>
  <c r="AQ86" i="4"/>
  <c r="AP37" i="4"/>
  <c r="AQ5" i="4"/>
  <c r="AM46" i="4"/>
  <c r="AQ11" i="4"/>
  <c r="X118" i="4"/>
  <c r="X117" i="4"/>
  <c r="K37" i="4" l="1"/>
  <c r="L37" i="4" s="1"/>
  <c r="M37" i="4" s="1"/>
  <c r="T37" i="4" s="1"/>
  <c r="V37" i="4" s="1"/>
  <c r="T36" i="4"/>
  <c r="V36" i="4" s="1"/>
  <c r="U36" i="4"/>
  <c r="G67" i="4"/>
  <c r="I67" i="4" s="1"/>
  <c r="U37" i="4" l="1"/>
  <c r="X37" i="4" s="1"/>
  <c r="X36" i="4"/>
  <c r="F189" i="3"/>
  <c r="F190" i="3"/>
  <c r="G190" i="3" s="1"/>
  <c r="F191" i="3"/>
  <c r="G191" i="3" s="1"/>
  <c r="F192" i="3"/>
  <c r="G192" i="3" s="1"/>
  <c r="F193" i="3"/>
  <c r="G193" i="3" s="1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AL71" i="4" s="1"/>
  <c r="F203" i="3"/>
  <c r="G203" i="3" s="1"/>
  <c r="F204" i="3"/>
  <c r="G204" i="3" s="1"/>
  <c r="AL87" i="4" s="1"/>
  <c r="F205" i="3"/>
  <c r="G205" i="3" s="1"/>
  <c r="F206" i="3"/>
  <c r="G206" i="3" s="1"/>
  <c r="F207" i="3"/>
  <c r="G207" i="3" s="1"/>
  <c r="AO78" i="4" s="1"/>
  <c r="F208" i="3"/>
  <c r="G208" i="3" s="1"/>
  <c r="F209" i="3"/>
  <c r="G209" i="3" s="1"/>
  <c r="F210" i="3"/>
  <c r="G210" i="3" s="1"/>
  <c r="F211" i="3"/>
  <c r="G211" i="3" s="1"/>
  <c r="F212" i="3"/>
  <c r="G212" i="3" s="1"/>
  <c r="G213" i="3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AU75" i="4" s="1"/>
  <c r="F220" i="3"/>
  <c r="G220" i="3" s="1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G228" i="3" s="1"/>
  <c r="F229" i="3"/>
  <c r="F230" i="3"/>
  <c r="G230" i="3" s="1"/>
  <c r="F231" i="3"/>
  <c r="G231" i="3" s="1"/>
  <c r="F232" i="3"/>
  <c r="G232" i="3" s="1"/>
  <c r="AV65" i="4" s="1"/>
  <c r="F233" i="3"/>
  <c r="G233" i="3" s="1"/>
  <c r="F234" i="3"/>
  <c r="G234" i="3" s="1"/>
  <c r="F235" i="3"/>
  <c r="G235" i="3" s="1"/>
  <c r="F236" i="3"/>
  <c r="G236" i="3" s="1"/>
  <c r="F237" i="3"/>
  <c r="G237" i="3" s="1"/>
  <c r="F238" i="3"/>
  <c r="G238" i="3" s="1"/>
  <c r="F239" i="3"/>
  <c r="G239" i="3" s="1"/>
  <c r="F240" i="3"/>
  <c r="G240" i="3" s="1"/>
  <c r="AN65" i="4" s="1"/>
  <c r="F241" i="3"/>
  <c r="G241" i="3" s="1"/>
  <c r="F242" i="3"/>
  <c r="G242" i="3" s="1"/>
  <c r="F243" i="3"/>
  <c r="G243" i="3" s="1"/>
  <c r="F244" i="3"/>
  <c r="G244" i="3" s="1"/>
  <c r="F245" i="3"/>
  <c r="G245" i="3" s="1"/>
  <c r="AU54" i="4" s="1"/>
  <c r="F246" i="3"/>
  <c r="G246" i="3" s="1"/>
  <c r="AL54" i="4" s="1"/>
  <c r="F247" i="3"/>
  <c r="G247" i="3" s="1"/>
  <c r="F248" i="3"/>
  <c r="G248" i="3" s="1"/>
  <c r="F249" i="3"/>
  <c r="G249" i="3" s="1"/>
  <c r="F250" i="3"/>
  <c r="G250" i="3" s="1"/>
  <c r="AL18" i="4" s="1"/>
  <c r="F251" i="3"/>
  <c r="G251" i="3" s="1"/>
  <c r="AN66" i="4" s="1"/>
  <c r="F252" i="3"/>
  <c r="G252" i="3" s="1"/>
  <c r="F253" i="3"/>
  <c r="G253" i="3" s="1"/>
  <c r="F254" i="3"/>
  <c r="G254" i="3" s="1"/>
  <c r="AL66" i="4" s="1"/>
  <c r="F256" i="3"/>
  <c r="G256" i="3" s="1"/>
  <c r="F257" i="3"/>
  <c r="G257" i="3" s="1"/>
  <c r="F258" i="3"/>
  <c r="G258" i="3" s="1"/>
  <c r="F259" i="3"/>
  <c r="G259" i="3" s="1"/>
  <c r="F260" i="3"/>
  <c r="G260" i="3" s="1"/>
  <c r="F261" i="3"/>
  <c r="G261" i="3" s="1"/>
  <c r="AL82" i="4" s="1"/>
  <c r="F262" i="3"/>
  <c r="G262" i="3" s="1"/>
  <c r="F263" i="3"/>
  <c r="G263" i="3" s="1"/>
  <c r="AU86" i="4" s="1"/>
  <c r="F264" i="3"/>
  <c r="G264" i="3" s="1"/>
  <c r="F265" i="3"/>
  <c r="G265" i="3" s="1"/>
  <c r="AV44" i="4" s="1"/>
  <c r="F266" i="3"/>
  <c r="G266" i="3" s="1"/>
  <c r="AV92" i="4" s="1"/>
  <c r="K92" i="4" s="1"/>
  <c r="L92" i="4" s="1"/>
  <c r="F267" i="3"/>
  <c r="G267" i="3" s="1"/>
  <c r="F268" i="3"/>
  <c r="G268" i="3" s="1"/>
  <c r="F269" i="3"/>
  <c r="G269" i="3" s="1"/>
  <c r="AV21" i="4" s="1"/>
  <c r="F270" i="3"/>
  <c r="F271" i="3"/>
  <c r="G271" i="3" s="1"/>
  <c r="AL45" i="4" s="1"/>
  <c r="F272" i="3"/>
  <c r="G272" i="3" s="1"/>
  <c r="AR69" i="4" s="1"/>
  <c r="F273" i="3"/>
  <c r="G273" i="3" s="1"/>
  <c r="AM69" i="4" s="1"/>
  <c r="F274" i="3"/>
  <c r="G274" i="3" s="1"/>
  <c r="AR93" i="4" s="1"/>
  <c r="F275" i="3"/>
  <c r="G275" i="3" s="1"/>
  <c r="AV93" i="4" s="1"/>
  <c r="F276" i="3"/>
  <c r="G276" i="3" s="1"/>
  <c r="F277" i="3"/>
  <c r="G277" i="3" s="1"/>
  <c r="F278" i="3"/>
  <c r="G278" i="3" s="1"/>
  <c r="F279" i="3"/>
  <c r="G279" i="3" s="1"/>
  <c r="F280" i="3"/>
  <c r="G280" i="3" s="1"/>
  <c r="F281" i="3"/>
  <c r="G281" i="3" s="1"/>
  <c r="F282" i="3"/>
  <c r="G282" i="3" s="1"/>
  <c r="F283" i="3"/>
  <c r="G283" i="3" s="1"/>
  <c r="F284" i="3"/>
  <c r="G284" i="3" s="1"/>
  <c r="F285" i="3"/>
  <c r="G285" i="3" s="1"/>
  <c r="F286" i="3"/>
  <c r="G286" i="3" s="1"/>
  <c r="F287" i="3"/>
  <c r="G287" i="3" s="1"/>
  <c r="F288" i="3"/>
  <c r="G288" i="3" s="1"/>
  <c r="F289" i="3"/>
  <c r="G289" i="3" s="1"/>
  <c r="F290" i="3"/>
  <c r="G290" i="3" s="1"/>
  <c r="F291" i="3"/>
  <c r="G291" i="3" s="1"/>
  <c r="F292" i="3"/>
  <c r="G292" i="3" s="1"/>
  <c r="F293" i="3"/>
  <c r="G293" i="3" s="1"/>
  <c r="F294" i="3"/>
  <c r="G294" i="3" s="1"/>
  <c r="F295" i="3"/>
  <c r="G295" i="3" s="1"/>
  <c r="F296" i="3"/>
  <c r="G296" i="3" s="1"/>
  <c r="F297" i="3"/>
  <c r="G297" i="3" s="1"/>
  <c r="F298" i="3"/>
  <c r="G298" i="3" s="1"/>
  <c r="F299" i="3"/>
  <c r="G299" i="3" s="1"/>
  <c r="AO20" i="4" s="1"/>
  <c r="F300" i="3"/>
  <c r="G300" i="3" s="1"/>
  <c r="F301" i="3"/>
  <c r="G301" i="3" s="1"/>
  <c r="F302" i="3"/>
  <c r="G302" i="3" s="1"/>
  <c r="F303" i="3"/>
  <c r="G303" i="3" s="1"/>
  <c r="F304" i="3"/>
  <c r="G304" i="3" s="1"/>
  <c r="F305" i="3"/>
  <c r="G305" i="3" s="1"/>
  <c r="AU84" i="4" s="1"/>
  <c r="F306" i="3"/>
  <c r="G306" i="3" s="1"/>
  <c r="F307" i="3"/>
  <c r="G307" i="3" s="1"/>
  <c r="AU17" i="4" s="1"/>
  <c r="F308" i="3"/>
  <c r="G308" i="3" s="1"/>
  <c r="AL93" i="4" s="1"/>
  <c r="F309" i="3"/>
  <c r="G309" i="3" s="1"/>
  <c r="AU93" i="4" s="1"/>
  <c r="F310" i="3"/>
  <c r="F311" i="3"/>
  <c r="G311" i="3" s="1"/>
  <c r="F312" i="3"/>
  <c r="G312" i="3" s="1"/>
  <c r="AU103" i="4" s="1"/>
  <c r="F313" i="3"/>
  <c r="G313" i="3" s="1"/>
  <c r="F314" i="3"/>
  <c r="G314" i="3" s="1"/>
  <c r="F315" i="3"/>
  <c r="G315" i="3" s="1"/>
  <c r="AV95" i="4" s="1"/>
  <c r="F316" i="3"/>
  <c r="G316" i="3" s="1"/>
  <c r="AM95" i="4" s="1"/>
  <c r="F317" i="3"/>
  <c r="G317" i="3" s="1"/>
  <c r="AN95" i="4" s="1"/>
  <c r="F318" i="3"/>
  <c r="G318" i="3" s="1"/>
  <c r="F319" i="3"/>
  <c r="G319" i="3" s="1"/>
  <c r="F320" i="3"/>
  <c r="G320" i="3" s="1"/>
  <c r="F321" i="3"/>
  <c r="G321" i="3" s="1"/>
  <c r="F322" i="3"/>
  <c r="G322" i="3" s="1"/>
  <c r="F323" i="3"/>
  <c r="G323" i="3" s="1"/>
  <c r="AV71" i="4" s="1"/>
  <c r="F324" i="3"/>
  <c r="G324" i="3" s="1"/>
  <c r="F325" i="3"/>
  <c r="G325" i="3" s="1"/>
  <c r="F326" i="3"/>
  <c r="G326" i="3" s="1"/>
  <c r="F327" i="3"/>
  <c r="G327" i="3" s="1"/>
  <c r="F328" i="3"/>
  <c r="G328" i="3" s="1"/>
  <c r="F329" i="3"/>
  <c r="G329" i="3" s="1"/>
  <c r="F330" i="3"/>
  <c r="G330" i="3" s="1"/>
  <c r="F331" i="3"/>
  <c r="G331" i="3" s="1"/>
  <c r="AL96" i="4" s="1"/>
  <c r="F332" i="3"/>
  <c r="G332" i="3" s="1"/>
  <c r="F333" i="3"/>
  <c r="G333" i="3" s="1"/>
  <c r="F334" i="3"/>
  <c r="G334" i="3" s="1"/>
  <c r="F335" i="3"/>
  <c r="G335" i="3" s="1"/>
  <c r="AO24" i="4" s="1"/>
  <c r="F336" i="3"/>
  <c r="G336" i="3" s="1"/>
  <c r="AV96" i="4" s="1"/>
  <c r="F337" i="3"/>
  <c r="G337" i="3" s="1"/>
  <c r="F338" i="3"/>
  <c r="G338" i="3" s="1"/>
  <c r="AU87" i="4" s="1"/>
  <c r="F339" i="3"/>
  <c r="G339" i="3" s="1"/>
  <c r="AU102" i="4" s="1"/>
  <c r="F340" i="3"/>
  <c r="G340" i="3" s="1"/>
  <c r="F341" i="3"/>
  <c r="G341" i="3" s="1"/>
  <c r="AQ106" i="4" s="1"/>
  <c r="F342" i="3"/>
  <c r="G342" i="3" s="1"/>
  <c r="F343" i="3"/>
  <c r="G343" i="3" s="1"/>
  <c r="F344" i="3"/>
  <c r="G344" i="3" s="1"/>
  <c r="AO25" i="4" s="1"/>
  <c r="F345" i="3"/>
  <c r="G345" i="3" s="1"/>
  <c r="F346" i="3"/>
  <c r="G346" i="3" s="1"/>
  <c r="F347" i="3"/>
  <c r="G347" i="3" s="1"/>
  <c r="F348" i="3"/>
  <c r="G348" i="3" s="1"/>
  <c r="F349" i="3"/>
  <c r="G349" i="3" s="1"/>
  <c r="F350" i="3"/>
  <c r="G350" i="3" s="1"/>
  <c r="F351" i="3"/>
  <c r="G351" i="3" s="1"/>
  <c r="F352" i="3"/>
  <c r="G352" i="3" s="1"/>
  <c r="AV5" i="4" s="1"/>
  <c r="F353" i="3"/>
  <c r="G353" i="3" s="1"/>
  <c r="F354" i="3"/>
  <c r="G354" i="3" s="1"/>
  <c r="F355" i="3"/>
  <c r="G355" i="3" s="1"/>
  <c r="F356" i="3"/>
  <c r="G356" i="3" s="1"/>
  <c r="F357" i="3"/>
  <c r="G357" i="3" s="1"/>
  <c r="AM73" i="4" s="1"/>
  <c r="F358" i="3"/>
  <c r="G358" i="3" s="1"/>
  <c r="F359" i="3"/>
  <c r="G359" i="3" s="1"/>
  <c r="F360" i="3"/>
  <c r="G360" i="3" s="1"/>
  <c r="F361" i="3"/>
  <c r="G361" i="3" s="1"/>
  <c r="F362" i="3"/>
  <c r="G362" i="3" s="1"/>
  <c r="F363" i="3"/>
  <c r="G363" i="3" s="1"/>
  <c r="F364" i="3"/>
  <c r="G364" i="3" s="1"/>
  <c r="AP8" i="4" s="1"/>
  <c r="F365" i="3"/>
  <c r="G365" i="3" s="1"/>
  <c r="F366" i="3"/>
  <c r="G366" i="3" s="1"/>
  <c r="F367" i="3"/>
  <c r="G367" i="3" s="1"/>
  <c r="F368" i="3"/>
  <c r="G368" i="3" s="1"/>
  <c r="F369" i="3"/>
  <c r="G369" i="3" s="1"/>
  <c r="F370" i="3"/>
  <c r="G370" i="3" s="1"/>
  <c r="AV26" i="4" s="1"/>
  <c r="F371" i="3"/>
  <c r="G371" i="3" s="1"/>
  <c r="F372" i="3"/>
  <c r="G372" i="3" s="1"/>
  <c r="F373" i="3"/>
  <c r="G373" i="3" s="1"/>
  <c r="F375" i="3"/>
  <c r="G375" i="3" s="1"/>
  <c r="AV50" i="4" s="1"/>
  <c r="F377" i="3"/>
  <c r="F378" i="3"/>
  <c r="F379" i="3"/>
  <c r="F380" i="3"/>
  <c r="F381" i="3"/>
  <c r="F382" i="3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AL5" i="4" s="1"/>
  <c r="F12" i="3"/>
  <c r="G12" i="3" s="1"/>
  <c r="F13" i="3"/>
  <c r="G13" i="3" s="1"/>
  <c r="F14" i="3"/>
  <c r="G14" i="3" s="1"/>
  <c r="AN8" i="4" s="1"/>
  <c r="F15" i="3"/>
  <c r="G15" i="3" s="1"/>
  <c r="F16" i="3"/>
  <c r="G16" i="3" s="1"/>
  <c r="F17" i="3"/>
  <c r="G17" i="3" s="1"/>
  <c r="F18" i="3"/>
  <c r="G18" i="3" s="1"/>
  <c r="F19" i="3"/>
  <c r="G19" i="3" s="1"/>
  <c r="AP52" i="4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AV51" i="4" s="1"/>
  <c r="F32" i="3"/>
  <c r="G32" i="3" s="1"/>
  <c r="F33" i="3"/>
  <c r="G33" i="3" s="1"/>
  <c r="AV52" i="4" s="1"/>
  <c r="F34" i="3"/>
  <c r="G34" i="3" s="1"/>
  <c r="AL53" i="4" s="1"/>
  <c r="F35" i="3"/>
  <c r="G35" i="3" s="1"/>
  <c r="AV53" i="4" s="1"/>
  <c r="F36" i="3"/>
  <c r="G36" i="3" s="1"/>
  <c r="F37" i="3"/>
  <c r="G37" i="3" s="1"/>
  <c r="AP9" i="4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AU24" i="4" s="1"/>
  <c r="F46" i="3"/>
  <c r="G46" i="3" s="1"/>
  <c r="F47" i="3"/>
  <c r="G47" i="3" s="1"/>
  <c r="F48" i="3"/>
  <c r="G48" i="3" s="1"/>
  <c r="AR77" i="4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AQ10" i="4" s="1"/>
  <c r="F55" i="3"/>
  <c r="G55" i="3" s="1"/>
  <c r="AU10" i="4" s="1"/>
  <c r="F56" i="3"/>
  <c r="G56" i="3" s="1"/>
  <c r="F57" i="3"/>
  <c r="G57" i="3" s="1"/>
  <c r="F58" i="3"/>
  <c r="G58" i="3" s="1"/>
  <c r="F59" i="3"/>
  <c r="G59" i="3" s="1"/>
  <c r="AM101" i="4" s="1"/>
  <c r="F60" i="3"/>
  <c r="G60" i="3" s="1"/>
  <c r="F61" i="3"/>
  <c r="G61" i="3" s="1"/>
  <c r="AL20" i="4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AS30" i="4" s="1"/>
  <c r="F71" i="3"/>
  <c r="G71" i="3" s="1"/>
  <c r="AU6" i="4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AL80" i="4" s="1"/>
  <c r="F89" i="3"/>
  <c r="G89" i="3" s="1"/>
  <c r="F90" i="3"/>
  <c r="G90" i="3" s="1"/>
  <c r="AL6" i="4" s="1"/>
  <c r="F91" i="3"/>
  <c r="G91" i="3" s="1"/>
  <c r="AV30" i="4" s="1"/>
  <c r="G92" i="3"/>
  <c r="F93" i="3"/>
  <c r="G93" i="3" s="1"/>
  <c r="F94" i="3"/>
  <c r="G94" i="3" s="1"/>
  <c r="F95" i="3"/>
  <c r="G95" i="3" s="1"/>
  <c r="AV54" i="4" s="1"/>
  <c r="F96" i="3"/>
  <c r="G96" i="3" s="1"/>
  <c r="F97" i="3"/>
  <c r="G97" i="3" s="1"/>
  <c r="F98" i="3"/>
  <c r="G98" i="3" s="1"/>
  <c r="G99" i="3"/>
  <c r="F100" i="3"/>
  <c r="G100" i="3" s="1"/>
  <c r="F101" i="3"/>
  <c r="G101" i="3" s="1"/>
  <c r="F102" i="3"/>
  <c r="G102" i="3" s="1"/>
  <c r="F103" i="3"/>
  <c r="G103" i="3" s="1"/>
  <c r="F104" i="3"/>
  <c r="G104" i="3" s="1"/>
  <c r="AV102" i="4" s="1"/>
  <c r="F105" i="3"/>
  <c r="G105" i="3" s="1"/>
  <c r="F106" i="3"/>
  <c r="G106" i="3" s="1"/>
  <c r="F107" i="3"/>
  <c r="G107" i="3" s="1"/>
  <c r="F108" i="3"/>
  <c r="G108" i="3" s="1"/>
  <c r="AN102" i="4" s="1"/>
  <c r="F109" i="3"/>
  <c r="G109" i="3" s="1"/>
  <c r="F110" i="3"/>
  <c r="G110" i="3" s="1"/>
  <c r="F111" i="3"/>
  <c r="G111" i="3" s="1"/>
  <c r="AL32" i="4" s="1"/>
  <c r="F112" i="3"/>
  <c r="G112" i="3" s="1"/>
  <c r="AU32" i="4" s="1"/>
  <c r="F113" i="3"/>
  <c r="G113" i="3" s="1"/>
  <c r="F114" i="3"/>
  <c r="G114" i="3" s="1"/>
  <c r="F115" i="3"/>
  <c r="G115" i="3" s="1"/>
  <c r="F116" i="3"/>
  <c r="G116" i="3" s="1"/>
  <c r="AL33" i="4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AM56" i="4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AR79" i="4" s="1"/>
  <c r="F132" i="3"/>
  <c r="G132" i="3" s="1"/>
  <c r="F133" i="3"/>
  <c r="G133" i="3" s="1"/>
  <c r="F134" i="3"/>
  <c r="G134" i="3" s="1"/>
  <c r="F135" i="3"/>
  <c r="G135" i="3" s="1"/>
  <c r="AU64" i="4" s="1"/>
  <c r="F136" i="3"/>
  <c r="G136" i="3" s="1"/>
  <c r="AM11" i="4" s="1"/>
  <c r="F137" i="3"/>
  <c r="G137" i="3" s="1"/>
  <c r="F138" i="3"/>
  <c r="G138" i="3" s="1"/>
  <c r="F139" i="3"/>
  <c r="G139" i="3" s="1"/>
  <c r="F140" i="3"/>
  <c r="G140" i="3" s="1"/>
  <c r="F141" i="3"/>
  <c r="G141" i="3" s="1"/>
  <c r="F142" i="3"/>
  <c r="G142" i="3" s="1"/>
  <c r="AV10" i="4" s="1"/>
  <c r="F143" i="3"/>
  <c r="G143" i="3" s="1"/>
  <c r="AL34" i="4" s="1"/>
  <c r="F144" i="3"/>
  <c r="G144" i="3" s="1"/>
  <c r="AV34" i="4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AV106" i="4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G159" i="3"/>
  <c r="AM57" i="4" s="1"/>
  <c r="F160" i="3"/>
  <c r="G160" i="3" s="1"/>
  <c r="F161" i="3"/>
  <c r="G161" i="3" s="1"/>
  <c r="AL11" i="4" s="1"/>
  <c r="F162" i="3"/>
  <c r="G162" i="3" s="1"/>
  <c r="F163" i="3"/>
  <c r="G163" i="3" s="1"/>
  <c r="F164" i="3"/>
  <c r="G164" i="3" s="1"/>
  <c r="F165" i="3"/>
  <c r="G165" i="3" s="1"/>
  <c r="AV59" i="4" s="1"/>
  <c r="F166" i="3"/>
  <c r="G166" i="3" s="1"/>
  <c r="AV83" i="4" s="1"/>
  <c r="F167" i="3"/>
  <c r="G167" i="3" s="1"/>
  <c r="F168" i="3"/>
  <c r="G168" i="3" s="1"/>
  <c r="AL43" i="4" s="1"/>
  <c r="F169" i="3"/>
  <c r="G169" i="3" s="1"/>
  <c r="AU43" i="4" s="1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G178" i="3" s="1"/>
  <c r="F179" i="3"/>
  <c r="G179" i="3" s="1"/>
  <c r="AL61" i="4" s="1"/>
  <c r="F180" i="3"/>
  <c r="G180" i="3" s="1"/>
  <c r="AO66" i="4" s="1"/>
  <c r="F181" i="3"/>
  <c r="G181" i="3" s="1"/>
  <c r="F182" i="3"/>
  <c r="G182" i="3" s="1"/>
  <c r="F183" i="3"/>
  <c r="G183" i="3" s="1"/>
  <c r="F184" i="3"/>
  <c r="G184" i="3" s="1"/>
  <c r="AL86" i="4" s="1"/>
  <c r="F185" i="3"/>
  <c r="G185" i="3" s="1"/>
  <c r="F186" i="3"/>
  <c r="G186" i="3" s="1"/>
  <c r="F187" i="3"/>
  <c r="G187" i="3" s="1"/>
  <c r="AL40" i="4" s="1"/>
  <c r="F188" i="3"/>
  <c r="G188" i="3" s="1"/>
  <c r="F2" i="3"/>
  <c r="G2" i="3" s="1"/>
  <c r="G189" i="3"/>
  <c r="AU47" i="4" s="1"/>
  <c r="G229" i="3"/>
  <c r="AV17" i="4" s="1"/>
  <c r="G255" i="3"/>
  <c r="AM66" i="4" s="1"/>
  <c r="G270" i="3"/>
  <c r="G310" i="3"/>
  <c r="G376" i="3"/>
  <c r="AV7" i="4" l="1"/>
  <c r="AV6" i="4"/>
  <c r="AV99" i="4"/>
  <c r="AV27" i="4"/>
  <c r="AV4" i="4"/>
  <c r="AV49" i="4"/>
  <c r="AV22" i="4"/>
  <c r="AV28" i="4"/>
  <c r="AV82" i="4"/>
  <c r="AP29" i="4"/>
  <c r="AV77" i="4"/>
  <c r="AU98" i="4"/>
  <c r="AV23" i="4"/>
  <c r="AW79" i="4"/>
  <c r="AV94" i="4"/>
  <c r="AV100" i="4"/>
  <c r="AU19" i="4"/>
  <c r="AV76" i="4"/>
  <c r="AM5" i="4"/>
  <c r="AV29" i="4"/>
  <c r="AT5" i="4"/>
  <c r="AV73" i="4"/>
  <c r="AV47" i="4"/>
  <c r="AV46" i="4"/>
  <c r="K46" i="4" s="1"/>
  <c r="L46" i="4" s="1"/>
  <c r="M46" i="4" s="1"/>
  <c r="AU82" i="4"/>
  <c r="AV20" i="4"/>
  <c r="AV70" i="4"/>
  <c r="AV32" i="4"/>
  <c r="AL22" i="4"/>
  <c r="AV78" i="4"/>
  <c r="AO65" i="4"/>
  <c r="AV11" i="4"/>
  <c r="AV56" i="4"/>
  <c r="AV75" i="4"/>
  <c r="AV25" i="4"/>
  <c r="AU105" i="4"/>
  <c r="K105" i="4" s="1"/>
  <c r="L105" i="4" s="1"/>
  <c r="M105" i="4" s="1"/>
  <c r="T105" i="4" s="1"/>
  <c r="AT21" i="4"/>
  <c r="AU91" i="4"/>
  <c r="AR44" i="4"/>
  <c r="K44" i="4" s="1"/>
  <c r="L44" i="4" s="1"/>
  <c r="M44" i="4" s="1"/>
  <c r="AR56" i="4"/>
  <c r="AU85" i="4"/>
  <c r="AR47" i="4"/>
  <c r="AR88" i="4"/>
  <c r="AL102" i="4"/>
  <c r="K102" i="4" s="1"/>
  <c r="L102" i="4" s="1"/>
  <c r="M102" i="4" s="1"/>
  <c r="T102" i="4" s="1"/>
  <c r="AU12" i="4"/>
  <c r="AO26" i="4"/>
  <c r="AO23" i="4"/>
  <c r="AN28" i="4"/>
  <c r="K66" i="4"/>
  <c r="L66" i="4" s="1"/>
  <c r="AU67" i="4"/>
  <c r="K67" i="4" s="1"/>
  <c r="L67" i="4" s="1"/>
  <c r="AN64" i="4"/>
  <c r="K95" i="4"/>
  <c r="L95" i="4" s="1"/>
  <c r="AT12" i="4"/>
  <c r="AN54" i="4"/>
  <c r="K54" i="4" s="1"/>
  <c r="L54" i="4" s="1"/>
  <c r="M54" i="4" s="1"/>
  <c r="T54" i="4" s="1"/>
  <c r="AL100" i="4"/>
  <c r="AN51" i="4"/>
  <c r="K51" i="4" s="1"/>
  <c r="L51" i="4" s="1"/>
  <c r="M51" i="4" s="1"/>
  <c r="AL24" i="4"/>
  <c r="K86" i="4"/>
  <c r="L86" i="4" s="1"/>
  <c r="AM63" i="4"/>
  <c r="AP78" i="4"/>
  <c r="AM70" i="4"/>
  <c r="AM65" i="4"/>
  <c r="AM104" i="4"/>
  <c r="AM62" i="4"/>
  <c r="AL64" i="4"/>
  <c r="AL76" i="4"/>
  <c r="AL58" i="4"/>
  <c r="AP77" i="4"/>
  <c r="AL19" i="4"/>
  <c r="K19" i="4" s="1"/>
  <c r="AL38" i="4"/>
  <c r="AL59" i="4"/>
  <c r="AL101" i="4"/>
  <c r="K101" i="4" s="1"/>
  <c r="L101" i="4" s="1"/>
  <c r="M101" i="4" s="1"/>
  <c r="T101" i="4" s="1"/>
  <c r="K97" i="4"/>
  <c r="L97" i="4" s="1"/>
  <c r="M97" i="4" s="1"/>
  <c r="T97" i="4" s="1"/>
  <c r="V97" i="4" s="1"/>
  <c r="AL25" i="4"/>
  <c r="AQ45" i="4"/>
  <c r="K87" i="4"/>
  <c r="L87" i="4" s="1"/>
  <c r="K10" i="4"/>
  <c r="K82" i="4"/>
  <c r="L82" i="4" s="1"/>
  <c r="AU72" i="4"/>
  <c r="AU33" i="4"/>
  <c r="K81" i="4"/>
  <c r="L81" i="4" s="1"/>
  <c r="K52" i="4"/>
  <c r="L52" i="4" s="1"/>
  <c r="M52" i="4" s="1"/>
  <c r="T52" i="4" s="1"/>
  <c r="V52" i="4" s="1"/>
  <c r="AL69" i="4"/>
  <c r="AL15" i="4"/>
  <c r="K57" i="4"/>
  <c r="L57" i="4" s="1"/>
  <c r="M57" i="4" s="1"/>
  <c r="T57" i="4" s="1"/>
  <c r="K90" i="4"/>
  <c r="L90" i="4" s="1"/>
  <c r="AL4" i="4"/>
  <c r="AS31" i="4"/>
  <c r="AL8" i="4"/>
  <c r="AL99" i="4"/>
  <c r="AL50" i="4"/>
  <c r="K84" i="4"/>
  <c r="L84" i="4" s="1"/>
  <c r="AU89" i="4"/>
  <c r="AL98" i="4"/>
  <c r="K68" i="4"/>
  <c r="L68" i="4" s="1"/>
  <c r="AU35" i="4"/>
  <c r="AT43" i="4"/>
  <c r="K60" i="4"/>
  <c r="L60" i="4" s="1"/>
  <c r="M60" i="4" s="1"/>
  <c r="AL83" i="4"/>
  <c r="K83" i="4" s="1"/>
  <c r="L83" i="4" s="1"/>
  <c r="AR50" i="4"/>
  <c r="AV79" i="4"/>
  <c r="AU9" i="4"/>
  <c r="AL35" i="4"/>
  <c r="AU5" i="4"/>
  <c r="AL9" i="4"/>
  <c r="AS5" i="4"/>
  <c r="AL39" i="4"/>
  <c r="K39" i="4" s="1"/>
  <c r="L39" i="4" s="1"/>
  <c r="M39" i="4" s="1"/>
  <c r="T39" i="4" s="1"/>
  <c r="AN29" i="4"/>
  <c r="AL7" i="4"/>
  <c r="AL106" i="4"/>
  <c r="AL85" i="4"/>
  <c r="K85" i="4" s="1"/>
  <c r="L85" i="4" s="1"/>
  <c r="AL28" i="4"/>
  <c r="AL29" i="4"/>
  <c r="AU94" i="4"/>
  <c r="AL88" i="4"/>
  <c r="AT56" i="4"/>
  <c r="AU99" i="4"/>
  <c r="AL65" i="4"/>
  <c r="AL14" i="4"/>
  <c r="AU26" i="4"/>
  <c r="AU11" i="4"/>
  <c r="AU104" i="4"/>
  <c r="K93" i="4"/>
  <c r="L93" i="4" s="1"/>
  <c r="AL62" i="4"/>
  <c r="AU13" i="4"/>
  <c r="AL103" i="4"/>
  <c r="K103" i="4" s="1"/>
  <c r="L103" i="4" s="1"/>
  <c r="M103" i="4" s="1"/>
  <c r="K47" i="4"/>
  <c r="L47" i="4" s="1"/>
  <c r="M47" i="4" s="1"/>
  <c r="T47" i="4" s="1"/>
  <c r="K6" i="4"/>
  <c r="AU31" i="4"/>
  <c r="AL21" i="4"/>
  <c r="AU3" i="4"/>
  <c r="AL89" i="4"/>
  <c r="AL79" i="4"/>
  <c r="AU76" i="4"/>
  <c r="AU38" i="4"/>
  <c r="AT48" i="4"/>
  <c r="AU16" i="4"/>
  <c r="AU30" i="4"/>
  <c r="K30" i="4" s="1"/>
  <c r="AU45" i="4"/>
  <c r="AU70" i="4"/>
  <c r="AU59" i="4"/>
  <c r="AU41" i="4"/>
  <c r="AL94" i="4"/>
  <c r="AT34" i="4"/>
  <c r="AU8" i="4"/>
  <c r="AU96" i="4"/>
  <c r="AU53" i="4"/>
  <c r="AT27" i="4"/>
  <c r="AU29" i="4"/>
  <c r="AU78" i="4"/>
  <c r="AU28" i="4"/>
  <c r="AL91" i="4"/>
  <c r="AU40" i="4"/>
  <c r="K40" i="4" s="1"/>
  <c r="AL73" i="4"/>
  <c r="AL27" i="4"/>
  <c r="AU21" i="4"/>
  <c r="AU25" i="4"/>
  <c r="AU71" i="4"/>
  <c r="AT41" i="4"/>
  <c r="AU14" i="4"/>
  <c r="AU23" i="4"/>
  <c r="AU74" i="4"/>
  <c r="AL23" i="4"/>
  <c r="AL63" i="4"/>
  <c r="AU77" i="4"/>
  <c r="AU69" i="4"/>
  <c r="AL75" i="4"/>
  <c r="AU63" i="4"/>
  <c r="AU80" i="4"/>
  <c r="AL55" i="4"/>
  <c r="AT22" i="4"/>
  <c r="AU58" i="4"/>
  <c r="AL16" i="4"/>
  <c r="AT72" i="4"/>
  <c r="AT33" i="4"/>
  <c r="AT17" i="4"/>
  <c r="AL77" i="4"/>
  <c r="AL49" i="4"/>
  <c r="AU15" i="4"/>
  <c r="AU55" i="4"/>
  <c r="AU61" i="4"/>
  <c r="AU4" i="4"/>
  <c r="AL104" i="4"/>
  <c r="AL70" i="4"/>
  <c r="AT49" i="4"/>
  <c r="AT7" i="4"/>
  <c r="AT32" i="4"/>
  <c r="AT42" i="4"/>
  <c r="AT64" i="4"/>
  <c r="AL78" i="4"/>
  <c r="AE30" i="4"/>
  <c r="U46" i="4" l="1"/>
  <c r="T46" i="4"/>
  <c r="V46" i="4" s="1"/>
  <c r="K100" i="4"/>
  <c r="L100" i="4" s="1"/>
  <c r="M100" i="4" s="1"/>
  <c r="T100" i="4" s="1"/>
  <c r="V100" i="4" s="1"/>
  <c r="K106" i="4"/>
  <c r="L106" i="4" s="1"/>
  <c r="M106" i="4" s="1"/>
  <c r="U106" i="4" s="1"/>
  <c r="K62" i="4"/>
  <c r="L62" i="4" s="1"/>
  <c r="M62" i="4" s="1"/>
  <c r="T62" i="4" s="1"/>
  <c r="V62" i="4" s="1"/>
  <c r="K64" i="4"/>
  <c r="L64" i="4" s="1"/>
  <c r="K12" i="4"/>
  <c r="K24" i="4"/>
  <c r="K65" i="4"/>
  <c r="L65" i="4" s="1"/>
  <c r="U97" i="4"/>
  <c r="X97" i="4" s="1"/>
  <c r="K33" i="4"/>
  <c r="L33" i="4" s="1"/>
  <c r="M33" i="4" s="1"/>
  <c r="U52" i="4"/>
  <c r="X52" i="4" s="1"/>
  <c r="K11" i="4"/>
  <c r="K31" i="4"/>
  <c r="K98" i="4"/>
  <c r="L98" i="4" s="1"/>
  <c r="M98" i="4" s="1"/>
  <c r="T98" i="4" s="1"/>
  <c r="V98" i="4" s="1"/>
  <c r="K99" i="4"/>
  <c r="L99" i="4" s="1"/>
  <c r="M99" i="4" s="1"/>
  <c r="T99" i="4" s="1"/>
  <c r="V99" i="4" s="1"/>
  <c r="K45" i="4"/>
  <c r="L45" i="4" s="1"/>
  <c r="M45" i="4" s="1"/>
  <c r="K26" i="4"/>
  <c r="K15" i="4"/>
  <c r="K56" i="4"/>
  <c r="L56" i="4" s="1"/>
  <c r="M56" i="4" s="1"/>
  <c r="T56" i="4" s="1"/>
  <c r="V56" i="4" s="1"/>
  <c r="K88" i="4"/>
  <c r="L88" i="4" s="1"/>
  <c r="K50" i="4"/>
  <c r="L50" i="4" s="1"/>
  <c r="M50" i="4" s="1"/>
  <c r="T50" i="4" s="1"/>
  <c r="V50" i="4" s="1"/>
  <c r="K43" i="4"/>
  <c r="L43" i="4" s="1"/>
  <c r="M43" i="4" s="1"/>
  <c r="T43" i="4" s="1"/>
  <c r="V43" i="4" s="1"/>
  <c r="T51" i="4"/>
  <c r="V51" i="4" s="1"/>
  <c r="U51" i="4"/>
  <c r="K35" i="4"/>
  <c r="L35" i="4" s="1"/>
  <c r="M35" i="4" s="1"/>
  <c r="T35" i="4" s="1"/>
  <c r="V35" i="4" s="1"/>
  <c r="K9" i="4"/>
  <c r="K13" i="4"/>
  <c r="T60" i="4"/>
  <c r="V60" i="4" s="1"/>
  <c r="U60" i="4"/>
  <c r="U44" i="4"/>
  <c r="T44" i="4"/>
  <c r="V44" i="4" s="1"/>
  <c r="K5" i="4"/>
  <c r="K28" i="4"/>
  <c r="K29" i="4"/>
  <c r="T103" i="4"/>
  <c r="V103" i="4" s="1"/>
  <c r="K41" i="4"/>
  <c r="L41" i="4" s="1"/>
  <c r="M41" i="4" s="1"/>
  <c r="K78" i="4"/>
  <c r="L78" i="4" s="1"/>
  <c r="K70" i="4"/>
  <c r="L70" i="4" s="1"/>
  <c r="K23" i="4"/>
  <c r="K27" i="4"/>
  <c r="V102" i="4"/>
  <c r="F24" i="16"/>
  <c r="L24" i="16" s="1"/>
  <c r="U102" i="4"/>
  <c r="V105" i="4"/>
  <c r="U105" i="4"/>
  <c r="U101" i="4"/>
  <c r="V101" i="4"/>
  <c r="U39" i="4"/>
  <c r="V39" i="4"/>
  <c r="U57" i="4"/>
  <c r="V57" i="4"/>
  <c r="K77" i="4"/>
  <c r="L77" i="4" s="1"/>
  <c r="K96" i="4"/>
  <c r="L96" i="4" s="1"/>
  <c r="K21" i="4"/>
  <c r="K74" i="4"/>
  <c r="L74" i="4" s="1"/>
  <c r="K72" i="4"/>
  <c r="L72" i="4" s="1"/>
  <c r="K34" i="4"/>
  <c r="L34" i="4" s="1"/>
  <c r="M34" i="4" s="1"/>
  <c r="T34" i="4" s="1"/>
  <c r="K7" i="4"/>
  <c r="K58" i="4"/>
  <c r="L58" i="4" s="1"/>
  <c r="M58" i="4" s="1"/>
  <c r="T58" i="4" s="1"/>
  <c r="K55" i="4"/>
  <c r="L55" i="4" s="1"/>
  <c r="M55" i="4" s="1"/>
  <c r="T55" i="4" s="1"/>
  <c r="K80" i="4"/>
  <c r="L80" i="4" s="1"/>
  <c r="K94" i="4"/>
  <c r="L94" i="4" s="1"/>
  <c r="K4" i="4"/>
  <c r="K73" i="4"/>
  <c r="L73" i="4" s="1"/>
  <c r="K42" i="4"/>
  <c r="L42" i="4" s="1"/>
  <c r="M42" i="4" s="1"/>
  <c r="T42" i="4" s="1"/>
  <c r="L40" i="4"/>
  <c r="M40" i="4" s="1"/>
  <c r="K91" i="4"/>
  <c r="L91" i="4" s="1"/>
  <c r="K69" i="4"/>
  <c r="L69" i="4" s="1"/>
  <c r="K32" i="4"/>
  <c r="K61" i="4"/>
  <c r="L61" i="4" s="1"/>
  <c r="M61" i="4" s="1"/>
  <c r="T61" i="4" s="1"/>
  <c r="K48" i="4"/>
  <c r="L48" i="4" s="1"/>
  <c r="M48" i="4" s="1"/>
  <c r="K38" i="4"/>
  <c r="L38" i="4" s="1"/>
  <c r="M38" i="4" s="1"/>
  <c r="T38" i="4" s="1"/>
  <c r="K22" i="4"/>
  <c r="K59" i="4"/>
  <c r="L59" i="4" s="1"/>
  <c r="M59" i="4" s="1"/>
  <c r="T59" i="4" s="1"/>
  <c r="K71" i="4"/>
  <c r="L71" i="4" s="1"/>
  <c r="K75" i="4"/>
  <c r="L75" i="4" s="1"/>
  <c r="K63" i="4"/>
  <c r="L63" i="4" s="1"/>
  <c r="M63" i="4" s="1"/>
  <c r="K79" i="4"/>
  <c r="L79" i="4" s="1"/>
  <c r="K76" i="4"/>
  <c r="L76" i="4" s="1"/>
  <c r="K104" i="4"/>
  <c r="L104" i="4" s="1"/>
  <c r="M104" i="4" s="1"/>
  <c r="T104" i="4" s="1"/>
  <c r="K49" i="4"/>
  <c r="L49" i="4" s="1"/>
  <c r="M49" i="4" s="1"/>
  <c r="K53" i="4"/>
  <c r="L53" i="4" s="1"/>
  <c r="M53" i="4" s="1"/>
  <c r="T53" i="4" s="1"/>
  <c r="K89" i="4"/>
  <c r="L89" i="4" s="1"/>
  <c r="K25" i="4"/>
  <c r="K8" i="4"/>
  <c r="F24" i="17"/>
  <c r="G24" i="17" s="1"/>
  <c r="H24" i="17" s="1"/>
  <c r="U103" i="4"/>
  <c r="U62" i="4"/>
  <c r="V47" i="4"/>
  <c r="U47" i="4"/>
  <c r="U54" i="4"/>
  <c r="V54" i="4"/>
  <c r="AG30" i="4"/>
  <c r="AF30" i="4"/>
  <c r="AH30" i="4"/>
  <c r="AE26" i="4"/>
  <c r="AE11" i="4"/>
  <c r="AE4" i="4"/>
  <c r="AE5" i="4"/>
  <c r="AE6" i="4"/>
  <c r="AE7" i="4"/>
  <c r="AE8" i="4"/>
  <c r="AE9" i="4"/>
  <c r="AE10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7" i="4"/>
  <c r="AE28" i="4"/>
  <c r="AE29" i="4"/>
  <c r="AE31" i="4"/>
  <c r="AE32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146" i="4" s="1"/>
  <c r="X46" i="4" l="1"/>
  <c r="T106" i="4"/>
  <c r="V106" i="4" s="1"/>
  <c r="X106" i="4" s="1"/>
  <c r="U100" i="4"/>
  <c r="X100" i="4" s="1"/>
  <c r="X51" i="4"/>
  <c r="U50" i="4"/>
  <c r="X50" i="4" s="1"/>
  <c r="U43" i="4"/>
  <c r="X43" i="4" s="1"/>
  <c r="U99" i="4"/>
  <c r="X99" i="4" s="1"/>
  <c r="U98" i="4"/>
  <c r="X98" i="4" s="1"/>
  <c r="U56" i="4"/>
  <c r="X56" i="4" s="1"/>
  <c r="AE144" i="4"/>
  <c r="AE145" i="4"/>
  <c r="J30" i="4"/>
  <c r="U35" i="4"/>
  <c r="X35" i="4" s="1"/>
  <c r="X60" i="4"/>
  <c r="X44" i="4"/>
  <c r="T48" i="4"/>
  <c r="V48" i="4" s="1"/>
  <c r="T33" i="4"/>
  <c r="V33" i="4" s="1"/>
  <c r="U33" i="4"/>
  <c r="U63" i="4"/>
  <c r="T63" i="4"/>
  <c r="V63" i="4" s="1"/>
  <c r="X103" i="4"/>
  <c r="T40" i="4"/>
  <c r="V40" i="4" s="1"/>
  <c r="U41" i="4"/>
  <c r="T41" i="4"/>
  <c r="V41" i="4" s="1"/>
  <c r="T45" i="4"/>
  <c r="V45" i="4" s="1"/>
  <c r="T49" i="4"/>
  <c r="V49" i="4" s="1"/>
  <c r="X102" i="4"/>
  <c r="X101" i="4"/>
  <c r="F16" i="13"/>
  <c r="G16" i="13" s="1"/>
  <c r="H16" i="13" s="1"/>
  <c r="L30" i="4"/>
  <c r="X57" i="4"/>
  <c r="X105" i="4"/>
  <c r="U45" i="4"/>
  <c r="U61" i="4"/>
  <c r="V61" i="4"/>
  <c r="X39" i="4"/>
  <c r="S24" i="16"/>
  <c r="T24" i="16" s="1"/>
  <c r="G24" i="16"/>
  <c r="H24" i="16" s="1"/>
  <c r="Q24" i="16" s="1"/>
  <c r="D24" i="16"/>
  <c r="U40" i="4"/>
  <c r="V42" i="4"/>
  <c r="U42" i="4"/>
  <c r="U104" i="4"/>
  <c r="V104" i="4"/>
  <c r="V59" i="4"/>
  <c r="U59" i="4"/>
  <c r="V38" i="4"/>
  <c r="U38" i="4"/>
  <c r="U48" i="4"/>
  <c r="V53" i="4"/>
  <c r="U53" i="4"/>
  <c r="U34" i="4"/>
  <c r="V34" i="4"/>
  <c r="U58" i="4"/>
  <c r="V58" i="4"/>
  <c r="S24" i="17"/>
  <c r="T24" i="17" s="1"/>
  <c r="L24" i="17"/>
  <c r="Q24" i="17" s="1"/>
  <c r="D24" i="17"/>
  <c r="U49" i="4"/>
  <c r="AE143" i="4"/>
  <c r="X47" i="4"/>
  <c r="X62" i="4"/>
  <c r="X54" i="4"/>
  <c r="V55" i="4"/>
  <c r="U55" i="4"/>
  <c r="AE129" i="4"/>
  <c r="AE114" i="4"/>
  <c r="AE130" i="4"/>
  <c r="AE100" i="4"/>
  <c r="AE131" i="4"/>
  <c r="AE99" i="4"/>
  <c r="AE133" i="4"/>
  <c r="AE138" i="4"/>
  <c r="AE132" i="4"/>
  <c r="AE134" i="4"/>
  <c r="AE115" i="4"/>
  <c r="AE135" i="4"/>
  <c r="AE101" i="4"/>
  <c r="AE116" i="4"/>
  <c r="AE136" i="4"/>
  <c r="AE102" i="4"/>
  <c r="AE117" i="4"/>
  <c r="AE137" i="4"/>
  <c r="AE103" i="4"/>
  <c r="AE118" i="4"/>
  <c r="AE104" i="4"/>
  <c r="AE119" i="4"/>
  <c r="AE139" i="4"/>
  <c r="AE120" i="4"/>
  <c r="AE140" i="4"/>
  <c r="AE105" i="4"/>
  <c r="AE121" i="4"/>
  <c r="AE106" i="4"/>
  <c r="AE122" i="4"/>
  <c r="AE107" i="4"/>
  <c r="AE123" i="4"/>
  <c r="AE108" i="4"/>
  <c r="AE124" i="4"/>
  <c r="AE109" i="4"/>
  <c r="AE125" i="4"/>
  <c r="AE110" i="4"/>
  <c r="AE126" i="4"/>
  <c r="AE111" i="4"/>
  <c r="AE127" i="4"/>
  <c r="AE112" i="4"/>
  <c r="AE128" i="4"/>
  <c r="AE113" i="4"/>
  <c r="AE141" i="4"/>
  <c r="AE142" i="4"/>
  <c r="B22" i="17"/>
  <c r="B21" i="17"/>
  <c r="B20" i="17"/>
  <c r="AG21" i="4"/>
  <c r="AH21" i="4"/>
  <c r="AF21" i="4"/>
  <c r="AG27" i="4"/>
  <c r="AF27" i="4"/>
  <c r="AH27" i="4"/>
  <c r="AG19" i="4"/>
  <c r="AH19" i="4"/>
  <c r="AF19" i="4"/>
  <c r="AG24" i="4"/>
  <c r="AH24" i="4"/>
  <c r="AF24" i="4"/>
  <c r="AG22" i="4"/>
  <c r="AH22" i="4"/>
  <c r="AF22" i="4"/>
  <c r="J22" i="4" s="1"/>
  <c r="AG32" i="4"/>
  <c r="AH32" i="4"/>
  <c r="AF32" i="4"/>
  <c r="AG28" i="4"/>
  <c r="AH28" i="4"/>
  <c r="AF28" i="4"/>
  <c r="AG13" i="4"/>
  <c r="AF13" i="4"/>
  <c r="AH13" i="4"/>
  <c r="AG31" i="4"/>
  <c r="AH31" i="4"/>
  <c r="AF31" i="4"/>
  <c r="AG29" i="4"/>
  <c r="AF29" i="4"/>
  <c r="AH29" i="4"/>
  <c r="AG5" i="4"/>
  <c r="AH5" i="4"/>
  <c r="AF5" i="4"/>
  <c r="AG14" i="4"/>
  <c r="AH14" i="4"/>
  <c r="AF14" i="4"/>
  <c r="AG7" i="4"/>
  <c r="AF7" i="4"/>
  <c r="AH7" i="4"/>
  <c r="AG12" i="4"/>
  <c r="AH12" i="4"/>
  <c r="AF12" i="4"/>
  <c r="AG4" i="4"/>
  <c r="AF4" i="4"/>
  <c r="AH4" i="4"/>
  <c r="AG10" i="4"/>
  <c r="AH10" i="4"/>
  <c r="AF10" i="4"/>
  <c r="AG20" i="4"/>
  <c r="AF20" i="4"/>
  <c r="AH20" i="4"/>
  <c r="AG25" i="4"/>
  <c r="AF25" i="4"/>
  <c r="AH25" i="4"/>
  <c r="AG18" i="4"/>
  <c r="AH18" i="4"/>
  <c r="AF18" i="4"/>
  <c r="AG23" i="4"/>
  <c r="AH23" i="4"/>
  <c r="AF23" i="4"/>
  <c r="AG6" i="4"/>
  <c r="AH6" i="4"/>
  <c r="AF6" i="4"/>
  <c r="J6" i="4" s="1"/>
  <c r="AG9" i="4"/>
  <c r="AF9" i="4"/>
  <c r="AH9" i="4"/>
  <c r="AG11" i="4"/>
  <c r="AH11" i="4"/>
  <c r="AF11" i="4"/>
  <c r="AG15" i="4"/>
  <c r="AH15" i="4"/>
  <c r="AF15" i="4"/>
  <c r="AG26" i="4"/>
  <c r="AH26" i="4"/>
  <c r="AF26" i="4"/>
  <c r="AG3" i="4"/>
  <c r="AH3" i="4"/>
  <c r="AE3" i="4"/>
  <c r="AF3" i="4"/>
  <c r="AG17" i="4"/>
  <c r="AH17" i="4"/>
  <c r="AF17" i="4"/>
  <c r="AG8" i="4"/>
  <c r="AH8" i="4"/>
  <c r="AF8" i="4"/>
  <c r="B23" i="17"/>
  <c r="AG16" i="4"/>
  <c r="AF16" i="4"/>
  <c r="AH16" i="4"/>
  <c r="O5" i="5"/>
  <c r="O6" i="5"/>
  <c r="O14" i="5"/>
  <c r="O15" i="5"/>
  <c r="O20" i="5"/>
  <c r="O22" i="5"/>
  <c r="O23" i="5"/>
  <c r="J15" i="4" l="1"/>
  <c r="L15" i="4" s="1"/>
  <c r="J26" i="4"/>
  <c r="B25" i="5" s="1"/>
  <c r="J21" i="4"/>
  <c r="L21" i="4" s="1"/>
  <c r="J11" i="4"/>
  <c r="L11" i="4" s="1"/>
  <c r="J14" i="4"/>
  <c r="J24" i="4"/>
  <c r="L24" i="4" s="1"/>
  <c r="J5" i="4"/>
  <c r="L5" i="4" s="1"/>
  <c r="J19" i="4"/>
  <c r="L19" i="4" s="1"/>
  <c r="J10" i="4"/>
  <c r="L10" i="4" s="1"/>
  <c r="J31" i="4"/>
  <c r="L31" i="4" s="1"/>
  <c r="J32" i="4"/>
  <c r="L32" i="4" s="1"/>
  <c r="J8" i="4"/>
  <c r="L8" i="4" s="1"/>
  <c r="J7" i="4"/>
  <c r="L7" i="4" s="1"/>
  <c r="J18" i="4"/>
  <c r="J16" i="4"/>
  <c r="J25" i="4"/>
  <c r="L25" i="4" s="1"/>
  <c r="J9" i="4"/>
  <c r="L9" i="4" s="1"/>
  <c r="J4" i="4"/>
  <c r="L4" i="4" s="1"/>
  <c r="J13" i="4"/>
  <c r="L13" i="4" s="1"/>
  <c r="J17" i="4"/>
  <c r="J12" i="4"/>
  <c r="J20" i="4"/>
  <c r="J29" i="4"/>
  <c r="L29" i="4" s="1"/>
  <c r="J27" i="4"/>
  <c r="L27" i="4" s="1"/>
  <c r="J28" i="4"/>
  <c r="L28" i="4" s="1"/>
  <c r="J23" i="4"/>
  <c r="L23" i="4" s="1"/>
  <c r="J3" i="4"/>
  <c r="X48" i="4"/>
  <c r="X41" i="4"/>
  <c r="X63" i="4"/>
  <c r="X49" i="4"/>
  <c r="X40" i="4"/>
  <c r="X45" i="4"/>
  <c r="X61" i="4"/>
  <c r="L22" i="4"/>
  <c r="X42" i="4"/>
  <c r="S16" i="13"/>
  <c r="T16" i="13" s="1"/>
  <c r="L16" i="13"/>
  <c r="Q16" i="13" s="1"/>
  <c r="D16" i="13"/>
  <c r="X59" i="4"/>
  <c r="X104" i="4"/>
  <c r="L6" i="4"/>
  <c r="X38" i="4"/>
  <c r="X58" i="4"/>
  <c r="X34" i="4"/>
  <c r="X53" i="4"/>
  <c r="X33" i="4"/>
  <c r="X55" i="4"/>
  <c r="B19" i="17"/>
  <c r="O9" i="5"/>
  <c r="O21" i="5"/>
  <c r="F21" i="17"/>
  <c r="O24" i="5"/>
  <c r="O4" i="5"/>
  <c r="O3" i="5"/>
  <c r="O11" i="5"/>
  <c r="O2" i="5"/>
  <c r="O18" i="5"/>
  <c r="O10" i="5"/>
  <c r="O17" i="5"/>
  <c r="O7" i="5"/>
  <c r="O19" i="5"/>
  <c r="O16" i="5"/>
  <c r="O13" i="5"/>
  <c r="O8" i="5"/>
  <c r="O12" i="5"/>
  <c r="O25" i="5"/>
  <c r="L26" i="4" l="1"/>
  <c r="B16" i="5"/>
  <c r="L12" i="4"/>
  <c r="B2" i="5"/>
  <c r="S21" i="17"/>
  <c r="T21" i="17" s="1"/>
  <c r="G21" i="17"/>
  <c r="H21" i="17" s="1"/>
  <c r="D21" i="17"/>
  <c r="L21" i="17"/>
  <c r="Q21" i="17" l="1"/>
  <c r="U3" i="5" l="1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M3" i="5" l="1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P3" i="5" l="1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I3" i="5" l="1"/>
  <c r="R2" i="5"/>
  <c r="I4" i="5" l="1"/>
  <c r="R3" i="5"/>
  <c r="R4" i="5" l="1"/>
  <c r="I5" i="5"/>
  <c r="R5" i="5" l="1"/>
  <c r="I6" i="5"/>
  <c r="R6" i="5" l="1"/>
  <c r="I7" i="5"/>
  <c r="I8" i="5" l="1"/>
  <c r="R7" i="5"/>
  <c r="R8" i="5" l="1"/>
  <c r="I9" i="5"/>
  <c r="R9" i="5" l="1"/>
  <c r="I10" i="5"/>
  <c r="I11" i="5" l="1"/>
  <c r="R10" i="5"/>
  <c r="I12" i="5" l="1"/>
  <c r="R11" i="5"/>
  <c r="R12" i="5" l="1"/>
  <c r="I13" i="5"/>
  <c r="R13" i="5" l="1"/>
  <c r="I14" i="5"/>
  <c r="I15" i="5" l="1"/>
  <c r="R14" i="5"/>
  <c r="R15" i="5" l="1"/>
  <c r="I16" i="5"/>
  <c r="I17" i="5" l="1"/>
  <c r="R16" i="5"/>
  <c r="R17" i="5" l="1"/>
  <c r="I18" i="5"/>
  <c r="R18" i="5" l="1"/>
  <c r="I19" i="5"/>
  <c r="I20" i="5" l="1"/>
  <c r="R19" i="5"/>
  <c r="R20" i="5" l="1"/>
  <c r="I21" i="5"/>
  <c r="R21" i="5" l="1"/>
  <c r="I22" i="5"/>
  <c r="R22" i="5" l="1"/>
  <c r="I23" i="5"/>
  <c r="I24" i="5" l="1"/>
  <c r="R23" i="5"/>
  <c r="I25" i="5" l="1"/>
  <c r="R24" i="5"/>
  <c r="R25" i="5" l="1"/>
  <c r="J206" i="3" l="1"/>
  <c r="J205" i="3"/>
  <c r="J166" i="3" l="1"/>
  <c r="J165" i="3"/>
  <c r="J125" i="3"/>
  <c r="J124" i="3"/>
  <c r="J103" i="3"/>
  <c r="J78" i="3"/>
  <c r="J48" i="3"/>
  <c r="J38" i="3"/>
  <c r="J37" i="3"/>
  <c r="J32" i="3"/>
  <c r="J33" i="3"/>
  <c r="J34" i="3"/>
  <c r="J2" i="3" l="1"/>
  <c r="W3" i="4" l="1"/>
  <c r="B13" i="5" l="1"/>
  <c r="B12" i="14"/>
  <c r="G96" i="4" l="1"/>
  <c r="I96" i="4" s="1"/>
  <c r="G95" i="4"/>
  <c r="I95" i="4" s="1"/>
  <c r="G94" i="4"/>
  <c r="I94" i="4" s="1"/>
  <c r="G93" i="4"/>
  <c r="I93" i="4" s="1"/>
  <c r="G92" i="4"/>
  <c r="I92" i="4" s="1"/>
  <c r="G91" i="4"/>
  <c r="I91" i="4" s="1"/>
  <c r="G90" i="4"/>
  <c r="I90" i="4" s="1"/>
  <c r="G89" i="4"/>
  <c r="G88" i="4"/>
  <c r="I88" i="4" s="1"/>
  <c r="G87" i="4"/>
  <c r="I87" i="4" s="1"/>
  <c r="G86" i="4"/>
  <c r="G85" i="4"/>
  <c r="G84" i="4"/>
  <c r="I84" i="4" s="1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M67" i="4"/>
  <c r="T67" i="4" s="1"/>
  <c r="G66" i="4"/>
  <c r="G65" i="4"/>
  <c r="G64" i="4"/>
  <c r="G32" i="4"/>
  <c r="I32" i="4" s="1"/>
  <c r="M32" i="4" s="1"/>
  <c r="T32" i="4" s="1"/>
  <c r="G31" i="4"/>
  <c r="I31" i="4" s="1"/>
  <c r="M31" i="4" s="1"/>
  <c r="T31" i="4" s="1"/>
  <c r="G30" i="4"/>
  <c r="I30" i="4" s="1"/>
  <c r="M30" i="4" s="1"/>
  <c r="T30" i="4" s="1"/>
  <c r="G29" i="4"/>
  <c r="I29" i="4" s="1"/>
  <c r="M29" i="4" s="1"/>
  <c r="T29" i="4" s="1"/>
  <c r="G28" i="4"/>
  <c r="I28" i="4" s="1"/>
  <c r="M28" i="4" s="1"/>
  <c r="T28" i="4" s="1"/>
  <c r="G27" i="4"/>
  <c r="I27" i="4" s="1"/>
  <c r="M27" i="4" s="1"/>
  <c r="T27" i="4" s="1"/>
  <c r="G26" i="4"/>
  <c r="I26" i="4" s="1"/>
  <c r="M26" i="4" s="1"/>
  <c r="G25" i="4"/>
  <c r="I25" i="4" s="1"/>
  <c r="M25" i="4" s="1"/>
  <c r="G24" i="4"/>
  <c r="I24" i="4" s="1"/>
  <c r="M24" i="4" s="1"/>
  <c r="G23" i="4"/>
  <c r="I23" i="4" s="1"/>
  <c r="M23" i="4" s="1"/>
  <c r="T23" i="4" s="1"/>
  <c r="G22" i="4"/>
  <c r="I22" i="4" s="1"/>
  <c r="M22" i="4" s="1"/>
  <c r="T22" i="4" s="1"/>
  <c r="G21" i="4"/>
  <c r="I21" i="4" s="1"/>
  <c r="M21" i="4" s="1"/>
  <c r="G20" i="4"/>
  <c r="I20" i="4" s="1"/>
  <c r="G19" i="4"/>
  <c r="I19" i="4" s="1"/>
  <c r="M19" i="4" s="1"/>
  <c r="T19" i="4" s="1"/>
  <c r="G18" i="4"/>
  <c r="I18" i="4" s="1"/>
  <c r="G17" i="4"/>
  <c r="I17" i="4" s="1"/>
  <c r="G16" i="4"/>
  <c r="I16" i="4" s="1"/>
  <c r="G15" i="4"/>
  <c r="I15" i="4" s="1"/>
  <c r="M15" i="4" s="1"/>
  <c r="T15" i="4" s="1"/>
  <c r="G14" i="4"/>
  <c r="I14" i="4" s="1"/>
  <c r="G13" i="4"/>
  <c r="I13" i="4" s="1"/>
  <c r="M13" i="4" s="1"/>
  <c r="T13" i="4" s="1"/>
  <c r="G12" i="4"/>
  <c r="I12" i="4" s="1"/>
  <c r="M12" i="4" s="1"/>
  <c r="G11" i="4"/>
  <c r="I11" i="4" s="1"/>
  <c r="M11" i="4" s="1"/>
  <c r="T11" i="4" s="1"/>
  <c r="G10" i="4"/>
  <c r="I10" i="4" s="1"/>
  <c r="M10" i="4" s="1"/>
  <c r="T10" i="4" s="1"/>
  <c r="G9" i="4"/>
  <c r="I9" i="4" s="1"/>
  <c r="M9" i="4" s="1"/>
  <c r="T9" i="4" s="1"/>
  <c r="G8" i="4"/>
  <c r="I8" i="4" s="1"/>
  <c r="M8" i="4" s="1"/>
  <c r="T8" i="4" s="1"/>
  <c r="G7" i="4"/>
  <c r="I7" i="4" s="1"/>
  <c r="M7" i="4" s="1"/>
  <c r="T7" i="4" s="1"/>
  <c r="G6" i="4"/>
  <c r="I6" i="4" s="1"/>
  <c r="M6" i="4" s="1"/>
  <c r="T6" i="4" s="1"/>
  <c r="G5" i="4"/>
  <c r="I5" i="4" s="1"/>
  <c r="M5" i="4" s="1"/>
  <c r="T5" i="4" s="1"/>
  <c r="G4" i="4"/>
  <c r="I4" i="4" s="1"/>
  <c r="M4" i="4" s="1"/>
  <c r="T4" i="4" s="1"/>
  <c r="AX3" i="4"/>
  <c r="AW3" i="4"/>
  <c r="AV3" i="4"/>
  <c r="AT3" i="4"/>
  <c r="AS3" i="4"/>
  <c r="AR3" i="4"/>
  <c r="AQ3" i="4"/>
  <c r="AP3" i="4"/>
  <c r="AO3" i="4"/>
  <c r="T26" i="4" l="1"/>
  <c r="T12" i="4"/>
  <c r="T21" i="4"/>
  <c r="T24" i="4"/>
  <c r="T25" i="4"/>
  <c r="I82" i="4"/>
  <c r="M82" i="4" s="1"/>
  <c r="T82" i="4" s="1"/>
  <c r="I85" i="4"/>
  <c r="M85" i="4" s="1"/>
  <c r="T85" i="4" s="1"/>
  <c r="I69" i="4"/>
  <c r="M69" i="4" s="1"/>
  <c r="T69" i="4" s="1"/>
  <c r="I83" i="4"/>
  <c r="M83" i="4" s="1"/>
  <c r="I65" i="4"/>
  <c r="M65" i="4" s="1"/>
  <c r="I70" i="4"/>
  <c r="M70" i="4" s="1"/>
  <c r="T70" i="4" s="1"/>
  <c r="I68" i="4"/>
  <c r="M68" i="4" s="1"/>
  <c r="T68" i="4" s="1"/>
  <c r="I78" i="4"/>
  <c r="M78" i="4" s="1"/>
  <c r="T78" i="4" s="1"/>
  <c r="I72" i="4"/>
  <c r="M72" i="4" s="1"/>
  <c r="I79" i="4"/>
  <c r="M79" i="4" s="1"/>
  <c r="T79" i="4" s="1"/>
  <c r="I80" i="4"/>
  <c r="M80" i="4" s="1"/>
  <c r="T80" i="4" s="1"/>
  <c r="I81" i="4"/>
  <c r="M81" i="4" s="1"/>
  <c r="T81" i="4" s="1"/>
  <c r="I64" i="4"/>
  <c r="M64" i="4" s="1"/>
  <c r="T64" i="4" s="1"/>
  <c r="I71" i="4"/>
  <c r="M71" i="4" s="1"/>
  <c r="I74" i="4"/>
  <c r="M74" i="4" s="1"/>
  <c r="T74" i="4" s="1"/>
  <c r="I77" i="4"/>
  <c r="M77" i="4" s="1"/>
  <c r="T77" i="4" s="1"/>
  <c r="I66" i="4"/>
  <c r="M66" i="4" s="1"/>
  <c r="T66" i="4" s="1"/>
  <c r="I86" i="4"/>
  <c r="M86" i="4" s="1"/>
  <c r="T86" i="4" s="1"/>
  <c r="I89" i="4"/>
  <c r="M89" i="4" s="1"/>
  <c r="T89" i="4" s="1"/>
  <c r="I73" i="4"/>
  <c r="M73" i="4" s="1"/>
  <c r="I75" i="4"/>
  <c r="M75" i="4" s="1"/>
  <c r="T75" i="4" s="1"/>
  <c r="I76" i="4"/>
  <c r="M76" i="4" s="1"/>
  <c r="T76" i="4" s="1"/>
  <c r="M95" i="4"/>
  <c r="M87" i="4"/>
  <c r="T87" i="4" s="1"/>
  <c r="M90" i="4"/>
  <c r="T90" i="4" s="1"/>
  <c r="M88" i="4"/>
  <c r="T88" i="4" s="1"/>
  <c r="M92" i="4"/>
  <c r="T92" i="4" s="1"/>
  <c r="M91" i="4"/>
  <c r="T91" i="4" s="1"/>
  <c r="M96" i="4"/>
  <c r="M93" i="4"/>
  <c r="T93" i="4" s="1"/>
  <c r="M84" i="4"/>
  <c r="T84" i="4" s="1"/>
  <c r="M94" i="4"/>
  <c r="T94" i="4" s="1"/>
  <c r="B18" i="17"/>
  <c r="B11" i="15"/>
  <c r="B10" i="13"/>
  <c r="B14" i="16"/>
  <c r="B17" i="17"/>
  <c r="B24" i="5"/>
  <c r="B10" i="17"/>
  <c r="B15" i="13"/>
  <c r="B15" i="15"/>
  <c r="B22" i="14"/>
  <c r="B21" i="5"/>
  <c r="B17" i="16"/>
  <c r="B21" i="16"/>
  <c r="B13" i="13"/>
  <c r="T65" i="4" l="1"/>
  <c r="F16" i="14"/>
  <c r="T72" i="4"/>
  <c r="T83" i="4"/>
  <c r="F16" i="15"/>
  <c r="T96" i="4"/>
  <c r="T73" i="4"/>
  <c r="T95" i="4"/>
  <c r="T71" i="4"/>
  <c r="B8" i="13"/>
  <c r="B9" i="13"/>
  <c r="B2" i="13"/>
  <c r="B25" i="14"/>
  <c r="B24" i="14"/>
  <c r="B6" i="15"/>
  <c r="B6" i="16"/>
  <c r="B20" i="15"/>
  <c r="B19" i="14"/>
  <c r="B11" i="16"/>
  <c r="B20" i="16"/>
  <c r="B12" i="16"/>
  <c r="B15" i="16"/>
  <c r="B23" i="13"/>
  <c r="B23" i="15"/>
  <c r="B24" i="13"/>
  <c r="B6" i="17"/>
  <c r="B14" i="13"/>
  <c r="B18" i="13"/>
  <c r="B14" i="17"/>
  <c r="B7" i="14"/>
  <c r="B11" i="14"/>
  <c r="B25" i="13"/>
  <c r="B17" i="14"/>
  <c r="B12" i="13"/>
  <c r="B19" i="15"/>
  <c r="B20" i="5"/>
  <c r="B7" i="5"/>
  <c r="B18" i="15"/>
  <c r="B7" i="17"/>
  <c r="B15" i="17"/>
  <c r="B13" i="14"/>
  <c r="B20" i="13"/>
  <c r="B7" i="13"/>
  <c r="B21" i="15"/>
  <c r="B23" i="16"/>
  <c r="B17" i="13"/>
  <c r="B11" i="17"/>
  <c r="B14" i="14"/>
  <c r="B21" i="13"/>
  <c r="B6" i="14"/>
  <c r="B10" i="14"/>
  <c r="B7" i="15"/>
  <c r="B15" i="14"/>
  <c r="B12" i="15"/>
  <c r="B16" i="16"/>
  <c r="B3" i="5"/>
  <c r="B22" i="15"/>
  <c r="B22" i="13"/>
  <c r="B11" i="5"/>
  <c r="B10" i="15"/>
  <c r="B13" i="16"/>
  <c r="B19" i="16"/>
  <c r="B13" i="17"/>
  <c r="B22" i="16"/>
  <c r="B25" i="16"/>
  <c r="B19" i="13"/>
  <c r="B20" i="14"/>
  <c r="B13" i="15"/>
  <c r="B18" i="14"/>
  <c r="B23" i="14"/>
  <c r="B25" i="17"/>
  <c r="B25" i="15"/>
  <c r="B12" i="17"/>
  <c r="B21" i="14"/>
  <c r="B14" i="15"/>
  <c r="B17" i="15"/>
  <c r="B6" i="13"/>
  <c r="B16" i="17"/>
  <c r="B11" i="13"/>
  <c r="B24" i="15"/>
  <c r="B10" i="16"/>
  <c r="B7" i="16"/>
  <c r="B18" i="16"/>
  <c r="D16" i="14" l="1"/>
  <c r="G16" i="14"/>
  <c r="H16" i="14" s="1"/>
  <c r="S16" i="14"/>
  <c r="T16" i="14" s="1"/>
  <c r="L16" i="14"/>
  <c r="L16" i="15"/>
  <c r="S16" i="15"/>
  <c r="T16" i="15" s="1"/>
  <c r="G16" i="15"/>
  <c r="H16" i="15" s="1"/>
  <c r="D16" i="15"/>
  <c r="F17" i="17"/>
  <c r="D17" i="17" s="1"/>
  <c r="V77" i="4"/>
  <c r="U77" i="4"/>
  <c r="B5" i="16"/>
  <c r="B3" i="16"/>
  <c r="B6" i="5"/>
  <c r="B4" i="5"/>
  <c r="B4" i="17"/>
  <c r="B2" i="17"/>
  <c r="B4" i="14"/>
  <c r="B2" i="14"/>
  <c r="B4" i="15"/>
  <c r="B2" i="15"/>
  <c r="B8" i="15"/>
  <c r="B9" i="15"/>
  <c r="B4" i="16"/>
  <c r="B2" i="16"/>
  <c r="B8" i="17"/>
  <c r="B9" i="17"/>
  <c r="B5" i="13"/>
  <c r="B3" i="13"/>
  <c r="B8" i="14"/>
  <c r="B9" i="14"/>
  <c r="B5" i="17"/>
  <c r="B3" i="17"/>
  <c r="B4" i="13"/>
  <c r="B8" i="5"/>
  <c r="B9" i="5"/>
  <c r="B8" i="16"/>
  <c r="B9" i="16"/>
  <c r="B5" i="14"/>
  <c r="B3" i="14"/>
  <c r="B5" i="15"/>
  <c r="B3" i="15"/>
  <c r="B23" i="5"/>
  <c r="B12" i="5"/>
  <c r="B5" i="5"/>
  <c r="B10" i="5"/>
  <c r="B19" i="5"/>
  <c r="B22" i="5"/>
  <c r="B18" i="5"/>
  <c r="B15" i="5"/>
  <c r="B17" i="5"/>
  <c r="B14" i="5"/>
  <c r="F18" i="13"/>
  <c r="F25" i="15"/>
  <c r="F21" i="14"/>
  <c r="F18" i="14"/>
  <c r="F14" i="15"/>
  <c r="F383" i="3"/>
  <c r="F384" i="3"/>
  <c r="AN3" i="4"/>
  <c r="F10" i="14"/>
  <c r="F21" i="15"/>
  <c r="Q16" i="14" l="1"/>
  <c r="Q16" i="15"/>
  <c r="X77" i="4"/>
  <c r="V23" i="4"/>
  <c r="U23" i="4"/>
  <c r="G17" i="17"/>
  <c r="H17" i="17" s="1"/>
  <c r="S17" i="17"/>
  <c r="T17" i="17" s="1"/>
  <c r="L17" i="17"/>
  <c r="C17" i="14"/>
  <c r="C17" i="15"/>
  <c r="C5" i="16"/>
  <c r="C9" i="16"/>
  <c r="C16" i="15"/>
  <c r="C19" i="17"/>
  <c r="C12" i="13"/>
  <c r="C13" i="17"/>
  <c r="C25" i="15"/>
  <c r="C7" i="15"/>
  <c r="C19" i="16"/>
  <c r="C14" i="16"/>
  <c r="C20" i="16"/>
  <c r="C18" i="15"/>
  <c r="C11" i="15"/>
  <c r="C9" i="13"/>
  <c r="C25" i="17"/>
  <c r="C16" i="13"/>
  <c r="C19" i="13"/>
  <c r="C8" i="16"/>
  <c r="C24" i="13"/>
  <c r="C3" i="15"/>
  <c r="C2" i="15"/>
  <c r="C4" i="14"/>
  <c r="C12" i="14"/>
  <c r="C14" i="13"/>
  <c r="C12" i="17"/>
  <c r="C10" i="15"/>
  <c r="C25" i="13"/>
  <c r="C14" i="15"/>
  <c r="C15" i="14"/>
  <c r="C8" i="15"/>
  <c r="C22" i="15"/>
  <c r="C15" i="13"/>
  <c r="C11" i="16"/>
  <c r="C4" i="15"/>
  <c r="C13" i="14"/>
  <c r="C10" i="13"/>
  <c r="C2" i="14"/>
  <c r="C24" i="17"/>
  <c r="C3" i="14"/>
  <c r="C4" i="17"/>
  <c r="C14" i="14"/>
  <c r="C22" i="17"/>
  <c r="C9" i="17"/>
  <c r="C23" i="15"/>
  <c r="C18" i="14"/>
  <c r="C7" i="17"/>
  <c r="C23" i="17"/>
  <c r="C15" i="15"/>
  <c r="C10" i="14"/>
  <c r="C19" i="14"/>
  <c r="C3" i="17"/>
  <c r="C25" i="14"/>
  <c r="C20" i="17"/>
  <c r="C18" i="17"/>
  <c r="C5" i="15"/>
  <c r="C24" i="15"/>
  <c r="C11" i="14"/>
  <c r="C10" i="16"/>
  <c r="C17" i="17"/>
  <c r="C14" i="17"/>
  <c r="C4" i="16"/>
  <c r="C8" i="17"/>
  <c r="C6" i="17"/>
  <c r="C13" i="15"/>
  <c r="C17" i="16"/>
  <c r="C6" i="14"/>
  <c r="C13" i="16"/>
  <c r="C23" i="16"/>
  <c r="C10" i="17"/>
  <c r="C15" i="17"/>
  <c r="C19" i="15"/>
  <c r="C8" i="14"/>
  <c r="C7" i="16"/>
  <c r="C25" i="16"/>
  <c r="C21" i="17"/>
  <c r="C20" i="13"/>
  <c r="C12" i="15"/>
  <c r="C5" i="13"/>
  <c r="C20" i="14"/>
  <c r="C16" i="14"/>
  <c r="C21" i="14"/>
  <c r="C11" i="13"/>
  <c r="C7" i="14"/>
  <c r="C15" i="16"/>
  <c r="C12" i="16"/>
  <c r="C2" i="13"/>
  <c r="C20" i="15"/>
  <c r="C17" i="13"/>
  <c r="C7" i="13"/>
  <c r="C9" i="14"/>
  <c r="C6" i="16"/>
  <c r="C3" i="16"/>
  <c r="C16" i="17"/>
  <c r="C23" i="13"/>
  <c r="C6" i="15"/>
  <c r="C22" i="13"/>
  <c r="C23" i="14"/>
  <c r="C2" i="17"/>
  <c r="C24" i="14"/>
  <c r="C5" i="14"/>
  <c r="C24" i="16"/>
  <c r="C5" i="17"/>
  <c r="C4" i="13"/>
  <c r="C21" i="15"/>
  <c r="C21" i="16"/>
  <c r="C2" i="16"/>
  <c r="C13" i="13"/>
  <c r="C18" i="13"/>
  <c r="C6" i="13"/>
  <c r="C22" i="16"/>
  <c r="C16" i="16"/>
  <c r="C11" i="17"/>
  <c r="C21" i="13"/>
  <c r="C9" i="15"/>
  <c r="C3" i="13"/>
  <c r="C22" i="14"/>
  <c r="C18" i="16"/>
  <c r="C8" i="13"/>
  <c r="F2" i="16"/>
  <c r="G14" i="15"/>
  <c r="H14" i="15" s="1"/>
  <c r="S14" i="15"/>
  <c r="T14" i="15" s="1"/>
  <c r="D14" i="15"/>
  <c r="L14" i="15"/>
  <c r="S18" i="14"/>
  <c r="T18" i="14" s="1"/>
  <c r="G18" i="14"/>
  <c r="H18" i="14" s="1"/>
  <c r="L18" i="14"/>
  <c r="D18" i="14"/>
  <c r="S10" i="14"/>
  <c r="T10" i="14" s="1"/>
  <c r="G10" i="14"/>
  <c r="H10" i="14" s="1"/>
  <c r="L10" i="14"/>
  <c r="D10" i="14"/>
  <c r="S21" i="14"/>
  <c r="T21" i="14" s="1"/>
  <c r="G21" i="14"/>
  <c r="H21" i="14" s="1"/>
  <c r="D21" i="14"/>
  <c r="L21" i="14"/>
  <c r="S21" i="15"/>
  <c r="T21" i="15" s="1"/>
  <c r="G21" i="15"/>
  <c r="H21" i="15" s="1"/>
  <c r="L21" i="15"/>
  <c r="D21" i="15"/>
  <c r="G25" i="15"/>
  <c r="H25" i="15" s="1"/>
  <c r="S25" i="15"/>
  <c r="T25" i="15" s="1"/>
  <c r="L25" i="15"/>
  <c r="D25" i="15"/>
  <c r="G18" i="13"/>
  <c r="H18" i="13" s="1"/>
  <c r="S18" i="13"/>
  <c r="T18" i="13" s="1"/>
  <c r="D18" i="13"/>
  <c r="L18" i="13"/>
  <c r="C2" i="5"/>
  <c r="F11" i="5"/>
  <c r="L11" i="5" s="1"/>
  <c r="F10" i="13"/>
  <c r="F22" i="17"/>
  <c r="F20" i="17"/>
  <c r="F15" i="14"/>
  <c r="F23" i="17"/>
  <c r="F13" i="14"/>
  <c r="AM3" i="4"/>
  <c r="AL3" i="4"/>
  <c r="C17" i="5"/>
  <c r="C11" i="5"/>
  <c r="C24" i="5"/>
  <c r="C13" i="5"/>
  <c r="C18" i="5"/>
  <c r="C15" i="5"/>
  <c r="C3" i="5"/>
  <c r="C6" i="5"/>
  <c r="C21" i="5"/>
  <c r="C14" i="5"/>
  <c r="C23" i="5"/>
  <c r="C4" i="5"/>
  <c r="C16" i="5"/>
  <c r="C7" i="5"/>
  <c r="C25" i="5"/>
  <c r="C9" i="5"/>
  <c r="C20" i="5"/>
  <c r="C8" i="5"/>
  <c r="C19" i="5"/>
  <c r="C22" i="5"/>
  <c r="C5" i="5"/>
  <c r="C12" i="5"/>
  <c r="C10" i="5"/>
  <c r="K3" i="4" l="1"/>
  <c r="L3" i="4" s="1"/>
  <c r="M3" i="4" s="1"/>
  <c r="F6" i="5" s="1"/>
  <c r="L6" i="5" s="1"/>
  <c r="Q17" i="17"/>
  <c r="X23" i="4"/>
  <c r="V9" i="4"/>
  <c r="U9" i="4"/>
  <c r="V5" i="4"/>
  <c r="U5" i="4"/>
  <c r="V13" i="4"/>
  <c r="U13" i="4"/>
  <c r="F6" i="13"/>
  <c r="G6" i="13" s="1"/>
  <c r="H6" i="13" s="1"/>
  <c r="V10" i="4"/>
  <c r="U10" i="4"/>
  <c r="F6" i="14"/>
  <c r="L6" i="14" s="1"/>
  <c r="V15" i="4"/>
  <c r="U15" i="4"/>
  <c r="F8" i="14"/>
  <c r="L8" i="14" s="1"/>
  <c r="F9" i="14"/>
  <c r="F3" i="13"/>
  <c r="F4" i="14"/>
  <c r="G4" i="14" s="1"/>
  <c r="H4" i="14" s="1"/>
  <c r="F2" i="14"/>
  <c r="F3" i="14"/>
  <c r="S2" i="16"/>
  <c r="T2" i="16" s="1"/>
  <c r="G2" i="16"/>
  <c r="H2" i="16" s="1"/>
  <c r="L2" i="16"/>
  <c r="D2" i="16"/>
  <c r="Q14" i="15"/>
  <c r="Q10" i="14"/>
  <c r="Q21" i="15"/>
  <c r="Q21" i="14"/>
  <c r="S20" i="17"/>
  <c r="T20" i="17" s="1"/>
  <c r="G20" i="17"/>
  <c r="H20" i="17" s="1"/>
  <c r="D20" i="17"/>
  <c r="L20" i="17"/>
  <c r="S22" i="17"/>
  <c r="T22" i="17" s="1"/>
  <c r="G22" i="17"/>
  <c r="H22" i="17" s="1"/>
  <c r="D22" i="17"/>
  <c r="L22" i="17"/>
  <c r="F13" i="13"/>
  <c r="Q18" i="13"/>
  <c r="Q18" i="14"/>
  <c r="S13" i="14"/>
  <c r="T13" i="14" s="1"/>
  <c r="G13" i="14"/>
  <c r="H13" i="14" s="1"/>
  <c r="L13" i="14"/>
  <c r="D13" i="14"/>
  <c r="S10" i="13"/>
  <c r="T10" i="13" s="1"/>
  <c r="G10" i="13"/>
  <c r="H10" i="13" s="1"/>
  <c r="L10" i="13"/>
  <c r="D10" i="13"/>
  <c r="S15" i="14"/>
  <c r="T15" i="14" s="1"/>
  <c r="G15" i="14"/>
  <c r="H15" i="14" s="1"/>
  <c r="L15" i="14"/>
  <c r="D15" i="14"/>
  <c r="G23" i="17"/>
  <c r="H23" i="17" s="1"/>
  <c r="S23" i="17"/>
  <c r="T23" i="17" s="1"/>
  <c r="L23" i="17"/>
  <c r="D23" i="17"/>
  <c r="Q25" i="15"/>
  <c r="F12" i="5"/>
  <c r="L12" i="5" s="1"/>
  <c r="D11" i="5"/>
  <c r="G11" i="5"/>
  <c r="H11" i="5" s="1"/>
  <c r="Q11" i="5" s="1"/>
  <c r="S11" i="5"/>
  <c r="T11" i="5" s="1"/>
  <c r="F15" i="13"/>
  <c r="F17" i="14"/>
  <c r="F14" i="13"/>
  <c r="F17" i="15"/>
  <c r="F11" i="15"/>
  <c r="F10" i="15"/>
  <c r="F13" i="15"/>
  <c r="F12" i="15"/>
  <c r="F15" i="15"/>
  <c r="F17" i="13"/>
  <c r="F18" i="15"/>
  <c r="F11" i="13"/>
  <c r="F14" i="14"/>
  <c r="X9" i="4" l="1"/>
  <c r="X5" i="4"/>
  <c r="X15" i="4"/>
  <c r="X13" i="4"/>
  <c r="S6" i="13"/>
  <c r="T6" i="13" s="1"/>
  <c r="D6" i="5"/>
  <c r="S6" i="5"/>
  <c r="T6" i="5" s="1"/>
  <c r="G6" i="5"/>
  <c r="H6" i="5" s="1"/>
  <c r="Q6" i="5" s="1"/>
  <c r="S6" i="14"/>
  <c r="T6" i="14" s="1"/>
  <c r="X10" i="4"/>
  <c r="F7" i="15"/>
  <c r="S7" i="15" s="1"/>
  <c r="T7" i="15" s="1"/>
  <c r="U21" i="4"/>
  <c r="V21" i="4"/>
  <c r="V12" i="4"/>
  <c r="U12" i="4"/>
  <c r="G6" i="14"/>
  <c r="H6" i="14" s="1"/>
  <c r="Q6" i="14" s="1"/>
  <c r="F6" i="15"/>
  <c r="S6" i="15" s="1"/>
  <c r="T6" i="15" s="1"/>
  <c r="V7" i="4"/>
  <c r="U7" i="4"/>
  <c r="F3" i="5"/>
  <c r="L3" i="5" s="1"/>
  <c r="U4" i="4"/>
  <c r="V4" i="4"/>
  <c r="D6" i="14"/>
  <c r="F3" i="16"/>
  <c r="G3" i="16" s="1"/>
  <c r="H3" i="16" s="1"/>
  <c r="U24" i="4"/>
  <c r="V24" i="4"/>
  <c r="U19" i="4"/>
  <c r="V19" i="4"/>
  <c r="D6" i="13"/>
  <c r="F7" i="13"/>
  <c r="D7" i="13" s="1"/>
  <c r="U11" i="4"/>
  <c r="V11" i="4"/>
  <c r="U3" i="4"/>
  <c r="T3" i="4"/>
  <c r="V3" i="4" s="1"/>
  <c r="L6" i="13"/>
  <c r="Q6" i="13" s="1"/>
  <c r="U6" i="4"/>
  <c r="V6" i="4"/>
  <c r="V8" i="4"/>
  <c r="U8" i="4"/>
  <c r="S8" i="14"/>
  <c r="T8" i="14" s="1"/>
  <c r="D8" i="14"/>
  <c r="G8" i="14"/>
  <c r="H8" i="14" s="1"/>
  <c r="Q8" i="14" s="1"/>
  <c r="D9" i="14"/>
  <c r="S9" i="14"/>
  <c r="T9" i="14" s="1"/>
  <c r="G9" i="14"/>
  <c r="H9" i="14" s="1"/>
  <c r="L9" i="14"/>
  <c r="L4" i="14"/>
  <c r="Q4" i="14" s="1"/>
  <c r="S4" i="14"/>
  <c r="T4" i="14" s="1"/>
  <c r="D4" i="14"/>
  <c r="Q2" i="16"/>
  <c r="F5" i="15"/>
  <c r="S5" i="15" s="1"/>
  <c r="T5" i="15" s="1"/>
  <c r="F3" i="15"/>
  <c r="F4" i="5"/>
  <c r="L4" i="5" s="1"/>
  <c r="F2" i="5"/>
  <c r="G3" i="14"/>
  <c r="H3" i="14" s="1"/>
  <c r="S3" i="14"/>
  <c r="T3" i="14" s="1"/>
  <c r="D3" i="14"/>
  <c r="L3" i="14"/>
  <c r="F4" i="13"/>
  <c r="S4" i="13" s="1"/>
  <c r="T4" i="13" s="1"/>
  <c r="F2" i="13"/>
  <c r="S2" i="14"/>
  <c r="T2" i="14" s="1"/>
  <c r="D2" i="14"/>
  <c r="G2" i="14"/>
  <c r="H2" i="14" s="1"/>
  <c r="L2" i="14"/>
  <c r="F8" i="13"/>
  <c r="G8" i="13" s="1"/>
  <c r="H8" i="13" s="1"/>
  <c r="F9" i="13"/>
  <c r="F8" i="5"/>
  <c r="L8" i="5" s="1"/>
  <c r="F9" i="5"/>
  <c r="G3" i="13"/>
  <c r="H3" i="13" s="1"/>
  <c r="L3" i="13"/>
  <c r="D3" i="13"/>
  <c r="S3" i="13"/>
  <c r="T3" i="13" s="1"/>
  <c r="F4" i="15"/>
  <c r="G4" i="15" s="1"/>
  <c r="H4" i="15" s="1"/>
  <c r="F2" i="15"/>
  <c r="F5" i="13"/>
  <c r="Q23" i="17"/>
  <c r="Q13" i="14"/>
  <c r="Q22" i="17"/>
  <c r="S12" i="15"/>
  <c r="T12" i="15" s="1"/>
  <c r="G12" i="15"/>
  <c r="H12" i="15" s="1"/>
  <c r="L12" i="15"/>
  <c r="D12" i="15"/>
  <c r="S13" i="15"/>
  <c r="T13" i="15" s="1"/>
  <c r="G13" i="15"/>
  <c r="H13" i="15" s="1"/>
  <c r="D13" i="15"/>
  <c r="L13" i="15"/>
  <c r="Q15" i="14"/>
  <c r="S15" i="13"/>
  <c r="T15" i="13" s="1"/>
  <c r="G15" i="13"/>
  <c r="H15" i="13" s="1"/>
  <c r="L15" i="13"/>
  <c r="D15" i="13"/>
  <c r="S17" i="15"/>
  <c r="T17" i="15" s="1"/>
  <c r="G17" i="15"/>
  <c r="H17" i="15" s="1"/>
  <c r="L17" i="15"/>
  <c r="D17" i="15"/>
  <c r="S10" i="15"/>
  <c r="T10" i="15" s="1"/>
  <c r="G10" i="15"/>
  <c r="H10" i="15" s="1"/>
  <c r="L10" i="15"/>
  <c r="D10" i="15"/>
  <c r="S14" i="14"/>
  <c r="T14" i="14" s="1"/>
  <c r="G14" i="14"/>
  <c r="H14" i="14" s="1"/>
  <c r="L14" i="14"/>
  <c r="D14" i="14"/>
  <c r="G13" i="13"/>
  <c r="H13" i="13" s="1"/>
  <c r="S13" i="13"/>
  <c r="T13" i="13" s="1"/>
  <c r="D13" i="13"/>
  <c r="L13" i="13"/>
  <c r="S14" i="13"/>
  <c r="T14" i="13" s="1"/>
  <c r="G14" i="13"/>
  <c r="H14" i="13" s="1"/>
  <c r="D14" i="13"/>
  <c r="L14" i="13"/>
  <c r="S11" i="15"/>
  <c r="T11" i="15" s="1"/>
  <c r="G11" i="15"/>
  <c r="H11" i="15" s="1"/>
  <c r="L11" i="15"/>
  <c r="D11" i="15"/>
  <c r="S18" i="15"/>
  <c r="T18" i="15" s="1"/>
  <c r="G18" i="15"/>
  <c r="H18" i="15" s="1"/>
  <c r="L18" i="15"/>
  <c r="D18" i="15"/>
  <c r="Q20" i="17"/>
  <c r="S17" i="14"/>
  <c r="T17" i="14" s="1"/>
  <c r="G17" i="14"/>
  <c r="H17" i="14" s="1"/>
  <c r="L17" i="14"/>
  <c r="D17" i="14"/>
  <c r="Q10" i="13"/>
  <c r="S17" i="13"/>
  <c r="T17" i="13" s="1"/>
  <c r="G17" i="13"/>
  <c r="H17" i="13" s="1"/>
  <c r="L17" i="13"/>
  <c r="D17" i="13"/>
  <c r="S11" i="13"/>
  <c r="T11" i="13" s="1"/>
  <c r="G11" i="13"/>
  <c r="H11" i="13" s="1"/>
  <c r="L11" i="13"/>
  <c r="D11" i="13"/>
  <c r="G15" i="15"/>
  <c r="H15" i="15" s="1"/>
  <c r="S15" i="15"/>
  <c r="T15" i="15" s="1"/>
  <c r="D15" i="15"/>
  <c r="L15" i="15"/>
  <c r="D12" i="5"/>
  <c r="S12" i="5"/>
  <c r="T12" i="5" s="1"/>
  <c r="G12" i="5"/>
  <c r="H12" i="5" s="1"/>
  <c r="Q12" i="5" s="1"/>
  <c r="F14" i="5"/>
  <c r="L14" i="5" s="1"/>
  <c r="F7" i="5"/>
  <c r="L7" i="5" s="1"/>
  <c r="F5" i="5"/>
  <c r="L5" i="5" s="1"/>
  <c r="F10" i="5"/>
  <c r="L10" i="5" s="1"/>
  <c r="S3" i="16" l="1"/>
  <c r="T3" i="16" s="1"/>
  <c r="X3" i="4"/>
  <c r="X12" i="4"/>
  <c r="D3" i="16"/>
  <c r="L3" i="16"/>
  <c r="Q3" i="16" s="1"/>
  <c r="L7" i="15"/>
  <c r="D7" i="15"/>
  <c r="G7" i="15"/>
  <c r="H7" i="15" s="1"/>
  <c r="X8" i="4"/>
  <c r="X7" i="4"/>
  <c r="L6" i="15"/>
  <c r="D6" i="15"/>
  <c r="G6" i="15"/>
  <c r="H6" i="15" s="1"/>
  <c r="X4" i="4"/>
  <c r="S3" i="5"/>
  <c r="T3" i="5" s="1"/>
  <c r="G3" i="5"/>
  <c r="H3" i="5" s="1"/>
  <c r="Q3" i="5" s="1"/>
  <c r="D3" i="5"/>
  <c r="X6" i="4"/>
  <c r="X11" i="4"/>
  <c r="L7" i="13"/>
  <c r="G7" i="13"/>
  <c r="H7" i="13" s="1"/>
  <c r="X19" i="4"/>
  <c r="X21" i="4"/>
  <c r="S7" i="13"/>
  <c r="T7" i="13" s="1"/>
  <c r="X24" i="4"/>
  <c r="Q9" i="14"/>
  <c r="G5" i="15"/>
  <c r="H5" i="15" s="1"/>
  <c r="L8" i="13"/>
  <c r="Q8" i="13" s="1"/>
  <c r="D8" i="13"/>
  <c r="S8" i="13"/>
  <c r="T8" i="13" s="1"/>
  <c r="D5" i="15"/>
  <c r="S8" i="5"/>
  <c r="T8" i="5" s="1"/>
  <c r="G8" i="5"/>
  <c r="H8" i="5" s="1"/>
  <c r="Q8" i="5" s="1"/>
  <c r="L5" i="15"/>
  <c r="Q3" i="13"/>
  <c r="S4" i="15"/>
  <c r="T4" i="15" s="1"/>
  <c r="G4" i="13"/>
  <c r="H4" i="13" s="1"/>
  <c r="L4" i="15"/>
  <c r="Q4" i="15" s="1"/>
  <c r="D4" i="15"/>
  <c r="D8" i="5"/>
  <c r="D5" i="13"/>
  <c r="L5" i="13"/>
  <c r="G5" i="13"/>
  <c r="H5" i="13" s="1"/>
  <c r="S5" i="13"/>
  <c r="T5" i="13" s="1"/>
  <c r="Q3" i="14"/>
  <c r="L2" i="15"/>
  <c r="D2" i="15"/>
  <c r="G2" i="15"/>
  <c r="H2" i="15" s="1"/>
  <c r="S2" i="15"/>
  <c r="T2" i="15" s="1"/>
  <c r="Q15" i="15"/>
  <c r="G2" i="13"/>
  <c r="H2" i="13" s="1"/>
  <c r="S2" i="13"/>
  <c r="T2" i="13" s="1"/>
  <c r="D2" i="13"/>
  <c r="L2" i="13"/>
  <c r="L9" i="5"/>
  <c r="D9" i="5"/>
  <c r="G9" i="5"/>
  <c r="H9" i="5" s="1"/>
  <c r="S9" i="5"/>
  <c r="T9" i="5" s="1"/>
  <c r="S9" i="13"/>
  <c r="T9" i="13" s="1"/>
  <c r="D9" i="13"/>
  <c r="G9" i="13"/>
  <c r="H9" i="13" s="1"/>
  <c r="L9" i="13"/>
  <c r="D2" i="5"/>
  <c r="G2" i="5"/>
  <c r="H2" i="5" s="1"/>
  <c r="S2" i="5"/>
  <c r="T2" i="5" s="1"/>
  <c r="L2" i="5"/>
  <c r="L4" i="13"/>
  <c r="Q2" i="14"/>
  <c r="S3" i="15"/>
  <c r="T3" i="15" s="1"/>
  <c r="G3" i="15"/>
  <c r="H3" i="15" s="1"/>
  <c r="L3" i="15"/>
  <c r="D3" i="15"/>
  <c r="D4" i="13"/>
  <c r="Q10" i="15"/>
  <c r="Q17" i="14"/>
  <c r="Q15" i="13"/>
  <c r="Q14" i="13"/>
  <c r="Q14" i="14"/>
  <c r="Q18" i="15"/>
  <c r="Q11" i="13"/>
  <c r="Q11" i="15"/>
  <c r="Q13" i="15"/>
  <c r="Q17" i="13"/>
  <c r="Q12" i="15"/>
  <c r="Q13" i="13"/>
  <c r="Q17" i="15"/>
  <c r="S10" i="5"/>
  <c r="T10" i="5" s="1"/>
  <c r="D10" i="5"/>
  <c r="G10" i="5"/>
  <c r="H10" i="5" s="1"/>
  <c r="Q10" i="5" s="1"/>
  <c r="D5" i="5"/>
  <c r="S5" i="5"/>
  <c r="T5" i="5" s="1"/>
  <c r="G5" i="5"/>
  <c r="H5" i="5" s="1"/>
  <c r="Q5" i="5" s="1"/>
  <c r="D7" i="5"/>
  <c r="S7" i="5"/>
  <c r="T7" i="5" s="1"/>
  <c r="G7" i="5"/>
  <c r="H7" i="5" s="1"/>
  <c r="Q7" i="5" s="1"/>
  <c r="D14" i="5"/>
  <c r="S14" i="5"/>
  <c r="T14" i="5" s="1"/>
  <c r="G14" i="5"/>
  <c r="H14" i="5" s="1"/>
  <c r="Q14" i="5" s="1"/>
  <c r="D4" i="5"/>
  <c r="S4" i="5"/>
  <c r="T4" i="5" s="1"/>
  <c r="G4" i="5"/>
  <c r="H4" i="5" s="1"/>
  <c r="Q4" i="5" s="1"/>
  <c r="Q7" i="15" l="1"/>
  <c r="Q6" i="15"/>
  <c r="Q7" i="13"/>
  <c r="Q5" i="15"/>
  <c r="Q5" i="13"/>
  <c r="Q3" i="15"/>
  <c r="Q2" i="15"/>
  <c r="Q4" i="13"/>
  <c r="Q2" i="13"/>
  <c r="Q9" i="13"/>
  <c r="Q2" i="5"/>
  <c r="Q9" i="5"/>
  <c r="J3" i="3" l="1"/>
  <c r="J4" i="3"/>
  <c r="J5" i="3"/>
  <c r="J7" i="3"/>
  <c r="J8" i="3"/>
  <c r="J9" i="3"/>
  <c r="J10" i="3"/>
  <c r="G386" i="3" l="1"/>
  <c r="G385" i="3"/>
  <c r="G393" i="3"/>
  <c r="G397" i="3"/>
  <c r="G380" i="3"/>
  <c r="G390" i="3"/>
  <c r="G388" i="3"/>
  <c r="G391" i="3"/>
  <c r="G395" i="3"/>
  <c r="G384" i="3"/>
  <c r="G383" i="3"/>
  <c r="G399" i="3"/>
  <c r="G394" i="3"/>
  <c r="G379" i="3"/>
  <c r="G377" i="3"/>
  <c r="G398" i="3"/>
  <c r="AU20" i="4" s="1"/>
  <c r="G382" i="3"/>
  <c r="G396" i="3"/>
  <c r="G378" i="3"/>
  <c r="AP14" i="4" s="1"/>
  <c r="F21" i="16"/>
  <c r="G389" i="3"/>
  <c r="AU18" i="4" s="1"/>
  <c r="K18" i="4" s="1"/>
  <c r="L18" i="4" s="1"/>
  <c r="M18" i="4" s="1"/>
  <c r="G401" i="3"/>
  <c r="G400" i="3"/>
  <c r="G381" i="3"/>
  <c r="F14" i="16"/>
  <c r="G392" i="3"/>
  <c r="G387" i="3"/>
  <c r="J401" i="3"/>
  <c r="J399" i="3"/>
  <c r="J398" i="3"/>
  <c r="J393" i="3"/>
  <c r="J392" i="3"/>
  <c r="J400" i="3"/>
  <c r="J397" i="3"/>
  <c r="J395" i="3"/>
  <c r="J396" i="3"/>
  <c r="J394" i="3"/>
  <c r="J391" i="3"/>
  <c r="K17" i="4" l="1"/>
  <c r="L17" i="4" s="1"/>
  <c r="M17" i="4" s="1"/>
  <c r="F16" i="5" s="1"/>
  <c r="K16" i="4"/>
  <c r="L16" i="4" s="1"/>
  <c r="M16" i="4" s="1"/>
  <c r="T16" i="4" s="1"/>
  <c r="AP20" i="4"/>
  <c r="K20" i="4" s="1"/>
  <c r="L20" i="4" s="1"/>
  <c r="M20" i="4" s="1"/>
  <c r="F19" i="5" s="1"/>
  <c r="K14" i="4"/>
  <c r="L14" i="4" s="1"/>
  <c r="M14" i="4" s="1"/>
  <c r="F21" i="5"/>
  <c r="T18" i="4"/>
  <c r="V18" i="4" s="1"/>
  <c r="U18" i="4"/>
  <c r="F18" i="5"/>
  <c r="U79" i="4"/>
  <c r="V79" i="4"/>
  <c r="F7" i="17"/>
  <c r="L7" i="17" s="1"/>
  <c r="U31" i="4"/>
  <c r="V31" i="4"/>
  <c r="V25" i="4"/>
  <c r="U25" i="4"/>
  <c r="F6" i="16"/>
  <c r="L6" i="16" s="1"/>
  <c r="F4" i="16"/>
  <c r="S21" i="16"/>
  <c r="T21" i="16" s="1"/>
  <c r="G21" i="16"/>
  <c r="H21" i="16" s="1"/>
  <c r="L21" i="16"/>
  <c r="D21" i="16"/>
  <c r="S14" i="16"/>
  <c r="T14" i="16" s="1"/>
  <c r="G14" i="16"/>
  <c r="H14" i="16" s="1"/>
  <c r="D14" i="16"/>
  <c r="L14" i="16"/>
  <c r="F15" i="17"/>
  <c r="F24" i="15"/>
  <c r="F23" i="16"/>
  <c r="F14" i="17"/>
  <c r="F25" i="13"/>
  <c r="F25" i="17"/>
  <c r="F25" i="16"/>
  <c r="F25" i="14"/>
  <c r="F20" i="16"/>
  <c r="F19" i="16"/>
  <c r="T14" i="4" l="1"/>
  <c r="V14" i="4" s="1"/>
  <c r="F13" i="5"/>
  <c r="D16" i="5"/>
  <c r="L16" i="5"/>
  <c r="G16" i="5"/>
  <c r="H16" i="5" s="1"/>
  <c r="S16" i="5"/>
  <c r="T16" i="5" s="1"/>
  <c r="U14" i="4"/>
  <c r="X14" i="4" s="1"/>
  <c r="T17" i="4"/>
  <c r="V17" i="4" s="1"/>
  <c r="U17" i="4"/>
  <c r="T20" i="4"/>
  <c r="V20" i="4" s="1"/>
  <c r="F25" i="5"/>
  <c r="G25" i="5" s="1"/>
  <c r="H25" i="5" s="1"/>
  <c r="U20" i="4"/>
  <c r="L21" i="5"/>
  <c r="D21" i="5"/>
  <c r="G21" i="5"/>
  <c r="H21" i="5" s="1"/>
  <c r="S21" i="5"/>
  <c r="T21" i="5" s="1"/>
  <c r="X18" i="4"/>
  <c r="L18" i="5"/>
  <c r="D18" i="5"/>
  <c r="S18" i="5"/>
  <c r="T18" i="5" s="1"/>
  <c r="G18" i="5"/>
  <c r="H18" i="5" s="1"/>
  <c r="D7" i="17"/>
  <c r="G7" i="17"/>
  <c r="H7" i="17" s="1"/>
  <c r="Q7" i="17" s="1"/>
  <c r="S7" i="17"/>
  <c r="T7" i="17" s="1"/>
  <c r="X25" i="4"/>
  <c r="F13" i="17"/>
  <c r="D13" i="17" s="1"/>
  <c r="U75" i="4"/>
  <c r="V75" i="4"/>
  <c r="F22" i="15"/>
  <c r="D22" i="15" s="1"/>
  <c r="U95" i="4"/>
  <c r="V95" i="4"/>
  <c r="F22" i="5"/>
  <c r="S22" i="5" s="1"/>
  <c r="T22" i="5" s="1"/>
  <c r="U81" i="4"/>
  <c r="V81" i="4"/>
  <c r="V32" i="4"/>
  <c r="U32" i="4"/>
  <c r="F20" i="5"/>
  <c r="L20" i="5" s="1"/>
  <c r="U80" i="4"/>
  <c r="V80" i="4"/>
  <c r="F19" i="14"/>
  <c r="D19" i="14" s="1"/>
  <c r="U88" i="4"/>
  <c r="V88" i="4"/>
  <c r="F15" i="16"/>
  <c r="S15" i="16" s="1"/>
  <c r="T15" i="16" s="1"/>
  <c r="V68" i="4"/>
  <c r="U68" i="4"/>
  <c r="F24" i="13"/>
  <c r="D24" i="13" s="1"/>
  <c r="V87" i="4"/>
  <c r="U87" i="4"/>
  <c r="F24" i="14"/>
  <c r="D24" i="14" s="1"/>
  <c r="V92" i="4"/>
  <c r="U92" i="4"/>
  <c r="U74" i="4"/>
  <c r="V74" i="4"/>
  <c r="V83" i="4"/>
  <c r="U83" i="4"/>
  <c r="U93" i="4"/>
  <c r="V93" i="4"/>
  <c r="F18" i="17"/>
  <c r="L18" i="17" s="1"/>
  <c r="V78" i="4"/>
  <c r="U78" i="4"/>
  <c r="F10" i="17"/>
  <c r="L10" i="17" s="1"/>
  <c r="V72" i="4"/>
  <c r="U72" i="4"/>
  <c r="F23" i="14"/>
  <c r="S23" i="14" s="1"/>
  <c r="T23" i="14" s="1"/>
  <c r="V91" i="4"/>
  <c r="U91" i="4"/>
  <c r="F20" i="13"/>
  <c r="G20" i="13" s="1"/>
  <c r="H20" i="13" s="1"/>
  <c r="V85" i="4"/>
  <c r="U85" i="4"/>
  <c r="F23" i="13"/>
  <c r="S23" i="13" s="1"/>
  <c r="T23" i="13" s="1"/>
  <c r="V86" i="4"/>
  <c r="U86" i="4"/>
  <c r="F16" i="16"/>
  <c r="G16" i="16" s="1"/>
  <c r="H16" i="16" s="1"/>
  <c r="U69" i="4"/>
  <c r="V69" i="4"/>
  <c r="F16" i="17"/>
  <c r="G16" i="17" s="1"/>
  <c r="H16" i="17" s="1"/>
  <c r="U76" i="4"/>
  <c r="V76" i="4"/>
  <c r="F10" i="16"/>
  <c r="S10" i="16" s="1"/>
  <c r="T10" i="16" s="1"/>
  <c r="U64" i="4"/>
  <c r="V64" i="4"/>
  <c r="U26" i="4"/>
  <c r="V26" i="4"/>
  <c r="F18" i="16"/>
  <c r="S18" i="16" s="1"/>
  <c r="T18" i="16" s="1"/>
  <c r="U71" i="4"/>
  <c r="V71" i="4"/>
  <c r="F23" i="15"/>
  <c r="L23" i="15" s="1"/>
  <c r="V96" i="4"/>
  <c r="U96" i="4"/>
  <c r="F11" i="16"/>
  <c r="L11" i="16" s="1"/>
  <c r="U65" i="4"/>
  <c r="V65" i="4"/>
  <c r="V94" i="4"/>
  <c r="U94" i="4"/>
  <c r="X31" i="4"/>
  <c r="V27" i="4"/>
  <c r="U27" i="4"/>
  <c r="F22" i="13"/>
  <c r="S22" i="13" s="1"/>
  <c r="T22" i="13" s="1"/>
  <c r="F13" i="16"/>
  <c r="D13" i="16" s="1"/>
  <c r="V67" i="4"/>
  <c r="U67" i="4"/>
  <c r="V82" i="4"/>
  <c r="U82" i="4"/>
  <c r="F22" i="14"/>
  <c r="D22" i="14" s="1"/>
  <c r="U90" i="4"/>
  <c r="V90" i="4"/>
  <c r="F11" i="17"/>
  <c r="G11" i="17" s="1"/>
  <c r="H11" i="17" s="1"/>
  <c r="V73" i="4"/>
  <c r="U73" i="4"/>
  <c r="F20" i="14"/>
  <c r="L20" i="14" s="1"/>
  <c r="U89" i="4"/>
  <c r="V89" i="4"/>
  <c r="F12" i="16"/>
  <c r="L12" i="16" s="1"/>
  <c r="U66" i="4"/>
  <c r="V66" i="4"/>
  <c r="X79" i="4"/>
  <c r="S24" i="15"/>
  <c r="T24" i="15" s="1"/>
  <c r="L24" i="15"/>
  <c r="G24" i="15"/>
  <c r="H24" i="15" s="1"/>
  <c r="D24" i="15"/>
  <c r="F20" i="15"/>
  <c r="F24" i="5"/>
  <c r="L19" i="5"/>
  <c r="G19" i="5"/>
  <c r="H19" i="5" s="1"/>
  <c r="S19" i="5"/>
  <c r="T19" i="5" s="1"/>
  <c r="D19" i="5"/>
  <c r="D6" i="16"/>
  <c r="G6" i="16"/>
  <c r="H6" i="16" s="1"/>
  <c r="Q6" i="16" s="1"/>
  <c r="S6" i="16"/>
  <c r="T6" i="16" s="1"/>
  <c r="F7" i="16"/>
  <c r="G7" i="16" s="1"/>
  <c r="H7" i="16" s="1"/>
  <c r="F5" i="16"/>
  <c r="F8" i="17"/>
  <c r="G8" i="17" s="1"/>
  <c r="H8" i="17" s="1"/>
  <c r="F9" i="17"/>
  <c r="F8" i="16"/>
  <c r="S8" i="16" s="1"/>
  <c r="T8" i="16" s="1"/>
  <c r="F9" i="16"/>
  <c r="S4" i="16"/>
  <c r="T4" i="16" s="1"/>
  <c r="G4" i="16"/>
  <c r="H4" i="16" s="1"/>
  <c r="L4" i="16"/>
  <c r="D4" i="16"/>
  <c r="Q14" i="16"/>
  <c r="Q21" i="16"/>
  <c r="S25" i="17"/>
  <c r="T25" i="17" s="1"/>
  <c r="G25" i="17"/>
  <c r="H25" i="17" s="1"/>
  <c r="D25" i="17"/>
  <c r="L25" i="17"/>
  <c r="S25" i="13"/>
  <c r="T25" i="13" s="1"/>
  <c r="G25" i="13"/>
  <c r="H25" i="13" s="1"/>
  <c r="L25" i="13"/>
  <c r="D25" i="13"/>
  <c r="S25" i="14"/>
  <c r="T25" i="14" s="1"/>
  <c r="G25" i="14"/>
  <c r="H25" i="14" s="1"/>
  <c r="L25" i="14"/>
  <c r="D25" i="14"/>
  <c r="S14" i="17"/>
  <c r="T14" i="17" s="1"/>
  <c r="G14" i="17"/>
  <c r="H14" i="17" s="1"/>
  <c r="D14" i="17"/>
  <c r="L14" i="17"/>
  <c r="G23" i="16"/>
  <c r="H23" i="16" s="1"/>
  <c r="S23" i="16"/>
  <c r="T23" i="16" s="1"/>
  <c r="D23" i="16"/>
  <c r="L23" i="16"/>
  <c r="S19" i="16"/>
  <c r="T19" i="16" s="1"/>
  <c r="G19" i="16"/>
  <c r="H19" i="16" s="1"/>
  <c r="L19" i="16"/>
  <c r="D19" i="16"/>
  <c r="G25" i="16"/>
  <c r="H25" i="16" s="1"/>
  <c r="S25" i="16"/>
  <c r="T25" i="16" s="1"/>
  <c r="L25" i="16"/>
  <c r="D25" i="16"/>
  <c r="G15" i="17"/>
  <c r="H15" i="17" s="1"/>
  <c r="S15" i="17"/>
  <c r="T15" i="17" s="1"/>
  <c r="D15" i="17"/>
  <c r="L15" i="17"/>
  <c r="S20" i="16"/>
  <c r="T20" i="16" s="1"/>
  <c r="G20" i="16"/>
  <c r="H20" i="16" s="1"/>
  <c r="L20" i="16"/>
  <c r="D20" i="16"/>
  <c r="F12" i="17"/>
  <c r="F22" i="16"/>
  <c r="Q16" i="5" l="1"/>
  <c r="L13" i="5"/>
  <c r="S13" i="5"/>
  <c r="T13" i="5" s="1"/>
  <c r="G13" i="5"/>
  <c r="H13" i="5" s="1"/>
  <c r="D13" i="5"/>
  <c r="X17" i="4"/>
  <c r="X20" i="4"/>
  <c r="L25" i="5"/>
  <c r="Q25" i="5" s="1"/>
  <c r="S25" i="5"/>
  <c r="T25" i="5" s="1"/>
  <c r="Q21" i="5"/>
  <c r="D25" i="5"/>
  <c r="Q18" i="5"/>
  <c r="X96" i="4"/>
  <c r="X85" i="4"/>
  <c r="X90" i="4"/>
  <c r="X87" i="4"/>
  <c r="G23" i="15"/>
  <c r="H23" i="15" s="1"/>
  <c r="Q23" i="15" s="1"/>
  <c r="S23" i="15"/>
  <c r="T23" i="15" s="1"/>
  <c r="X86" i="4"/>
  <c r="L11" i="17"/>
  <c r="Q11" i="17" s="1"/>
  <c r="L22" i="15"/>
  <c r="S22" i="15"/>
  <c r="T22" i="15" s="1"/>
  <c r="G22" i="15"/>
  <c r="H22" i="15" s="1"/>
  <c r="X92" i="4"/>
  <c r="S16" i="16"/>
  <c r="T16" i="16" s="1"/>
  <c r="X74" i="4"/>
  <c r="X83" i="4"/>
  <c r="X78" i="4"/>
  <c r="S12" i="16"/>
  <c r="T12" i="16" s="1"/>
  <c r="L13" i="17"/>
  <c r="G13" i="17"/>
  <c r="H13" i="17" s="1"/>
  <c r="S13" i="17"/>
  <c r="T13" i="17" s="1"/>
  <c r="G23" i="13"/>
  <c r="H23" i="13" s="1"/>
  <c r="D22" i="5"/>
  <c r="L22" i="5"/>
  <c r="L20" i="13"/>
  <c r="Q20" i="13" s="1"/>
  <c r="D12" i="16"/>
  <c r="D11" i="17"/>
  <c r="S20" i="13"/>
  <c r="T20" i="13" s="1"/>
  <c r="G12" i="16"/>
  <c r="H12" i="16" s="1"/>
  <c r="Q12" i="16" s="1"/>
  <c r="D20" i="13"/>
  <c r="S11" i="17"/>
  <c r="T11" i="17" s="1"/>
  <c r="L24" i="13"/>
  <c r="X80" i="4"/>
  <c r="G24" i="14"/>
  <c r="H24" i="14" s="1"/>
  <c r="S24" i="14"/>
  <c r="T24" i="14" s="1"/>
  <c r="L16" i="16"/>
  <c r="Q16" i="16" s="1"/>
  <c r="G22" i="5"/>
  <c r="H22" i="5" s="1"/>
  <c r="D23" i="15"/>
  <c r="X66" i="4"/>
  <c r="S24" i="13"/>
  <c r="T24" i="13" s="1"/>
  <c r="G24" i="13"/>
  <c r="H24" i="13" s="1"/>
  <c r="X67" i="4"/>
  <c r="X72" i="4"/>
  <c r="X93" i="4"/>
  <c r="X32" i="4"/>
  <c r="X89" i="4"/>
  <c r="L15" i="16"/>
  <c r="G15" i="16"/>
  <c r="H15" i="16" s="1"/>
  <c r="X64" i="4"/>
  <c r="X91" i="4"/>
  <c r="D10" i="17"/>
  <c r="D20" i="5"/>
  <c r="L23" i="14"/>
  <c r="G10" i="17"/>
  <c r="H10" i="17" s="1"/>
  <c r="Q10" i="17" s="1"/>
  <c r="S10" i="17"/>
  <c r="T10" i="17" s="1"/>
  <c r="S20" i="5"/>
  <c r="T20" i="5" s="1"/>
  <c r="G23" i="14"/>
  <c r="H23" i="14" s="1"/>
  <c r="S11" i="16"/>
  <c r="T11" i="16" s="1"/>
  <c r="L19" i="14"/>
  <c r="G19" i="14"/>
  <c r="H19" i="14" s="1"/>
  <c r="G20" i="5"/>
  <c r="H20" i="5" s="1"/>
  <c r="Q20" i="5" s="1"/>
  <c r="L10" i="16"/>
  <c r="D10" i="16"/>
  <c r="G10" i="16"/>
  <c r="H10" i="16" s="1"/>
  <c r="D16" i="16"/>
  <c r="L23" i="13"/>
  <c r="S18" i="17"/>
  <c r="T18" i="17" s="1"/>
  <c r="D23" i="13"/>
  <c r="D20" i="14"/>
  <c r="D15" i="16"/>
  <c r="F6" i="17"/>
  <c r="S6" i="17" s="1"/>
  <c r="T6" i="17" s="1"/>
  <c r="V30" i="4"/>
  <c r="U30" i="4"/>
  <c r="L13" i="16"/>
  <c r="S16" i="17"/>
  <c r="T16" i="17" s="1"/>
  <c r="G22" i="14"/>
  <c r="H22" i="14" s="1"/>
  <c r="G11" i="16"/>
  <c r="H11" i="16" s="1"/>
  <c r="Q11" i="16" s="1"/>
  <c r="D18" i="17"/>
  <c r="S22" i="14"/>
  <c r="T22" i="14" s="1"/>
  <c r="X82" i="4"/>
  <c r="X71" i="4"/>
  <c r="X68" i="4"/>
  <c r="D22" i="13"/>
  <c r="D18" i="16"/>
  <c r="D11" i="16"/>
  <c r="G18" i="17"/>
  <c r="H18" i="17" s="1"/>
  <c r="Q18" i="17" s="1"/>
  <c r="G22" i="13"/>
  <c r="H22" i="13" s="1"/>
  <c r="L24" i="14"/>
  <c r="L18" i="16"/>
  <c r="L22" i="13"/>
  <c r="X26" i="4"/>
  <c r="X88" i="4"/>
  <c r="G18" i="16"/>
  <c r="H18" i="16" s="1"/>
  <c r="D23" i="14"/>
  <c r="U84" i="4"/>
  <c r="V84" i="4"/>
  <c r="X27" i="4"/>
  <c r="X76" i="4"/>
  <c r="G20" i="14"/>
  <c r="H20" i="14" s="1"/>
  <c r="Q20" i="14" s="1"/>
  <c r="S20" i="14"/>
  <c r="T20" i="14" s="1"/>
  <c r="X94" i="4"/>
  <c r="X69" i="4"/>
  <c r="X81" i="4"/>
  <c r="S19" i="14"/>
  <c r="T19" i="14" s="1"/>
  <c r="X73" i="4"/>
  <c r="X65" i="4"/>
  <c r="X95" i="4"/>
  <c r="F17" i="16"/>
  <c r="D17" i="16" s="1"/>
  <c r="V70" i="4"/>
  <c r="U70" i="4"/>
  <c r="L16" i="17"/>
  <c r="Q16" i="17" s="1"/>
  <c r="U29" i="4"/>
  <c r="V29" i="4"/>
  <c r="S13" i="16"/>
  <c r="T13" i="16" s="1"/>
  <c r="D16" i="17"/>
  <c r="L22" i="14"/>
  <c r="G13" i="16"/>
  <c r="H13" i="16" s="1"/>
  <c r="X75" i="4"/>
  <c r="F19" i="17"/>
  <c r="Q24" i="15"/>
  <c r="D20" i="15"/>
  <c r="S20" i="15"/>
  <c r="T20" i="15" s="1"/>
  <c r="G20" i="15"/>
  <c r="H20" i="15" s="1"/>
  <c r="L20" i="15"/>
  <c r="F19" i="13"/>
  <c r="D24" i="5"/>
  <c r="L24" i="5"/>
  <c r="S24" i="5"/>
  <c r="T24" i="5" s="1"/>
  <c r="G24" i="5"/>
  <c r="H24" i="5" s="1"/>
  <c r="Q19" i="5"/>
  <c r="S7" i="16"/>
  <c r="T7" i="16" s="1"/>
  <c r="D7" i="16"/>
  <c r="L7" i="16"/>
  <c r="Q7" i="16" s="1"/>
  <c r="S8" i="17"/>
  <c r="T8" i="17" s="1"/>
  <c r="Q4" i="16"/>
  <c r="D8" i="16"/>
  <c r="F5" i="17"/>
  <c r="G5" i="17" s="1"/>
  <c r="H5" i="17" s="1"/>
  <c r="F3" i="17"/>
  <c r="L8" i="17"/>
  <c r="Q8" i="17" s="1"/>
  <c r="L8" i="16"/>
  <c r="D8" i="17"/>
  <c r="G8" i="16"/>
  <c r="H8" i="16" s="1"/>
  <c r="G9" i="16"/>
  <c r="H9" i="16" s="1"/>
  <c r="L9" i="16"/>
  <c r="D9" i="16"/>
  <c r="S9" i="16"/>
  <c r="T9" i="16" s="1"/>
  <c r="S9" i="17"/>
  <c r="T9" i="17" s="1"/>
  <c r="L9" i="17"/>
  <c r="G9" i="17"/>
  <c r="H9" i="17" s="1"/>
  <c r="D9" i="17"/>
  <c r="G5" i="16"/>
  <c r="H5" i="16" s="1"/>
  <c r="D5" i="16"/>
  <c r="L5" i="16"/>
  <c r="S5" i="16"/>
  <c r="T5" i="16" s="1"/>
  <c r="Q25" i="14"/>
  <c r="Q20" i="16"/>
  <c r="Q25" i="13"/>
  <c r="Q14" i="17"/>
  <c r="Q25" i="16"/>
  <c r="Q25" i="17"/>
  <c r="S22" i="16"/>
  <c r="T22" i="16" s="1"/>
  <c r="G22" i="16"/>
  <c r="H22" i="16" s="1"/>
  <c r="D22" i="16"/>
  <c r="L22" i="16"/>
  <c r="Q15" i="17"/>
  <c r="Q19" i="16"/>
  <c r="G12" i="17"/>
  <c r="H12" i="17" s="1"/>
  <c r="S12" i="17"/>
  <c r="T12" i="17" s="1"/>
  <c r="D12" i="17"/>
  <c r="L12" i="17"/>
  <c r="Q23" i="16"/>
  <c r="Q13" i="5" l="1"/>
  <c r="Q22" i="15"/>
  <c r="Q13" i="17"/>
  <c r="Q23" i="13"/>
  <c r="Q10" i="16"/>
  <c r="X30" i="4"/>
  <c r="Q15" i="16"/>
  <c r="Q22" i="5"/>
  <c r="Q19" i="14"/>
  <c r="Q24" i="13"/>
  <c r="Q24" i="14"/>
  <c r="Q13" i="16"/>
  <c r="Q23" i="14"/>
  <c r="Q18" i="16"/>
  <c r="Q22" i="13"/>
  <c r="Q22" i="14"/>
  <c r="L6" i="17"/>
  <c r="D6" i="17"/>
  <c r="G6" i="17"/>
  <c r="H6" i="17" s="1"/>
  <c r="S17" i="16"/>
  <c r="T17" i="16" s="1"/>
  <c r="G17" i="16"/>
  <c r="H17" i="16" s="1"/>
  <c r="X29" i="4"/>
  <c r="X84" i="4"/>
  <c r="L17" i="16"/>
  <c r="X70" i="4"/>
  <c r="G19" i="17"/>
  <c r="H19" i="17" s="1"/>
  <c r="L19" i="17"/>
  <c r="S19" i="17"/>
  <c r="T19" i="17" s="1"/>
  <c r="D19" i="17"/>
  <c r="Q20" i="15"/>
  <c r="Q24" i="5"/>
  <c r="L19" i="13"/>
  <c r="D19" i="13"/>
  <c r="S19" i="13"/>
  <c r="T19" i="13" s="1"/>
  <c r="G19" i="13"/>
  <c r="H19" i="13" s="1"/>
  <c r="Q8" i="16"/>
  <c r="Q9" i="17"/>
  <c r="S5" i="17"/>
  <c r="T5" i="17" s="1"/>
  <c r="Q9" i="16"/>
  <c r="Q5" i="16"/>
  <c r="S3" i="17"/>
  <c r="T3" i="17" s="1"/>
  <c r="L3" i="17"/>
  <c r="D3" i="17"/>
  <c r="G3" i="17"/>
  <c r="H3" i="17" s="1"/>
  <c r="L5" i="17"/>
  <c r="Q5" i="17" s="1"/>
  <c r="D5" i="17"/>
  <c r="E14" i="16"/>
  <c r="E9" i="16"/>
  <c r="Q12" i="17"/>
  <c r="E12" i="16"/>
  <c r="E11" i="16"/>
  <c r="E21" i="16"/>
  <c r="E13" i="16"/>
  <c r="E7" i="16"/>
  <c r="E25" i="16"/>
  <c r="E17" i="16"/>
  <c r="E24" i="16"/>
  <c r="E5" i="16"/>
  <c r="E4" i="16"/>
  <c r="E3" i="16"/>
  <c r="E20" i="16"/>
  <c r="E6" i="16"/>
  <c r="E8" i="16"/>
  <c r="E10" i="16"/>
  <c r="E23" i="16"/>
  <c r="E2" i="16"/>
  <c r="E19" i="16"/>
  <c r="E15" i="16"/>
  <c r="E16" i="16"/>
  <c r="Q22" i="16"/>
  <c r="E18" i="16"/>
  <c r="E22" i="16"/>
  <c r="F15" i="5"/>
  <c r="L15" i="5" s="1"/>
  <c r="Q6" i="17" l="1"/>
  <c r="Q17" i="16"/>
  <c r="Q19" i="13"/>
  <c r="Q19" i="17"/>
  <c r="Q3" i="17"/>
  <c r="S15" i="5"/>
  <c r="T15" i="5" s="1"/>
  <c r="G15" i="5"/>
  <c r="H15" i="5" s="1"/>
  <c r="Q15" i="5" s="1"/>
  <c r="D15" i="5"/>
  <c r="V28" i="4" l="1"/>
  <c r="U28" i="4"/>
  <c r="F4" i="17"/>
  <c r="S4" i="17" s="1"/>
  <c r="T4" i="17" s="1"/>
  <c r="F2" i="17"/>
  <c r="F17" i="5"/>
  <c r="L17" i="5" s="1"/>
  <c r="X28" i="4" l="1"/>
  <c r="L4" i="17"/>
  <c r="D4" i="17"/>
  <c r="G4" i="17"/>
  <c r="H4" i="17" s="1"/>
  <c r="S2" i="17"/>
  <c r="T2" i="17" s="1"/>
  <c r="G2" i="17"/>
  <c r="H2" i="17" s="1"/>
  <c r="L2" i="17"/>
  <c r="D2" i="17"/>
  <c r="D17" i="5"/>
  <c r="S17" i="5"/>
  <c r="T17" i="5" s="1"/>
  <c r="G17" i="5"/>
  <c r="H17" i="5" s="1"/>
  <c r="Q17" i="5" s="1"/>
  <c r="E17" i="17" l="1"/>
  <c r="E12" i="17"/>
  <c r="E22" i="17"/>
  <c r="E18" i="17"/>
  <c r="E6" i="17"/>
  <c r="E11" i="17"/>
  <c r="E3" i="17"/>
  <c r="E21" i="17"/>
  <c r="Q4" i="17"/>
  <c r="E4" i="17"/>
  <c r="E10" i="17"/>
  <c r="E24" i="17"/>
  <c r="E20" i="17"/>
  <c r="E14" i="17"/>
  <c r="E9" i="17"/>
  <c r="E16" i="17"/>
  <c r="Q2" i="17"/>
  <c r="E13" i="17"/>
  <c r="E5" i="17"/>
  <c r="E19" i="17"/>
  <c r="E15" i="17"/>
  <c r="E2" i="17"/>
  <c r="E8" i="17"/>
  <c r="E25" i="17"/>
  <c r="E23" i="17"/>
  <c r="E7" i="17"/>
  <c r="F23" i="5"/>
  <c r="L23" i="5" s="1"/>
  <c r="D23" i="5" l="1"/>
  <c r="S23" i="5"/>
  <c r="T23" i="5" s="1"/>
  <c r="G23" i="5"/>
  <c r="H23" i="5" s="1"/>
  <c r="Q23" i="5" s="1"/>
  <c r="F12" i="13"/>
  <c r="S12" i="13" l="1"/>
  <c r="T12" i="13" s="1"/>
  <c r="G12" i="13"/>
  <c r="H12" i="13" s="1"/>
  <c r="L12" i="13"/>
  <c r="D12" i="13"/>
  <c r="E2" i="5" l="1"/>
  <c r="Q12" i="13"/>
  <c r="E18" i="5"/>
  <c r="E22" i="5"/>
  <c r="E7" i="5"/>
  <c r="E11" i="5"/>
  <c r="E6" i="5"/>
  <c r="E13" i="5"/>
  <c r="E16" i="5"/>
  <c r="E19" i="5"/>
  <c r="E17" i="5"/>
  <c r="E20" i="5"/>
  <c r="E25" i="5"/>
  <c r="E15" i="5"/>
  <c r="E10" i="5"/>
  <c r="E8" i="5"/>
  <c r="E12" i="5"/>
  <c r="E23" i="5"/>
  <c r="E14" i="5"/>
  <c r="E5" i="5"/>
  <c r="E24" i="5"/>
  <c r="F11" i="14"/>
  <c r="F12" i="14"/>
  <c r="F21" i="13"/>
  <c r="S21" i="13" l="1"/>
  <c r="T21" i="13" s="1"/>
  <c r="G21" i="13"/>
  <c r="H21" i="13" s="1"/>
  <c r="D21" i="13"/>
  <c r="L21" i="13"/>
  <c r="G12" i="14"/>
  <c r="H12" i="14" s="1"/>
  <c r="S12" i="14"/>
  <c r="T12" i="14" s="1"/>
  <c r="L12" i="14"/>
  <c r="D12" i="14"/>
  <c r="S11" i="14"/>
  <c r="T11" i="14" s="1"/>
  <c r="G11" i="14"/>
  <c r="H11" i="14" s="1"/>
  <c r="D11" i="14"/>
  <c r="L11" i="14"/>
  <c r="E3" i="5"/>
  <c r="E9" i="5"/>
  <c r="E21" i="5"/>
  <c r="E4" i="5"/>
  <c r="U16" i="4" l="1"/>
  <c r="V16" i="4"/>
  <c r="F7" i="14"/>
  <c r="S7" i="14" s="1"/>
  <c r="T7" i="14" s="1"/>
  <c r="F5" i="14"/>
  <c r="Q11" i="14"/>
  <c r="Q21" i="13"/>
  <c r="Q12" i="14"/>
  <c r="E21" i="13"/>
  <c r="E13" i="13"/>
  <c r="E24" i="13"/>
  <c r="E3" i="13"/>
  <c r="E23" i="13"/>
  <c r="E17" i="13"/>
  <c r="E25" i="13"/>
  <c r="E14" i="13"/>
  <c r="E12" i="13"/>
  <c r="E20" i="13"/>
  <c r="E7" i="13"/>
  <c r="E8" i="13"/>
  <c r="E9" i="13"/>
  <c r="E2" i="13"/>
  <c r="E18" i="13"/>
  <c r="E5" i="13"/>
  <c r="E11" i="13"/>
  <c r="E10" i="13"/>
  <c r="E15" i="13"/>
  <c r="E19" i="13"/>
  <c r="E6" i="13"/>
  <c r="E16" i="13"/>
  <c r="E22" i="13"/>
  <c r="E4" i="13"/>
  <c r="V22" i="4" l="1"/>
  <c r="U22" i="4"/>
  <c r="X16" i="4"/>
  <c r="L7" i="14"/>
  <c r="F8" i="15"/>
  <c r="L8" i="15" s="1"/>
  <c r="F9" i="15"/>
  <c r="D7" i="14"/>
  <c r="G7" i="14"/>
  <c r="H7" i="14" s="1"/>
  <c r="G5" i="14"/>
  <c r="H5" i="14" s="1"/>
  <c r="S5" i="14"/>
  <c r="T5" i="14" s="1"/>
  <c r="D5" i="14"/>
  <c r="L5" i="14"/>
  <c r="X22" i="4" l="1"/>
  <c r="Q7" i="14"/>
  <c r="E6" i="14"/>
  <c r="E10" i="14"/>
  <c r="E8" i="14"/>
  <c r="E7" i="14"/>
  <c r="E16" i="14"/>
  <c r="E25" i="14"/>
  <c r="E4" i="14"/>
  <c r="E23" i="14"/>
  <c r="E18" i="14"/>
  <c r="E19" i="14"/>
  <c r="D8" i="15"/>
  <c r="G8" i="15"/>
  <c r="H8" i="15" s="1"/>
  <c r="Q8" i="15" s="1"/>
  <c r="S8" i="15"/>
  <c r="T8" i="15" s="1"/>
  <c r="E15" i="14"/>
  <c r="E14" i="14"/>
  <c r="E3" i="14"/>
  <c r="E11" i="14"/>
  <c r="E13" i="14"/>
  <c r="E21" i="14"/>
  <c r="E2" i="14"/>
  <c r="E12" i="14"/>
  <c r="E22" i="14"/>
  <c r="E20" i="14"/>
  <c r="E24" i="14"/>
  <c r="E9" i="14"/>
  <c r="Q5" i="14"/>
  <c r="E17" i="14"/>
  <c r="E5" i="14"/>
  <c r="G9" i="15"/>
  <c r="H9" i="15" s="1"/>
  <c r="L9" i="15"/>
  <c r="D9" i="15"/>
  <c r="S9" i="15"/>
  <c r="T9" i="15" s="1"/>
  <c r="F19" i="15"/>
  <c r="Q9" i="15" l="1"/>
  <c r="S19" i="15"/>
  <c r="T19" i="15" s="1"/>
  <c r="G19" i="15"/>
  <c r="H19" i="15" s="1"/>
  <c r="L19" i="15"/>
  <c r="D19" i="15"/>
  <c r="Q19" i="15" l="1"/>
  <c r="E19" i="15"/>
  <c r="E24" i="15"/>
  <c r="E9" i="15"/>
  <c r="E23" i="15"/>
  <c r="E3" i="15"/>
  <c r="E8" i="15"/>
  <c r="E5" i="15"/>
  <c r="E20" i="15"/>
  <c r="E15" i="15"/>
  <c r="E10" i="15"/>
  <c r="E2" i="15"/>
  <c r="E6" i="15"/>
  <c r="E14" i="15"/>
  <c r="E16" i="15"/>
  <c r="E13" i="15"/>
  <c r="E22" i="15"/>
  <c r="E18" i="15"/>
  <c r="E21" i="15"/>
  <c r="E11" i="15"/>
  <c r="E12" i="15"/>
  <c r="E25" i="15"/>
  <c r="E4" i="15"/>
  <c r="E17" i="15"/>
  <c r="E7" i="15"/>
</calcChain>
</file>

<file path=xl/sharedStrings.xml><?xml version="1.0" encoding="utf-8"?>
<sst xmlns="http://schemas.openxmlformats.org/spreadsheetml/2006/main" count="1556" uniqueCount="220">
  <si>
    <t>รายการ</t>
  </si>
  <si>
    <t>หน่วย</t>
  </si>
  <si>
    <t>จำนวน/เวลา (นาที)</t>
  </si>
  <si>
    <t>คำอธิบาย</t>
  </si>
  <si>
    <t>A. เวลาทั้งหมด (Total Time)</t>
  </si>
  <si>
    <t>นาที</t>
  </si>
  <si>
    <t>(เช่น 8 ชั่วโมง = 480 นาที)</t>
  </si>
  <si>
    <t>เวลาทั้งหมดที่เครื่องจักรพร้อมใช้งาน (รวมเวลาที่ไม่ได้วางแผนผลิต)</t>
  </si>
  <si>
    <t>B. เวลาที่ไม่ได้วางแผนผลิต (Schedule Loss)</t>
  </si>
  <si>
    <t>(เช่น พักกลางวัน, พักเบรก, ไม่มีออเดอร์)</t>
  </si>
  <si>
    <t>เวลาที่คุณไม่ได้ตั้งใจให้เครื่องจักรผลิต</t>
  </si>
  <si>
    <t>C. เวลาที่ควรทำงาน (Planned Production Time)</t>
  </si>
  <si>
    <t>A - B</t>
  </si>
  <si>
    <t>เวลาที่กำหนดให้เครื่องจักรทำงาน (เวลาทั้งหมดที่เครื่องจักรอยู่ในสถานะ "ต้องทำงาน")</t>
  </si>
  <si>
    <t>D. เวลาหยุดตามแผน (Planned Downtime)</t>
  </si>
  <si>
    <t>    - เปลี่ยนรุ่น/ปรับตั้ง (Changeover/Setup)</t>
  </si>
  <si>
    <t>เวลาที่ใช้ในการปรับเปลี่ยนเครื่องจักรสำหรับผลิตภัณฑ์ใหม่</t>
  </si>
  <si>
    <t>    - บำรุงรักษาตามแผน (Planned Maintenance)</t>
  </si>
  <si>
    <t>การบำรุงรักษาเชิงป้องกันหรือตามกำหนด</t>
  </si>
  <si>
    <t>    - หยุดรอหัวหน้า/เอกสาร</t>
  </si>
  <si>
    <t>การหยุดรอคำสั่ง หรือเอกสารที่จำเป็น</t>
  </si>
  <si>
    <t>    - อื่นๆ (ระบุ)</t>
  </si>
  <si>
    <t>E. เวลาหยุดนอกแผน (Unplanned Downtime)</t>
  </si>
  <si>
    <t>    - เครื่องเสีย/ขัดข้อง (Breakdown)</t>
  </si>
  <si>
    <t>การหยุดทำงานกะทันหันของเครื่องจักร</t>
  </si>
  <si>
    <t>    - รอวัตถุดิบ/ชิ้นส่วน (Material Shortage)</t>
  </si>
  <si>
    <t>การขาดแคลนวัตถุดิบ ทำให้เครื่องจักรหยุด</t>
  </si>
  <si>
    <t>    - รอคน/พนักงาน (Operator Unavailable)</t>
  </si>
  <si>
    <t>พนักงานไม่พร้อมใช้งาน ทำให้เครื่องจักรหยุด</t>
  </si>
  <si>
    <t>    - ไฟฟ้าดับ/ระบบขัดข้อง (Utility Failure)</t>
  </si>
  <si>
    <t>ปัญหาเกี่ยวกับสาธารณูปโภค (ไฟฟ้า, น้ำ, ลม)</t>
  </si>
  <si>
    <t>    - คุณภาพสินค้ามีปัญหา (Quality Issue Stop)</t>
  </si>
  <si>
    <t>หยุดเครื่องเพื่อแก้ไขปัญหาสินค้าเสียจำนวนมาก</t>
  </si>
  <si>
    <t>F. รวมเวลาหยุดทั้งหมด (Total Stop Time)</t>
  </si>
  <si>
    <t>D + E</t>
  </si>
  <si>
    <t>ผลรวมของเวลาหยุดตามแผนและหยุดนอกแผน</t>
  </si>
  <si>
    <t>G. เวลาที่เครื่องจักรทำงานจริง (Operating Time / Run Time)</t>
  </si>
  <si>
    <t>C - F</t>
  </si>
  <si>
    <t>เวลาที่เครื่องจักรเดินเครื่องเพื่อผลิตจริงๆ</t>
  </si>
  <si>
    <t>ส่วนที่ 2: ข้อมูลการผลิต (Production Data)</t>
  </si>
  <si>
    <t>จำนวน</t>
  </si>
  <si>
    <t>H. จำนวนชิ้นงานทั้งหมดที่ผลิตได้ (Total Count)</t>
  </si>
  <si>
    <t>ชิ้น</t>
  </si>
  <si>
    <t>จำนวนชิ้นงานทั้งหมดที่ผลิตออกมาได้ (รวมดีและเสีย)</t>
  </si>
  <si>
    <t>I. จำนวนชิ้นงานเสีย (Defect Count)</t>
  </si>
  <si>
    <t>จำนวนชิ้นงานที่ไม่ผ่านเกณฑ์คุณภาพ</t>
  </si>
  <si>
    <t>J. จำนวนชิ้นงานดี (Good Count)</t>
  </si>
  <si>
    <t>H - I</t>
  </si>
  <si>
    <t>จำนวนชิ้นงานที่ผลิตออกมาแล้วมีคุณภาพดี</t>
  </si>
  <si>
    <t>K. จำนวนชิ้นงานที่ควรผลิตได้ตามมาตรฐาน (Ideal Production Count)</t>
  </si>
  <si>
    <t>G times อัตราการผลิตมาตรฐาน</t>
  </si>
  <si>
    <t>จำนวนชิ้นงานที่ควรผลิตได้ในเวลาที่เครื่องจักรทำงานจริง</t>
  </si>
  <si>
    <t>ส่วนที่ 3: การคำนวณ OEE Factors</t>
  </si>
  <si>
    <t>สูตรคำนวณ</t>
  </si>
  <si>
    <t>Availability (A%)</t>
  </si>
  <si>
    <t>(G / C) times 100</t>
  </si>
  <si>
    <t>Performance (P%)</t>
  </si>
  <si>
    <t>(H / K) times 100 หรือ</t>
  </si>
  <si>
    <t>(Ideal Cycle Time times Total Count) / G</t>
  </si>
  <si>
    <t>Quality (Q%)</t>
  </si>
  <si>
    <t>(J / H) times 100</t>
  </si>
  <si>
    <t>OEE</t>
  </si>
  <si>
    <t>A% times P% times Q%</t>
  </si>
  <si>
    <t>D. เวลาหยุด
ตามแผน (Planned Downtime)</t>
  </si>
  <si>
    <t>E. เวลาหยุด
นอกแผน
 (Unplanned
 Downtime)</t>
  </si>
  <si>
    <t>H. จำนวนชิ้น
งานทั้งหมด
ที่ผลิตได้ 
(Total Count)</t>
  </si>
  <si>
    <t>I. จำนวนชิ้น
งานเสีย
 (Defect Count)</t>
  </si>
  <si>
    <t>Date</t>
  </si>
  <si>
    <t>Model</t>
  </si>
  <si>
    <t>Machine No.</t>
  </si>
  <si>
    <t>Cycle time</t>
  </si>
  <si>
    <t>*E. เวลาหยุดนอกแผน (Unplanned Downtime)</t>
  </si>
  <si>
    <t>*I. จำนวนชิ้นงานเสีย (Defect Count)</t>
  </si>
  <si>
    <t>*D. เวลาหยุดตามแผน (Planned Downtime)</t>
  </si>
  <si>
    <t>B. เวลาที่ไม่ได้
วางแผนผลิต 
(Schedule Loss)
*Break time</t>
  </si>
  <si>
    <t xml:space="preserve">A. เวลาทั้งหมด
 (Total Time)
minute </t>
  </si>
  <si>
    <t xml:space="preserve"> การคำนวณ OEE </t>
  </si>
  <si>
    <t>M/C</t>
  </si>
  <si>
    <t>Case downtime</t>
  </si>
  <si>
    <t>start</t>
  </si>
  <si>
    <t>Finist</t>
  </si>
  <si>
    <t>total Downtime hours.</t>
  </si>
  <si>
    <t>Column1</t>
  </si>
  <si>
    <t>Short time  count  (30 SEC.)</t>
  </si>
  <si>
    <t>M/C2</t>
  </si>
  <si>
    <t>Count Minute</t>
  </si>
  <si>
    <r>
      <t xml:space="preserve">C. เวลาที่ควร
ทำงาน 
(Planned 
Production 
Time) 
</t>
    </r>
    <r>
      <rPr>
        <b/>
        <sz val="14"/>
        <color rgb="FF0000FF"/>
        <rFont val="Cordia New"/>
        <family val="2"/>
      </rPr>
      <t>A - B</t>
    </r>
  </si>
  <si>
    <r>
      <t xml:space="preserve">G. เวลาที่
เครื่องจักร
ทำงานจริง 
(Operating
 Time / Run Time)
</t>
    </r>
    <r>
      <rPr>
        <b/>
        <sz val="14"/>
        <color rgb="FF0000FF"/>
        <rFont val="Cordia New"/>
        <family val="2"/>
      </rPr>
      <t>C - F</t>
    </r>
  </si>
  <si>
    <r>
      <t xml:space="preserve">K. จำนวนชิ้นงาน
ที่ควรผลิต
ได้ตาม
มาตรฐาน 
</t>
    </r>
    <r>
      <rPr>
        <b/>
        <sz val="14"/>
        <color rgb="FF0000FF"/>
        <rFont val="Cordia New"/>
        <family val="2"/>
      </rPr>
      <t>G / cycletime</t>
    </r>
  </si>
  <si>
    <r>
      <t xml:space="preserve">F. รวมเวลาหยุด
ทั้งหมด
 (Total Stop Time)
</t>
    </r>
    <r>
      <rPr>
        <b/>
        <sz val="14"/>
        <color rgb="FF0000FF"/>
        <rFont val="Cordia New"/>
        <family val="2"/>
      </rPr>
      <t>D + E</t>
    </r>
  </si>
  <si>
    <r>
      <t xml:space="preserve">J. จำนวนชิ้น
งานดี 
(Good Count)
</t>
    </r>
    <r>
      <rPr>
        <b/>
        <sz val="14"/>
        <color rgb="FF0000FF"/>
        <rFont val="Cordia New"/>
        <family val="2"/>
      </rPr>
      <t>H - I</t>
    </r>
  </si>
  <si>
    <r>
      <t xml:space="preserve">Availability (A%)
</t>
    </r>
    <r>
      <rPr>
        <b/>
        <sz val="14"/>
        <color rgb="FF0000FF"/>
        <rFont val="Cordia New"/>
        <family val="2"/>
      </rPr>
      <t>(G / C)</t>
    </r>
  </si>
  <si>
    <r>
      <t xml:space="preserve">Performance
 (P%)
</t>
    </r>
    <r>
      <rPr>
        <b/>
        <sz val="14"/>
        <color rgb="FF0000FF"/>
        <rFont val="Cordia New"/>
        <family val="2"/>
      </rPr>
      <t>(H / K)</t>
    </r>
  </si>
  <si>
    <r>
      <t xml:space="preserve">Quality
 (Q%)
</t>
    </r>
    <r>
      <rPr>
        <b/>
        <sz val="14"/>
        <color rgb="FF0000FF"/>
        <rFont val="Cordia New"/>
        <family val="2"/>
      </rPr>
      <t xml:space="preserve">(J / H) </t>
    </r>
  </si>
  <si>
    <r>
      <t xml:space="preserve">OEE
</t>
    </r>
    <r>
      <rPr>
        <b/>
        <sz val="14"/>
        <color rgb="FF0000FF"/>
        <rFont val="Cordia New"/>
        <family val="2"/>
      </rPr>
      <t>A% * P% * Q%</t>
    </r>
  </si>
  <si>
    <t>Working 
HOURS.</t>
  </si>
  <si>
    <t>M</t>
  </si>
  <si>
    <t>N</t>
  </si>
  <si>
    <t>Choko tei Duration[min] /day</t>
  </si>
  <si>
    <t>Target Choko tei Duration[min] /day</t>
  </si>
  <si>
    <t>Choko tei Count /day</t>
  </si>
  <si>
    <t>Target Choko tei Count /day</t>
  </si>
  <si>
    <t>Run[min] /day</t>
  </si>
  <si>
    <t>Plan Stop[min] /day</t>
  </si>
  <si>
    <t>Availability[%]</t>
  </si>
  <si>
    <t>Target Availability[%]</t>
  </si>
  <si>
    <t>Target Cycletime[s]</t>
  </si>
  <si>
    <t>Production Q'ty /day</t>
  </si>
  <si>
    <t>Performance[%]</t>
  </si>
  <si>
    <t>Target Performance[%]</t>
  </si>
  <si>
    <t>1st NG Q'ty /day</t>
  </si>
  <si>
    <t>Quality[%]</t>
  </si>
  <si>
    <t>Target Quality[%]</t>
  </si>
  <si>
    <t>OEE[%]</t>
  </si>
  <si>
    <t>Target OEE[%]</t>
  </si>
  <si>
    <t>Man Power /day</t>
  </si>
  <si>
    <t>Productivity</t>
  </si>
  <si>
    <t>file_name</t>
  </si>
  <si>
    <t>-</t>
  </si>
  <si>
    <t>FY2025_MLS_Spindle Motor_Spindle Motor(FDB UNIT)_Bang Pa-in</t>
  </si>
  <si>
    <t>AHV-01</t>
  </si>
  <si>
    <t>AHV-02</t>
  </si>
  <si>
    <t>AHV-03</t>
  </si>
  <si>
    <t>AHV-04</t>
  </si>
  <si>
    <t>AHV-05</t>
  </si>
  <si>
    <t>Intray &amp; Out Tray</t>
  </si>
  <si>
    <t>Set Lot</t>
  </si>
  <si>
    <t>Wait 4 Tray สุดท้ายของ Lot.</t>
  </si>
  <si>
    <t>QC Check master</t>
  </si>
  <si>
    <t>Prod.Check master แบบดูหน้าจอ Monitor</t>
  </si>
  <si>
    <t>Prod.Check master แบบไม่ดูหน้าจอ Monitor</t>
  </si>
  <si>
    <t>จำนวนครั้ง
ที่หยุดเครื่อง Clean Machine</t>
  </si>
  <si>
    <t>AHV-06</t>
  </si>
  <si>
    <t>ปัญหาที่เกิด</t>
  </si>
  <si>
    <t>วิธีการแก้ไข</t>
  </si>
  <si>
    <t>:</t>
  </si>
  <si>
    <t>DRD</t>
  </si>
  <si>
    <t>Wait part</t>
  </si>
  <si>
    <t>Adj. machine</t>
  </si>
  <si>
    <t>ลดรูปภาพที่ save</t>
  </si>
  <si>
    <t>PT-Chuck miss alarm</t>
  </si>
  <si>
    <t>Clear PT</t>
  </si>
  <si>
    <t>ลดจำนวนรูป save</t>
  </si>
  <si>
    <t>PT-Z Over load</t>
  </si>
  <si>
    <t>Stop รอ Swaii</t>
  </si>
  <si>
    <t>Machine ค้าง</t>
  </si>
  <si>
    <t>ความจำ St.11 เต็ม</t>
  </si>
  <si>
    <t>Stop machine</t>
  </si>
  <si>
    <t>PT-Chuck alarm</t>
  </si>
  <si>
    <t>Load program ST.11</t>
  </si>
  <si>
    <t>Check data st.11</t>
  </si>
  <si>
    <t>Stop over st.4</t>
  </si>
  <si>
    <t xml:space="preserve">เปลี่ยนจาก tool AI เปลี่ยนเป็น Tool crack 
confirm master 12 มุม </t>
  </si>
  <si>
    <t>AHV-01 ไม่ Run งาน</t>
  </si>
  <si>
    <t>ปิด-เปิด เครื่องใหม่ Clear ST.</t>
  </si>
  <si>
    <t>เปลี่ยน Gripper</t>
  </si>
  <si>
    <t>Check data</t>
  </si>
  <si>
    <t>Load program ST.9</t>
  </si>
  <si>
    <t>Visual 5 under pusher alarm</t>
  </si>
  <si>
    <t>เครื่องค้าง งาน NG ไม่วาง</t>
  </si>
  <si>
    <t>All home clear machine</t>
  </si>
  <si>
    <t>Load program + test งาน ,aster</t>
  </si>
  <si>
    <t>Adj. over st.9</t>
  </si>
  <si>
    <t>- Adj. filter ใหม่ให้สว่างขึ้น 
- เปลี่ยน Tool AI เป็น Crack ในการจับแผล</t>
  </si>
  <si>
    <t>PT-Supportter alarm</t>
  </si>
  <si>
    <t>Load program นำออกไปทำข้างนอก</t>
  </si>
  <si>
    <t>Visual 3 chuck alarm</t>
  </si>
  <si>
    <t>- Cylinder counter chuck clamp visual 3(ST7) sensor ไม่ on 
- Adj. pos. sener chuck clamp 
- ORG all st.</t>
  </si>
  <si>
    <t xml:space="preserve">เปลี่ยน Gripper st.3 </t>
  </si>
  <si>
    <t>Spin alarm</t>
  </si>
  <si>
    <t>Adj. tool เฉพาะของ No.10 ให้จับแผลมากขึ้น</t>
  </si>
  <si>
    <t>ลดการจับแผล 1 px จาก 19px เป็น 20 px</t>
  </si>
  <si>
    <t>MM เครื่อง</t>
  </si>
  <si>
    <t>เปลี่ยน Gripper St.5,7</t>
  </si>
  <si>
    <t>Load program ออกไป</t>
  </si>
  <si>
    <t>เปลี่ยน Gripper st.11</t>
  </si>
  <si>
    <t>Test งาน แยกหัว ACR-02</t>
  </si>
  <si>
    <t xml:space="preserve">Confirm งาน contam = 12 มุม 
- Load program </t>
  </si>
  <si>
    <t>Tech adj. groove NG b/t หลุด</t>
  </si>
  <si>
    <t xml:space="preserve">Test งาน  </t>
  </si>
  <si>
    <t xml:space="preserve">Senser ไม่ติด Tray in </t>
  </si>
  <si>
    <t>เบิกงาน 1 ตัว</t>
  </si>
  <si>
    <t>Load program st.7</t>
  </si>
  <si>
    <t>ดูงาน แยกหัว</t>
  </si>
  <si>
    <t>Gripper ฝั่ง OK จับงานข้าม</t>
  </si>
  <si>
    <t>Set ระยะ Sensor check part พบว่า senser ไม่ติด / แจ้ง MM</t>
  </si>
  <si>
    <t>MM stop machine</t>
  </si>
  <si>
    <t>- Sensoe check งานที่ Tray NG 
- Change senser new</t>
  </si>
  <si>
    <t>Tech stop machine</t>
  </si>
  <si>
    <t>- ต่อจาก MM เปลี่ยน sensor 
- Adj. Pos. : Sensor เช็ค part ชุด pallatetizer 
- Move manual sensor on ปกติ
- Adj. set sun 3 รอบ
- ปรับ Pos. Tray ใหม่ 
- ปรับ Speed down แกน X จาก 100 &gt;&gt; 80
- Check confirm ระยะ support</t>
  </si>
  <si>
    <t>Test งาน Scratch</t>
  </si>
  <si>
    <t>ปรับลมจับงานเบาลง</t>
  </si>
  <si>
    <t>Set ระยะ Sensor new</t>
  </si>
  <si>
    <t>S/C bottom (F)</t>
  </si>
  <si>
    <t>Confirm gripper sensor tray in / machine ค้าง ไม่สามารถ Run ได้</t>
  </si>
  <si>
    <t xml:space="preserve">QC check master ไม่ผ่าน / ค่า Hight มากเกินไป / </t>
  </si>
  <si>
    <t>Adl. Gripper set 3จุดใหม่</t>
  </si>
  <si>
    <t>Check master no.2 ไม่ OK รอเปลี่ยน</t>
  </si>
  <si>
    <t>เปลี่ยน Gripper St.5,11</t>
  </si>
  <si>
    <t>Stop QC เจอ Groove NG ID Top หลุด ไปในก้อน OK</t>
  </si>
  <si>
    <t>เพิ่ม Tool crack ในการจับแผล / เพิ่ม Filter ในการจับแผล</t>
  </si>
  <si>
    <t xml:space="preserve">- Tech + MM Adj. ขา Tray 
- Adj. sensor chuck งาน 
- MM เปลี่ยน Sensor จับงาน 
</t>
  </si>
  <si>
    <t xml:space="preserve">- สาเหตุมาจาก Sensor close งาน 
- ทำการเปลี่ยน Sensor close </t>
  </si>
  <si>
    <t>Adj. sensor ใหม่ให้สูงขึ้น / Adj.แกน Z ของ PT tray ให้ต่ำ</t>
  </si>
  <si>
    <t>เอาแหวนรอง sensor ออก</t>
  </si>
  <si>
    <t>PT-Lifter alarm</t>
  </si>
  <si>
    <t>หน้าจอ ST. ดับ</t>
  </si>
  <si>
    <t>ตั้งระยะแกน y จาก conveyor ไป รืกำป</t>
  </si>
  <si>
    <t>PT-Full tray drop</t>
  </si>
  <si>
    <t>Gripper ด้านNG ไม่หยิบงาน</t>
  </si>
  <si>
    <t>Lift ดัน Tray เอียง</t>
  </si>
  <si>
    <t>Tech clraning mc</t>
  </si>
  <si>
    <t>- Test ดู 12 มุม 
- ค่าน้อยกว่าที่ตั้งไว้
- น ฤก่.</t>
  </si>
  <si>
    <t>แก้ไข Gripper หยิบงานข้าม / Adj. ระยะ Tray 3 จุด / ยกระยะ 2 + ระยะ sensor ขึ้น</t>
  </si>
  <si>
    <t>หัว sensor เบลอ</t>
  </si>
  <si>
    <t>Supply work float NG</t>
  </si>
  <si>
    <t>Test งาน</t>
  </si>
  <si>
    <t>Check date + train picture</t>
  </si>
  <si>
    <t>Load program st.9</t>
  </si>
  <si>
    <t>Train part OK / Adj. time sleep 2000 =&gt; 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</si>
</sst>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0.0%"/>
    <numFmt numFmtId="166" formatCode="[$-409]d\-mmm\-yy;@"/>
    <numFmt numFmtId="167" formatCode="0.0"/>
    <numFmt numFmtId="168" formatCode="_-* #,##0.00_-;\-* #,##0.00_-;_-* &quot;-&quot;_-;_-@_-"/>
    <numFmt numFmtId="169" formatCode="yyyy/m/d"/>
    <numFmt numFmtId="170" formatCode="_-* #,##0.0_-;\-* #,##0.0_-;_-* &quot;-&quot;_-;_-@_-"/>
    <numFmt numFmtId="171" formatCode="_-* #,##0_-;\-* #,##0_-;_-* &quot;-&quot;??_-;_-@_-"/>
    <numFmt numFmtId="172" formatCode="[$-1010409]d\ mmm\ yy;@"/>
  </numFmts>
  <fonts count="40">
    <font>
      <sz val="14"/>
      <color theme="1"/>
      <name val="Cordia New"/>
      <family val="2"/>
      <charset val="222"/>
    </font>
    <font>
      <sz val="14"/>
      <color theme="1"/>
      <name val="Cordia New"/>
      <family val="2"/>
      <charset val="222"/>
    </font>
    <font>
      <sz val="14"/>
      <color rgb="FFFF0000"/>
      <name val="Cordia New"/>
      <family val="2"/>
      <charset val="222"/>
    </font>
    <font>
      <b/>
      <sz val="14"/>
      <color theme="1"/>
      <name val="Cordia New"/>
      <family val="2"/>
      <charset val="222"/>
    </font>
    <font>
      <b/>
      <sz val="13.5"/>
      <color theme="1"/>
      <name val="Cordia New"/>
      <family val="2"/>
      <charset val="222"/>
    </font>
    <font>
      <b/>
      <sz val="14"/>
      <color theme="1"/>
      <name val="Cordia New"/>
      <family val="2"/>
    </font>
    <font>
      <sz val="14"/>
      <color theme="0"/>
      <name val="Cordia New"/>
      <family val="2"/>
      <charset val="222"/>
    </font>
    <font>
      <b/>
      <sz val="18"/>
      <color theme="1"/>
      <name val="Cordia New"/>
      <family val="2"/>
    </font>
    <font>
      <b/>
      <sz val="20"/>
      <color theme="1"/>
      <name val="Cordia New"/>
      <family val="2"/>
    </font>
    <font>
      <b/>
      <sz val="14"/>
      <color rgb="FF0000FF"/>
      <name val="Cordia New"/>
      <family val="2"/>
      <charset val="222"/>
    </font>
    <font>
      <b/>
      <sz val="14"/>
      <color rgb="FF0000FF"/>
      <name val="Cordia New"/>
      <family val="2"/>
    </font>
    <font>
      <b/>
      <sz val="14"/>
      <color theme="5" tint="-0.249977111117893"/>
      <name val="Cordia New"/>
      <family val="2"/>
      <charset val="222"/>
    </font>
    <font>
      <sz val="14"/>
      <color theme="5" tint="-0.249977111117893"/>
      <name val="Cordia New"/>
      <family val="2"/>
      <charset val="222"/>
    </font>
    <font>
      <b/>
      <sz val="36"/>
      <color theme="1"/>
      <name val="Cordia New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222"/>
      <scheme val="minor"/>
    </font>
    <font>
      <b/>
      <sz val="12"/>
      <name val="Calibri"/>
      <family val="2"/>
      <charset val="222"/>
      <scheme val="minor"/>
    </font>
    <font>
      <b/>
      <sz val="9"/>
      <name val="Meiryo"/>
      <family val="2"/>
    </font>
    <font>
      <b/>
      <sz val="11"/>
      <name val="游ゴシック"/>
    </font>
    <font>
      <sz val="11"/>
      <color theme="1"/>
      <name val="游ゴシック"/>
    </font>
    <font>
      <b/>
      <sz val="20"/>
      <color rgb="FFFF0000"/>
      <name val="Cordia New"/>
      <family val="2"/>
    </font>
    <font>
      <sz val="14"/>
      <name val="Cordia New"/>
      <family val="2"/>
      <charset val="222"/>
    </font>
    <font>
      <b/>
      <sz val="9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9"/>
      <color rgb="FF1F1F1F"/>
      <name val="Century Gothic"/>
      <family val="2"/>
    </font>
    <font>
      <sz val="9"/>
      <color rgb="FFFF0000"/>
      <name val="Century Gothic"/>
      <family val="2"/>
    </font>
    <font>
      <sz val="16"/>
      <color theme="1"/>
      <name val="Cordia New"/>
      <family val="2"/>
      <charset val="222"/>
    </font>
    <font>
      <sz val="16"/>
      <color rgb="FFFF0000"/>
      <name val="Cordia New"/>
      <family val="2"/>
      <charset val="222"/>
    </font>
    <font>
      <sz val="16"/>
      <color rgb="FF0000FF"/>
      <name val="Cordia New"/>
      <family val="2"/>
      <charset val="222"/>
    </font>
    <font>
      <sz val="16"/>
      <color rgb="FFFF0000"/>
      <name val="Cordia New"/>
      <family val="2"/>
    </font>
    <font>
      <sz val="12"/>
      <color rgb="FF0000FF"/>
      <name val="Arial"/>
      <family val="2"/>
    </font>
    <font>
      <sz val="16"/>
      <color theme="5" tint="-0.249977111117893"/>
      <name val="Cordia New"/>
      <family val="2"/>
      <charset val="222"/>
    </font>
    <font>
      <sz val="16"/>
      <color rgb="FF0000FF"/>
      <name val="Cordia New"/>
      <family val="2"/>
    </font>
    <font>
      <sz val="16"/>
      <color theme="1"/>
      <name val="Cordia New"/>
      <family val="2"/>
    </font>
    <font>
      <sz val="9"/>
      <color theme="1"/>
      <name val="Century Gothic"/>
    </font>
    <font>
      <sz val="14"/>
      <color rgb="FFFF0000"/>
      <name val="Cordia New"/>
    </font>
    <font>
      <sz val="11"/>
      <color rgb="FF0000FF"/>
      <name val="Arial"/>
    </font>
    <font>
      <sz val="14"/>
      <color rgb="FF0000FF"/>
      <name val="Cordia New"/>
    </font>
    <font>
      <sz val="14"/>
      <color theme="1"/>
      <name val="Cordia New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0C1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E7F1F9"/>
        <bgColor rgb="FFE7F1F9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0" tint="-0.14999847407452621"/>
        <bgColor rgb="FFE7F1F9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4" tint="0.79998168889431442"/>
        <bgColor theme="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rgb="FF000000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dotted">
        <color rgb="FF000000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tted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</cellStyleXfs>
  <cellXfs count="216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top" wrapText="1"/>
    </xf>
    <xf numFmtId="0" fontId="0" fillId="3" borderId="15" xfId="0" applyFill="1" applyBorder="1" applyAlignment="1">
      <alignment horizontal="center" vertical="top" wrapText="1"/>
    </xf>
    <xf numFmtId="0" fontId="0" fillId="4" borderId="15" xfId="0" applyFill="1" applyBorder="1" applyAlignment="1">
      <alignment horizontal="center" vertical="top" wrapText="1"/>
    </xf>
    <xf numFmtId="0" fontId="0" fillId="2" borderId="15" xfId="0" applyFill="1" applyBorder="1" applyAlignment="1">
      <alignment horizontal="center" vertical="top" wrapText="1"/>
    </xf>
    <xf numFmtId="0" fontId="0" fillId="5" borderId="15" xfId="0" applyFill="1" applyBorder="1" applyAlignment="1">
      <alignment horizontal="center" vertical="top" wrapText="1"/>
    </xf>
    <xf numFmtId="0" fontId="0" fillId="6" borderId="15" xfId="0" applyFill="1" applyBorder="1" applyAlignment="1">
      <alignment horizontal="center" vertical="top" wrapText="1"/>
    </xf>
    <xf numFmtId="0" fontId="0" fillId="2" borderId="16" xfId="0" applyFill="1" applyBorder="1" applyAlignment="1">
      <alignment horizontal="center" vertical="top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top" wrapText="1"/>
    </xf>
    <xf numFmtId="0" fontId="3" fillId="4" borderId="15" xfId="0" applyFont="1" applyFill="1" applyBorder="1" applyAlignment="1">
      <alignment horizontal="center" vertical="top" wrapText="1"/>
    </xf>
    <xf numFmtId="0" fontId="5" fillId="4" borderId="15" xfId="0" applyFont="1" applyFill="1" applyBorder="1" applyAlignment="1">
      <alignment horizontal="center" vertical="top" wrapText="1"/>
    </xf>
    <xf numFmtId="0" fontId="5" fillId="4" borderId="17" xfId="0" applyFont="1" applyFill="1" applyBorder="1" applyAlignment="1">
      <alignment horizontal="center" vertical="top" wrapText="1"/>
    </xf>
    <xf numFmtId="0" fontId="13" fillId="0" borderId="0" xfId="0" applyFont="1"/>
    <xf numFmtId="0" fontId="0" fillId="2" borderId="15" xfId="0" applyFill="1" applyBorder="1" applyAlignment="1">
      <alignment horizontal="center" wrapText="1"/>
    </xf>
    <xf numFmtId="168" fontId="16" fillId="10" borderId="12" xfId="2" applyNumberFormat="1" applyFont="1" applyFill="1" applyBorder="1" applyAlignment="1">
      <alignment horizontal="center" vertical="center"/>
    </xf>
    <xf numFmtId="0" fontId="17" fillId="10" borderId="13" xfId="2" applyFont="1" applyFill="1" applyBorder="1" applyAlignment="1">
      <alignment horizontal="center" vertical="center" wrapText="1"/>
    </xf>
    <xf numFmtId="0" fontId="17" fillId="11" borderId="21" xfId="2" applyFont="1" applyFill="1" applyBorder="1" applyAlignment="1">
      <alignment horizontal="center" vertical="center" wrapText="1"/>
    </xf>
    <xf numFmtId="0" fontId="17" fillId="10" borderId="21" xfId="2" applyFont="1" applyFill="1" applyBorder="1" applyAlignment="1">
      <alignment horizontal="center" vertical="center" wrapText="1"/>
    </xf>
    <xf numFmtId="0" fontId="18" fillId="11" borderId="22" xfId="2" applyFont="1" applyFill="1" applyBorder="1" applyAlignment="1">
      <alignment vertical="center" wrapText="1"/>
    </xf>
    <xf numFmtId="0" fontId="15" fillId="0" borderId="0" xfId="2"/>
    <xf numFmtId="0" fontId="19" fillId="13" borderId="23" xfId="2" applyFont="1" applyFill="1" applyBorder="1" applyAlignment="1">
      <alignment vertical="center"/>
    </xf>
    <xf numFmtId="170" fontId="19" fillId="12" borderId="24" xfId="2" applyNumberFormat="1" applyFont="1" applyFill="1" applyBorder="1" applyAlignment="1">
      <alignment vertical="center"/>
    </xf>
    <xf numFmtId="164" fontId="19" fillId="15" borderId="24" xfId="2" applyNumberFormat="1" applyFont="1" applyFill="1" applyBorder="1" applyAlignment="1">
      <alignment vertical="center"/>
    </xf>
    <xf numFmtId="164" fontId="19" fillId="16" borderId="24" xfId="2" applyNumberFormat="1" applyFont="1" applyFill="1" applyBorder="1" applyAlignment="1">
      <alignment vertical="center"/>
    </xf>
    <xf numFmtId="171" fontId="19" fillId="12" borderId="24" xfId="2" applyNumberFormat="1" applyFont="1" applyFill="1" applyBorder="1" applyAlignment="1">
      <alignment vertical="center"/>
    </xf>
    <xf numFmtId="165" fontId="19" fillId="13" borderId="24" xfId="2" applyNumberFormat="1" applyFont="1" applyFill="1" applyBorder="1" applyAlignment="1">
      <alignment vertical="center"/>
    </xf>
    <xf numFmtId="167" fontId="19" fillId="12" borderId="24" xfId="2" applyNumberFormat="1" applyFont="1" applyFill="1" applyBorder="1" applyAlignment="1">
      <alignment vertical="center"/>
    </xf>
    <xf numFmtId="1" fontId="19" fillId="12" borderId="24" xfId="2" applyNumberFormat="1" applyFont="1" applyFill="1" applyBorder="1" applyAlignment="1">
      <alignment vertical="center"/>
    </xf>
    <xf numFmtId="0" fontId="19" fillId="12" borderId="24" xfId="2" applyFont="1" applyFill="1" applyBorder="1" applyAlignment="1">
      <alignment vertical="center"/>
    </xf>
    <xf numFmtId="167" fontId="19" fillId="14" borderId="24" xfId="2" applyNumberFormat="1" applyFont="1" applyFill="1" applyBorder="1" applyAlignment="1">
      <alignment vertical="center"/>
    </xf>
    <xf numFmtId="1" fontId="19" fillId="13" borderId="24" xfId="2" applyNumberFormat="1" applyFont="1" applyFill="1" applyBorder="1" applyAlignment="1">
      <alignment vertical="center"/>
    </xf>
    <xf numFmtId="169" fontId="19" fillId="9" borderId="24" xfId="2" applyNumberFormat="1" applyFont="1" applyFill="1" applyBorder="1" applyAlignment="1">
      <alignment vertical="center"/>
    </xf>
    <xf numFmtId="0" fontId="19" fillId="0" borderId="0" xfId="2" applyFont="1" applyAlignment="1">
      <alignment vertical="center"/>
    </xf>
    <xf numFmtId="0" fontId="15" fillId="0" borderId="0" xfId="2" applyAlignment="1">
      <alignment vertical="center"/>
    </xf>
    <xf numFmtId="164" fontId="17" fillId="10" borderId="21" xfId="2" applyNumberFormat="1" applyFont="1" applyFill="1" applyBorder="1" applyAlignment="1">
      <alignment horizontal="center" vertical="center" wrapText="1"/>
    </xf>
    <xf numFmtId="164" fontId="19" fillId="0" borderId="0" xfId="2" applyNumberFormat="1" applyFont="1" applyAlignment="1">
      <alignment vertical="center"/>
    </xf>
    <xf numFmtId="164" fontId="15" fillId="0" borderId="0" xfId="2" applyNumberFormat="1" applyAlignment="1">
      <alignment vertical="center"/>
    </xf>
    <xf numFmtId="0" fontId="14" fillId="0" borderId="26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 vertical="top" wrapText="1"/>
    </xf>
    <xf numFmtId="166" fontId="22" fillId="0" borderId="0" xfId="0" applyNumberFormat="1" applyFont="1" applyAlignment="1">
      <alignment horizontal="center" vertical="top"/>
    </xf>
    <xf numFmtId="0" fontId="22" fillId="0" borderId="11" xfId="0" applyFont="1" applyBorder="1" applyAlignment="1">
      <alignment horizontal="center" vertical="top"/>
    </xf>
    <xf numFmtId="0" fontId="22" fillId="0" borderId="11" xfId="0" applyFont="1" applyBorder="1" applyAlignment="1">
      <alignment horizontal="center" vertical="top" wrapText="1"/>
    </xf>
    <xf numFmtId="0" fontId="24" fillId="0" borderId="0" xfId="0" applyFont="1" applyAlignment="1">
      <alignment vertical="top"/>
    </xf>
    <xf numFmtId="172" fontId="24" fillId="0" borderId="1" xfId="0" applyNumberFormat="1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right" vertical="top"/>
    </xf>
    <xf numFmtId="0" fontId="24" fillId="0" borderId="1" xfId="0" applyFont="1" applyBorder="1" applyAlignment="1">
      <alignment vertical="top"/>
    </xf>
    <xf numFmtId="20" fontId="24" fillId="0" borderId="1" xfId="0" applyNumberFormat="1" applyFont="1" applyBorder="1" applyAlignment="1">
      <alignment horizontal="center" vertical="top"/>
    </xf>
    <xf numFmtId="166" fontId="24" fillId="0" borderId="0" xfId="0" applyNumberFormat="1" applyFont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 wrapText="1"/>
    </xf>
    <xf numFmtId="21" fontId="24" fillId="0" borderId="1" xfId="0" applyNumberFormat="1" applyFont="1" applyBorder="1" applyAlignment="1">
      <alignment horizontal="center" vertical="top"/>
    </xf>
    <xf numFmtId="0" fontId="24" fillId="0" borderId="1" xfId="0" quotePrefix="1" applyFont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22" fillId="0" borderId="18" xfId="0" applyFont="1" applyBorder="1" applyAlignment="1">
      <alignment horizontal="center" vertical="top" wrapText="1"/>
    </xf>
    <xf numFmtId="0" fontId="23" fillId="0" borderId="11" xfId="0" applyFont="1" applyBorder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0" fontId="24" fillId="0" borderId="1" xfId="0" quotePrefix="1" applyFont="1" applyBorder="1" applyAlignment="1">
      <alignment vertical="top"/>
    </xf>
    <xf numFmtId="172" fontId="24" fillId="0" borderId="1" xfId="0" applyNumberFormat="1" applyFont="1" applyBorder="1" applyAlignment="1">
      <alignment horizontal="center" vertical="top"/>
    </xf>
    <xf numFmtId="0" fontId="25" fillId="0" borderId="1" xfId="0" applyFont="1" applyBorder="1" applyAlignment="1">
      <alignment horizontal="left" vertical="top"/>
    </xf>
    <xf numFmtId="20" fontId="24" fillId="0" borderId="1" xfId="0" applyNumberFormat="1" applyFont="1" applyBorder="1" applyAlignment="1">
      <alignment vertical="top"/>
    </xf>
    <xf numFmtId="46" fontId="24" fillId="0" borderId="1" xfId="0" applyNumberFormat="1" applyFont="1" applyBorder="1" applyAlignment="1">
      <alignment horizontal="center" vertical="top"/>
    </xf>
    <xf numFmtId="0" fontId="26" fillId="0" borderId="1" xfId="0" quotePrefix="1" applyFont="1" applyBorder="1" applyAlignment="1">
      <alignment vertical="top" wrapText="1"/>
    </xf>
    <xf numFmtId="166" fontId="27" fillId="7" borderId="4" xfId="0" applyNumberFormat="1" applyFont="1" applyFill="1" applyBorder="1" applyAlignment="1">
      <alignment horizontal="center" vertical="center"/>
    </xf>
    <xf numFmtId="166" fontId="27" fillId="7" borderId="5" xfId="0" applyNumberFormat="1" applyFont="1" applyFill="1" applyBorder="1" applyAlignment="1">
      <alignment horizontal="center" vertical="center"/>
    </xf>
    <xf numFmtId="166" fontId="27" fillId="7" borderId="29" xfId="0" applyNumberFormat="1" applyFont="1" applyFill="1" applyBorder="1" applyAlignment="1">
      <alignment horizontal="center" vertical="center"/>
    </xf>
    <xf numFmtId="2" fontId="27" fillId="7" borderId="8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164" fontId="27" fillId="7" borderId="1" xfId="0" applyNumberFormat="1" applyFont="1" applyFill="1" applyBorder="1" applyAlignment="1">
      <alignment horizontal="center" vertical="center"/>
    </xf>
    <xf numFmtId="164" fontId="28" fillId="7" borderId="1" xfId="0" applyNumberFormat="1" applyFont="1" applyFill="1" applyBorder="1" applyAlignment="1">
      <alignment horizontal="center" vertical="center"/>
    </xf>
    <xf numFmtId="164" fontId="27" fillId="7" borderId="3" xfId="0" applyNumberFormat="1" applyFont="1" applyFill="1" applyBorder="1" applyAlignment="1">
      <alignment horizontal="center" vertical="center"/>
    </xf>
    <xf numFmtId="164" fontId="27" fillId="7" borderId="2" xfId="0" applyNumberFormat="1" applyFont="1" applyFill="1" applyBorder="1" applyAlignment="1">
      <alignment horizontal="center" vertical="center"/>
    </xf>
    <xf numFmtId="166" fontId="27" fillId="7" borderId="8" xfId="0" applyNumberFormat="1" applyFont="1" applyFill="1" applyBorder="1" applyAlignment="1">
      <alignment horizontal="center" vertical="center"/>
    </xf>
    <xf numFmtId="164" fontId="29" fillId="7" borderId="1" xfId="0" applyNumberFormat="1" applyFont="1" applyFill="1" applyBorder="1" applyAlignment="1">
      <alignment horizontal="center" vertical="center"/>
    </xf>
    <xf numFmtId="1" fontId="29" fillId="7" borderId="1" xfId="0" applyNumberFormat="1" applyFont="1" applyFill="1" applyBorder="1" applyAlignment="1">
      <alignment horizontal="center" vertical="center"/>
    </xf>
    <xf numFmtId="165" fontId="27" fillId="8" borderId="8" xfId="1" applyNumberFormat="1" applyFont="1" applyFill="1" applyBorder="1" applyAlignment="1">
      <alignment horizontal="center" vertical="center"/>
    </xf>
    <xf numFmtId="10" fontId="27" fillId="8" borderId="8" xfId="1" applyNumberFormat="1" applyFont="1" applyFill="1" applyBorder="1" applyAlignment="1">
      <alignment horizontal="center" vertical="center"/>
    </xf>
    <xf numFmtId="166" fontId="27" fillId="7" borderId="2" xfId="0" applyNumberFormat="1" applyFont="1" applyFill="1" applyBorder="1" applyAlignment="1">
      <alignment horizontal="center" vertical="center"/>
    </xf>
    <xf numFmtId="0" fontId="27" fillId="7" borderId="8" xfId="0" applyFont="1" applyFill="1" applyBorder="1" applyAlignment="1">
      <alignment horizontal="center" vertical="center"/>
    </xf>
    <xf numFmtId="166" fontId="27" fillId="7" borderId="1" xfId="0" applyNumberFormat="1" applyFont="1" applyFill="1" applyBorder="1" applyAlignment="1">
      <alignment horizontal="center" vertical="center"/>
    </xf>
    <xf numFmtId="166" fontId="27" fillId="7" borderId="7" xfId="0" applyNumberFormat="1" applyFont="1" applyFill="1" applyBorder="1" applyAlignment="1">
      <alignment horizontal="center" vertical="center"/>
    </xf>
    <xf numFmtId="164" fontId="27" fillId="8" borderId="1" xfId="0" applyNumberFormat="1" applyFont="1" applyFill="1" applyBorder="1" applyAlignment="1">
      <alignment horizontal="center" vertical="center"/>
    </xf>
    <xf numFmtId="164" fontId="27" fillId="8" borderId="2" xfId="0" applyNumberFormat="1" applyFont="1" applyFill="1" applyBorder="1" applyAlignment="1">
      <alignment horizontal="center" vertical="center"/>
    </xf>
    <xf numFmtId="164" fontId="27" fillId="8" borderId="3" xfId="0" applyNumberFormat="1" applyFont="1" applyFill="1" applyBorder="1" applyAlignment="1">
      <alignment horizontal="center" vertical="center"/>
    </xf>
    <xf numFmtId="2" fontId="27" fillId="7" borderId="1" xfId="0" applyNumberFormat="1" applyFont="1" applyFill="1" applyBorder="1" applyAlignment="1">
      <alignment horizontal="center" vertical="center"/>
    </xf>
    <xf numFmtId="164" fontId="27" fillId="0" borderId="2" xfId="0" applyNumberFormat="1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164" fontId="27" fillId="0" borderId="31" xfId="0" applyNumberFormat="1" applyFont="1" applyBorder="1" applyAlignment="1">
      <alignment horizontal="center" vertical="center"/>
    </xf>
    <xf numFmtId="164" fontId="27" fillId="8" borderId="19" xfId="0" applyNumberFormat="1" applyFont="1" applyFill="1" applyBorder="1" applyAlignment="1">
      <alignment horizontal="center" vertical="center"/>
    </xf>
    <xf numFmtId="164" fontId="27" fillId="8" borderId="18" xfId="0" applyNumberFormat="1" applyFont="1" applyFill="1" applyBorder="1" applyAlignment="1">
      <alignment horizontal="center" vertical="center"/>
    </xf>
    <xf numFmtId="164" fontId="27" fillId="8" borderId="20" xfId="0" applyNumberFormat="1" applyFont="1" applyFill="1" applyBorder="1" applyAlignment="1">
      <alignment horizontal="center" vertical="center"/>
    </xf>
    <xf numFmtId="164" fontId="30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67" fontId="0" fillId="0" borderId="25" xfId="0" applyNumberFormat="1" applyBorder="1" applyAlignment="1">
      <alignment vertical="center"/>
    </xf>
    <xf numFmtId="1" fontId="0" fillId="0" borderId="8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0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166" fontId="27" fillId="0" borderId="2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2" fontId="27" fillId="0" borderId="8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4" fontId="27" fillId="0" borderId="3" xfId="0" applyNumberFormat="1" applyFont="1" applyBorder="1" applyAlignment="1">
      <alignment horizontal="center" vertical="center"/>
    </xf>
    <xf numFmtId="164" fontId="27" fillId="7" borderId="7" xfId="0" applyNumberFormat="1" applyFont="1" applyFill="1" applyBorder="1" applyAlignment="1">
      <alignment horizontal="center" vertical="center"/>
    </xf>
    <xf numFmtId="164" fontId="27" fillId="7" borderId="8" xfId="0" applyNumberFormat="1" applyFont="1" applyFill="1" applyBorder="1" applyAlignment="1">
      <alignment horizontal="center" vertical="center"/>
    </xf>
    <xf numFmtId="164" fontId="27" fillId="7" borderId="9" xfId="0" applyNumberFormat="1" applyFont="1" applyFill="1" applyBorder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/>
    </xf>
    <xf numFmtId="164" fontId="29" fillId="0" borderId="1" xfId="0" applyNumberFormat="1" applyFont="1" applyBorder="1" applyAlignment="1">
      <alignment horizontal="center" vertical="center"/>
    </xf>
    <xf numFmtId="165" fontId="27" fillId="0" borderId="8" xfId="1" applyNumberFormat="1" applyFont="1" applyFill="1" applyBorder="1" applyAlignment="1">
      <alignment horizontal="center" vertical="center"/>
    </xf>
    <xf numFmtId="10" fontId="27" fillId="0" borderId="8" xfId="1" applyNumberFormat="1" applyFont="1" applyFill="1" applyBorder="1" applyAlignment="1">
      <alignment horizontal="center" vertical="center"/>
    </xf>
    <xf numFmtId="164" fontId="31" fillId="7" borderId="4" xfId="0" applyNumberFormat="1" applyFont="1" applyFill="1" applyBorder="1" applyAlignment="1">
      <alignment horizontal="center" vertical="center"/>
    </xf>
    <xf numFmtId="164" fontId="31" fillId="7" borderId="2" xfId="0" applyNumberFormat="1" applyFont="1" applyFill="1" applyBorder="1" applyAlignment="1">
      <alignment horizontal="center" vertical="center"/>
    </xf>
    <xf numFmtId="164" fontId="31" fillId="0" borderId="2" xfId="0" applyNumberFormat="1" applyFont="1" applyBorder="1" applyAlignment="1">
      <alignment horizontal="center" vertical="center"/>
    </xf>
    <xf numFmtId="164" fontId="31" fillId="7" borderId="19" xfId="0" applyNumberFormat="1" applyFont="1" applyFill="1" applyBorder="1" applyAlignment="1">
      <alignment horizontal="center" vertical="center"/>
    </xf>
    <xf numFmtId="164" fontId="31" fillId="7" borderId="7" xfId="0" applyNumberFormat="1" applyFont="1" applyFill="1" applyBorder="1" applyAlignment="1">
      <alignment horizontal="center" vertical="center"/>
    </xf>
    <xf numFmtId="166" fontId="27" fillId="7" borderId="2" xfId="0" applyNumberFormat="1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/>
    </xf>
    <xf numFmtId="164" fontId="27" fillId="8" borderId="1" xfId="0" applyNumberFormat="1" applyFont="1" applyFill="1" applyBorder="1" applyAlignment="1">
      <alignment horizontal="center"/>
    </xf>
    <xf numFmtId="164" fontId="27" fillId="7" borderId="1" xfId="0" applyNumberFormat="1" applyFont="1" applyFill="1" applyBorder="1" applyAlignment="1">
      <alignment horizontal="center"/>
    </xf>
    <xf numFmtId="164" fontId="28" fillId="7" borderId="1" xfId="0" applyNumberFormat="1" applyFont="1" applyFill="1" applyBorder="1" applyAlignment="1">
      <alignment horizontal="center"/>
    </xf>
    <xf numFmtId="164" fontId="27" fillId="7" borderId="3" xfId="0" applyNumberFormat="1" applyFont="1" applyFill="1" applyBorder="1" applyAlignment="1">
      <alignment horizontal="center"/>
    </xf>
    <xf numFmtId="164" fontId="27" fillId="0" borderId="2" xfId="0" applyNumberFormat="1" applyFont="1" applyBorder="1" applyAlignment="1">
      <alignment horizontal="center"/>
    </xf>
    <xf numFmtId="164" fontId="27" fillId="0" borderId="1" xfId="0" applyNumberFormat="1" applyFont="1" applyBorder="1" applyAlignment="1">
      <alignment horizontal="center"/>
    </xf>
    <xf numFmtId="164" fontId="27" fillId="0" borderId="31" xfId="0" applyNumberFormat="1" applyFont="1" applyBorder="1" applyAlignment="1">
      <alignment horizontal="center"/>
    </xf>
    <xf numFmtId="164" fontId="30" fillId="7" borderId="1" xfId="0" applyNumberFormat="1" applyFont="1" applyFill="1" applyBorder="1" applyAlignment="1">
      <alignment horizontal="center"/>
    </xf>
    <xf numFmtId="164" fontId="29" fillId="7" borderId="1" xfId="0" applyNumberFormat="1" applyFont="1" applyFill="1" applyBorder="1" applyAlignment="1">
      <alignment horizontal="center"/>
    </xf>
    <xf numFmtId="1" fontId="29" fillId="7" borderId="1" xfId="0" applyNumberFormat="1" applyFont="1" applyFill="1" applyBorder="1" applyAlignment="1">
      <alignment horizontal="center"/>
    </xf>
    <xf numFmtId="165" fontId="27" fillId="8" borderId="8" xfId="1" applyNumberFormat="1" applyFont="1" applyFill="1" applyBorder="1" applyAlignment="1">
      <alignment horizontal="center"/>
    </xf>
    <xf numFmtId="10" fontId="27" fillId="8" borderId="8" xfId="1" applyNumberFormat="1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2" xfId="0" applyFont="1" applyBorder="1"/>
    <xf numFmtId="0" fontId="27" fillId="0" borderId="1" xfId="0" applyFont="1" applyBorder="1"/>
    <xf numFmtId="0" fontId="27" fillId="0" borderId="3" xfId="0" applyFont="1" applyBorder="1"/>
    <xf numFmtId="167" fontId="27" fillId="0" borderId="25" xfId="0" applyNumberFormat="1" applyFont="1" applyBorder="1"/>
    <xf numFmtId="1" fontId="27" fillId="0" borderId="8" xfId="0" applyNumberFormat="1" applyFont="1" applyBorder="1" applyAlignment="1">
      <alignment horizontal="center"/>
    </xf>
    <xf numFmtId="167" fontId="27" fillId="0" borderId="10" xfId="0" applyNumberFormat="1" applyFont="1" applyBorder="1" applyAlignment="1">
      <alignment horizontal="center"/>
    </xf>
    <xf numFmtId="1" fontId="27" fillId="0" borderId="10" xfId="0" applyNumberFormat="1" applyFont="1" applyBorder="1" applyAlignment="1">
      <alignment horizontal="center"/>
    </xf>
    <xf numFmtId="164" fontId="32" fillId="0" borderId="1" xfId="0" applyNumberFormat="1" applyFont="1" applyBorder="1" applyAlignment="1">
      <alignment horizontal="center"/>
    </xf>
    <xf numFmtId="0" fontId="27" fillId="0" borderId="0" xfId="0" applyFont="1"/>
    <xf numFmtId="164" fontId="27" fillId="17" borderId="1" xfId="0" applyNumberFormat="1" applyFont="1" applyFill="1" applyBorder="1" applyAlignment="1">
      <alignment horizontal="center"/>
    </xf>
    <xf numFmtId="164" fontId="27" fillId="18" borderId="1" xfId="0" applyNumberFormat="1" applyFont="1" applyFill="1" applyBorder="1" applyAlignment="1">
      <alignment horizontal="center"/>
    </xf>
    <xf numFmtId="167" fontId="27" fillId="18" borderId="1" xfId="0" applyNumberFormat="1" applyFont="1" applyFill="1" applyBorder="1" applyAlignment="1">
      <alignment horizontal="center"/>
    </xf>
    <xf numFmtId="167" fontId="27" fillId="18" borderId="3" xfId="0" applyNumberFormat="1" applyFont="1" applyFill="1" applyBorder="1" applyAlignment="1">
      <alignment horizontal="center"/>
    </xf>
    <xf numFmtId="0" fontId="33" fillId="18" borderId="1" xfId="0" applyFont="1" applyFill="1" applyBorder="1" applyAlignment="1">
      <alignment horizontal="center"/>
    </xf>
    <xf numFmtId="1" fontId="33" fillId="18" borderId="1" xfId="0" applyNumberFormat="1" applyFont="1" applyFill="1" applyBorder="1" applyAlignment="1">
      <alignment horizontal="center"/>
    </xf>
    <xf numFmtId="165" fontId="34" fillId="0" borderId="32" xfId="1" applyNumberFormat="1" applyFont="1" applyFill="1" applyBorder="1" applyAlignment="1">
      <alignment horizontal="center"/>
    </xf>
    <xf numFmtId="10" fontId="34" fillId="0" borderId="32" xfId="1" applyNumberFormat="1" applyFont="1" applyFill="1" applyBorder="1" applyAlignment="1">
      <alignment horizontal="center"/>
    </xf>
    <xf numFmtId="165" fontId="34" fillId="0" borderId="8" xfId="1" applyNumberFormat="1" applyFont="1" applyFill="1" applyBorder="1" applyAlignment="1">
      <alignment horizontal="center"/>
    </xf>
    <xf numFmtId="164" fontId="31" fillId="7" borderId="2" xfId="0" applyNumberFormat="1" applyFont="1" applyFill="1" applyBorder="1" applyAlignment="1">
      <alignment horizontal="center"/>
    </xf>
    <xf numFmtId="0" fontId="6" fillId="0" borderId="39" xfId="0" applyFont="1" applyBorder="1"/>
    <xf numFmtId="0" fontId="6" fillId="0" borderId="40" xfId="0" applyFont="1" applyBorder="1"/>
    <xf numFmtId="0" fontId="6" fillId="0" borderId="41" xfId="0" applyFont="1" applyBorder="1"/>
    <xf numFmtId="0" fontId="21" fillId="0" borderId="42" xfId="0" applyFont="1" applyBorder="1" applyAlignment="1">
      <alignment vertical="center" wrapText="1"/>
    </xf>
    <xf numFmtId="0" fontId="0" fillId="5" borderId="39" xfId="0" applyFill="1" applyBorder="1" applyAlignment="1">
      <alignment horizontal="center" vertical="top" wrapText="1"/>
    </xf>
    <xf numFmtId="0" fontId="0" fillId="5" borderId="40" xfId="0" applyFill="1" applyBorder="1" applyAlignment="1">
      <alignment horizontal="center" vertical="top" wrapText="1"/>
    </xf>
    <xf numFmtId="0" fontId="0" fillId="5" borderId="43" xfId="0" applyFill="1" applyBorder="1" applyAlignment="1">
      <alignment horizontal="center" vertical="top" wrapText="1"/>
    </xf>
    <xf numFmtId="0" fontId="11" fillId="0" borderId="33" xfId="0" applyFont="1" applyBorder="1" applyAlignment="1">
      <alignment horizontal="center" textRotation="90" wrapText="1"/>
    </xf>
    <xf numFmtId="0" fontId="11" fillId="0" borderId="37" xfId="0" applyFont="1" applyBorder="1" applyAlignment="1">
      <alignment horizontal="center" textRotation="90" wrapText="1"/>
    </xf>
    <xf numFmtId="0" fontId="11" fillId="0" borderId="6" xfId="0" applyFont="1" applyBorder="1" applyAlignment="1">
      <alignment horizontal="center" vertical="top" textRotation="90" wrapText="1"/>
    </xf>
    <xf numFmtId="164" fontId="12" fillId="0" borderId="3" xfId="0" applyNumberFormat="1" applyFont="1" applyBorder="1" applyAlignment="1">
      <alignment horizontal="center" vertical="center"/>
    </xf>
    <xf numFmtId="164" fontId="32" fillId="0" borderId="3" xfId="0" applyNumberFormat="1" applyFont="1" applyBorder="1" applyAlignment="1">
      <alignment horizontal="center"/>
    </xf>
    <xf numFmtId="1" fontId="27" fillId="0" borderId="15" xfId="0" applyNumberFormat="1" applyFont="1" applyBorder="1" applyAlignment="1">
      <alignment horizontal="center"/>
    </xf>
    <xf numFmtId="167" fontId="27" fillId="0" borderId="16" xfId="0" applyNumberFormat="1" applyFont="1" applyBorder="1" applyAlignment="1">
      <alignment horizontal="center"/>
    </xf>
    <xf numFmtId="1" fontId="27" fillId="0" borderId="16" xfId="0" applyNumberFormat="1" applyFont="1" applyBorder="1" applyAlignment="1">
      <alignment horizontal="center"/>
    </xf>
    <xf numFmtId="20" fontId="35" fillId="0" borderId="1" xfId="0" applyNumberFormat="1" applyFont="1" applyBorder="1" applyAlignment="1">
      <alignment horizontal="center" vertical="top"/>
    </xf>
    <xf numFmtId="164" fontId="27" fillId="19" borderId="1" xfId="0" applyNumberFormat="1" applyFont="1" applyFill="1" applyBorder="1" applyAlignment="1">
      <alignment horizontal="center"/>
    </xf>
    <xf numFmtId="164" fontId="36" fillId="7" borderId="1" xfId="0" applyNumberFormat="1" applyFont="1" applyFill="1" applyBorder="1" applyAlignment="1">
      <alignment horizontal="center"/>
    </xf>
    <xf numFmtId="164" fontId="37" fillId="7" borderId="2" xfId="0" applyNumberFormat="1" applyFont="1" applyFill="1" applyBorder="1" applyAlignment="1">
      <alignment horizontal="center"/>
    </xf>
    <xf numFmtId="0" fontId="38" fillId="18" borderId="1" xfId="0" applyFont="1" applyFill="1" applyBorder="1" applyAlignment="1">
      <alignment horizontal="center"/>
    </xf>
    <xf numFmtId="1" fontId="38" fillId="18" borderId="1" xfId="0" applyNumberFormat="1" applyFont="1" applyFill="1" applyBorder="1" applyAlignment="1">
      <alignment horizontal="center"/>
    </xf>
    <xf numFmtId="165" fontId="39" fillId="0" borderId="8" xfId="1" applyNumberFormat="1" applyFont="1" applyFill="1" applyBorder="1" applyAlignment="1">
      <alignment horizontal="center"/>
    </xf>
    <xf numFmtId="10" fontId="39" fillId="0" borderId="8" xfId="1" applyNumberFormat="1" applyFont="1" applyFill="1" applyBorder="1" applyAlignment="1">
      <alignment horizontal="center"/>
    </xf>
    <xf numFmtId="0" fontId="27" fillId="0" borderId="14" xfId="0" applyFont="1" applyBorder="1"/>
    <xf numFmtId="0" fontId="27" fillId="0" borderId="15" xfId="0" applyFont="1" applyBorder="1"/>
    <xf numFmtId="0" fontId="27" fillId="0" borderId="17" xfId="0" applyFont="1" applyBorder="1"/>
    <xf numFmtId="167" fontId="27" fillId="0" borderId="44" xfId="0" applyNumberFormat="1" applyFont="1" applyBorder="1"/>
    <xf numFmtId="164" fontId="32" fillId="0" borderId="15" xfId="0" applyNumberFormat="1" applyFont="1" applyBorder="1" applyAlignment="1">
      <alignment horizontal="center"/>
    </xf>
    <xf numFmtId="1" fontId="27" fillId="0" borderId="1" xfId="0" applyNumberFormat="1" applyFont="1" applyBorder="1" applyAlignment="1">
      <alignment horizontal="center"/>
    </xf>
    <xf numFmtId="167" fontId="27" fillId="0" borderId="31" xfId="0" applyNumberFormat="1" applyFont="1" applyBorder="1" applyAlignment="1">
      <alignment horizontal="center"/>
    </xf>
    <xf numFmtId="1" fontId="27" fillId="0" borderId="31" xfId="0" applyNumberFormat="1" applyFont="1" applyBorder="1" applyAlignment="1">
      <alignment horizontal="center"/>
    </xf>
    <xf numFmtId="164" fontId="32" fillId="0" borderId="17" xfId="0" applyNumberFormat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8" fillId="0" borderId="36" xfId="0" applyFont="1" applyBorder="1" applyAlignment="1">
      <alignment horizontal="center" wrapText="1"/>
    </xf>
    <xf numFmtId="0" fontId="8" fillId="0" borderId="29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20" fillId="0" borderId="33" xfId="0" applyFont="1" applyBorder="1" applyAlignment="1">
      <alignment horizontal="center" wrapText="1"/>
    </xf>
    <xf numFmtId="0" fontId="20" fillId="0" borderId="34" xfId="0" applyFont="1" applyBorder="1" applyAlignment="1">
      <alignment horizontal="center" wrapText="1"/>
    </xf>
    <xf numFmtId="0" fontId="20" fillId="0" borderId="35" xfId="0" applyFont="1" applyBorder="1" applyAlignment="1">
      <alignment horizontal="center" wrapText="1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">
    <cellStyle name="Normal" xfId="0" builtinId="0"/>
    <cellStyle name="Normal 2" xfId="2" xr:uid="{00000000-0005-0000-0000-000001000000}"/>
    <cellStyle name="Percent" xfId="1" builtinId="5"/>
    <cellStyle name="Percent 2" xfId="3" xr:uid="{00000000-0005-0000-0000-000003000000}"/>
  </cellStyles>
  <dxfs count="77"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26" formatCode="h:mm:ss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25" formatCode="h:mm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25" formatCode="h:mm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72" formatCode="[$-1010409]d\ mmm\ yy;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Century Gothic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entury Gothic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rdia New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rdia New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rdia New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rdia New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ordia New"/>
        <scheme val="none"/>
      </font>
      <numFmt numFmtId="1" formatCode="0"/>
      <fill>
        <patternFill patternType="solid">
          <fgColor theme="0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FF"/>
        <name val="Cordia New"/>
        <scheme val="none"/>
      </font>
      <numFmt numFmtId="0" formatCode="General"/>
      <fill>
        <patternFill patternType="solid">
          <fgColor theme="0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ordia New"/>
        <scheme val="none"/>
      </font>
      <numFmt numFmtId="164" formatCode="_-* #,##0_-;\-* #,##0_-;_-* &quot;-&quot;_-;_-@_-"/>
      <fill>
        <patternFill>
          <f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64" formatCode="_-* #,##0_-;\-* #,##0_-;_-* &quot;-&quot;_-;_-@_-"/>
      <fill>
        <patternFill>
          <f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none">
          <fgColor theme="0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theme="0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theme="0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0.0"/>
      <fill>
        <patternFill patternType="solid">
          <fgColor theme="0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7" formatCode="0.0"/>
      <fill>
        <patternFill patternType="solid">
          <fgColor theme="0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ordia New"/>
        <scheme val="none"/>
      </font>
      <numFmt numFmtId="164" formatCode="_-* #,##0_-;\-* #,##0_-;_-* &quot;-&quot;_-;_-@_-"/>
      <fill>
        <patternFill>
          <f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4" formatCode="_-* #,##0_-;\-* #,##0_-;_-* &quot;-&quot;_-;_-@_-"/>
      <fill>
        <patternFill>
          <f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ill>
        <patternFill patternType="solid">
          <fgColor theme="0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ill>
        <patternFill patternType="solid">
          <fgColor theme="0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ill>
        <patternFill patternType="solid">
          <fgColor theme="0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ill>
        <patternFill>
          <f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ill>
        <patternFill>
          <f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ill>
        <patternFill>
          <f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ill>
        <patternFill>
          <f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numFmt numFmtId="166" formatCode="[$-409]d\-mmm\-yy;@"/>
      <fill>
        <patternFill>
          <f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rdia New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rdia New"/>
        <scheme val="none"/>
      </font>
      <fill>
        <patternFill patternType="solid">
          <fgColor indexed="64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  <color rgb="FFE0C1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m200\hm_rd\Users\hm40420\Desktop\Rev2%20&#27996;&#26494;&#35069;&#12514;&#12491;&#12479;&#12471;&#12473;&#12486;&#12512;%20&#31292;&#20685;&#20572;&#28382;&#20998;&#26512;%20ver%201.18-2(magnet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bfu0m\Ricoh%20Scan\Ricoh%20Scan\7.%20EFF%202023\2025\EFFICIENCY%20AUTO%20FDB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GRAPH"/>
      <sheetName val="Magnet"/>
      <sheetName val="FORM"/>
      <sheetName val="FORM (週報)"/>
      <sheetName val="DATA"/>
      <sheetName val="前回"/>
      <sheetName val="更新履歴"/>
      <sheetName val="保管"/>
    </sheetNames>
    <sheetDataSet>
      <sheetData sheetId="0" refreshError="1"/>
      <sheetData sheetId="1">
        <row r="129">
          <cell r="I129" t="str">
            <v xml:space="preserve">Signal Lamp error / Plan Stop </v>
          </cell>
          <cell r="J129" t="str">
            <v>Other</v>
          </cell>
          <cell r="K129" t="str">
            <v>Blink Red:Imbalance</v>
          </cell>
          <cell r="L129" t="str">
            <v>On Yellow:Wait Parts</v>
          </cell>
          <cell r="M129" t="str">
            <v>Blink Blue:Blink Yellow:Other Problem</v>
          </cell>
          <cell r="N129" t="str">
            <v>Blink Yellow:Blink Red:Set up</v>
          </cell>
          <cell r="O129" t="str">
            <v>On Red:Maintenace</v>
          </cell>
          <cell r="P129" t="str">
            <v>Blink Blue:P-Test</v>
          </cell>
          <cell r="Q129" t="str">
            <v>On Blue:Plan Stop</v>
          </cell>
          <cell r="R129" t="str">
            <v>On Green:Run</v>
          </cell>
          <cell r="S129" t="str">
            <v>No Signal</v>
          </cell>
          <cell r="T129" t="str">
            <v>Blink Blue:Blink Red:Parallel</v>
          </cell>
          <cell r="U129" t="str">
            <v>On Yellow:On Red:Crack / Chip</v>
          </cell>
          <cell r="V129" t="str">
            <v>On Blue:On Yellow:Wait data</v>
          </cell>
          <cell r="W129" t="str">
            <v>On Blue:On Red:Mass Length</v>
          </cell>
          <cell r="X129" t="str">
            <v>Blink Yellow:Concentric</v>
          </cell>
        </row>
        <row r="130">
          <cell r="AG130" t="str">
            <v>Signal Error</v>
          </cell>
          <cell r="AH130" t="str">
            <v>Other</v>
          </cell>
          <cell r="AI130" t="str">
            <v>Imbalance</v>
          </cell>
          <cell r="AJ130" t="str">
            <v>Wait Parts</v>
          </cell>
          <cell r="AK130" t="str">
            <v>Other Problem</v>
          </cell>
          <cell r="AL130" t="str">
            <v xml:space="preserve">     </v>
          </cell>
          <cell r="AM130" t="str">
            <v>Maintenace</v>
          </cell>
          <cell r="AN130" t="str">
            <v>P-Test</v>
          </cell>
          <cell r="AO130" t="str">
            <v>Plan Stop</v>
          </cell>
          <cell r="AP130" t="str">
            <v xml:space="preserve">     </v>
          </cell>
          <cell r="AQ130" t="str">
            <v>No Signal</v>
          </cell>
          <cell r="AR130" t="str">
            <v>Parallel</v>
          </cell>
          <cell r="AS130" t="str">
            <v>Crack / Chip</v>
          </cell>
          <cell r="AT130" t="str">
            <v>OD / ID</v>
          </cell>
          <cell r="AU130" t="str">
            <v>Mass Length</v>
          </cell>
          <cell r="AV130" t="str">
            <v>Concentric</v>
          </cell>
          <cell r="BP130" t="str">
            <v>ALL</v>
          </cell>
        </row>
        <row r="131">
          <cell r="BP131" t="str">
            <v>H20-3</v>
          </cell>
        </row>
        <row r="132">
          <cell r="BP132" t="str">
            <v>H20-4</v>
          </cell>
        </row>
        <row r="133">
          <cell r="BP133" t="str">
            <v>H20-5</v>
          </cell>
        </row>
        <row r="134">
          <cell r="BP134" t="str">
            <v>T20-1</v>
          </cell>
        </row>
        <row r="135">
          <cell r="BP135" t="str">
            <v>T20-2</v>
          </cell>
        </row>
        <row r="136">
          <cell r="BP136" t="str">
            <v>T20-3</v>
          </cell>
        </row>
        <row r="137">
          <cell r="BP137" t="str">
            <v/>
          </cell>
        </row>
        <row r="138">
          <cell r="BP138" t="str">
            <v/>
          </cell>
        </row>
        <row r="139">
          <cell r="BP139" t="str">
            <v/>
          </cell>
        </row>
        <row r="140">
          <cell r="BP140" t="str">
            <v/>
          </cell>
        </row>
        <row r="141">
          <cell r="BP141" t="str">
            <v/>
          </cell>
        </row>
        <row r="142">
          <cell r="BP142" t="str">
            <v/>
          </cell>
        </row>
        <row r="143">
          <cell r="BP143" t="str">
            <v/>
          </cell>
        </row>
        <row r="144">
          <cell r="BP144" t="str">
            <v/>
          </cell>
        </row>
        <row r="145">
          <cell r="BP145" t="str">
            <v/>
          </cell>
        </row>
        <row r="146">
          <cell r="BP146" t="str">
            <v/>
          </cell>
        </row>
        <row r="147">
          <cell r="BP147" t="str">
            <v/>
          </cell>
        </row>
        <row r="148">
          <cell r="BP148" t="str">
            <v/>
          </cell>
        </row>
        <row r="149">
          <cell r="BP149" t="str">
            <v/>
          </cell>
        </row>
        <row r="150">
          <cell r="BP150" t="str">
            <v/>
          </cell>
        </row>
        <row r="151">
          <cell r="BP151" t="str">
            <v/>
          </cell>
        </row>
        <row r="152">
          <cell r="BP152" t="str">
            <v/>
          </cell>
        </row>
        <row r="153">
          <cell r="BP153" t="str">
            <v/>
          </cell>
        </row>
        <row r="154">
          <cell r="BP154" t="str">
            <v/>
          </cell>
        </row>
        <row r="155">
          <cell r="BP155" t="str">
            <v/>
          </cell>
        </row>
        <row r="156">
          <cell r="BP156" t="str">
            <v/>
          </cell>
        </row>
        <row r="157">
          <cell r="BP157" t="str">
            <v/>
          </cell>
        </row>
        <row r="158">
          <cell r="BP158" t="str">
            <v/>
          </cell>
        </row>
        <row r="159">
          <cell r="BP159" t="str">
            <v/>
          </cell>
        </row>
        <row r="160">
          <cell r="BP160" t="str">
            <v/>
          </cell>
        </row>
        <row r="161">
          <cell r="BP161" t="str">
            <v/>
          </cell>
        </row>
        <row r="162">
          <cell r="BP162" t="str">
            <v/>
          </cell>
        </row>
        <row r="163">
          <cell r="BP163" t="str">
            <v/>
          </cell>
        </row>
        <row r="164">
          <cell r="BP164" t="str">
            <v/>
          </cell>
        </row>
        <row r="165">
          <cell r="BP165" t="str">
            <v/>
          </cell>
        </row>
        <row r="166">
          <cell r="BP166" t="str">
            <v/>
          </cell>
        </row>
        <row r="167">
          <cell r="BP167" t="str">
            <v/>
          </cell>
        </row>
        <row r="168">
          <cell r="BP168" t="str">
            <v/>
          </cell>
        </row>
        <row r="169">
          <cell r="BP169" t="str">
            <v/>
          </cell>
        </row>
        <row r="170">
          <cell r="BP170" t="str">
            <v/>
          </cell>
        </row>
        <row r="171">
          <cell r="BP171" t="str">
            <v/>
          </cell>
        </row>
        <row r="172">
          <cell r="BP172" t="str">
            <v/>
          </cell>
        </row>
        <row r="173">
          <cell r="BP173" t="str">
            <v/>
          </cell>
        </row>
        <row r="174">
          <cell r="BP174" t="str">
            <v/>
          </cell>
        </row>
        <row r="175">
          <cell r="BP175" t="str">
            <v/>
          </cell>
        </row>
        <row r="176">
          <cell r="BP176" t="str">
            <v/>
          </cell>
        </row>
        <row r="177">
          <cell r="BP177" t="str">
            <v/>
          </cell>
        </row>
        <row r="178">
          <cell r="BP178" t="str">
            <v/>
          </cell>
        </row>
        <row r="179">
          <cell r="BP179" t="str">
            <v/>
          </cell>
        </row>
        <row r="180">
          <cell r="BP180" t="str">
            <v/>
          </cell>
        </row>
        <row r="181">
          <cell r="BP181" t="str">
            <v/>
          </cell>
        </row>
        <row r="182">
          <cell r="BP182" t="str">
            <v/>
          </cell>
        </row>
        <row r="183">
          <cell r="BP183" t="str">
            <v/>
          </cell>
        </row>
        <row r="184">
          <cell r="BP184" t="str">
            <v/>
          </cell>
        </row>
        <row r="185">
          <cell r="BP185" t="str">
            <v/>
          </cell>
        </row>
        <row r="186">
          <cell r="BP186" t="str">
            <v/>
          </cell>
        </row>
        <row r="187">
          <cell r="BP187" t="str">
            <v/>
          </cell>
        </row>
        <row r="188">
          <cell r="BP188" t="str">
            <v/>
          </cell>
        </row>
        <row r="189">
          <cell r="BP189" t="str">
            <v/>
          </cell>
        </row>
        <row r="190">
          <cell r="BP190" t="str">
            <v/>
          </cell>
        </row>
        <row r="191">
          <cell r="BP191" t="str">
            <v/>
          </cell>
        </row>
        <row r="192">
          <cell r="BP192" t="str">
            <v/>
          </cell>
        </row>
        <row r="193">
          <cell r="BP193" t="str">
            <v/>
          </cell>
        </row>
        <row r="194">
          <cell r="BP194" t="str">
            <v/>
          </cell>
        </row>
        <row r="195">
          <cell r="BP195" t="str">
            <v/>
          </cell>
        </row>
        <row r="196">
          <cell r="BP196" t="str">
            <v/>
          </cell>
        </row>
        <row r="197">
          <cell r="BP197" t="str">
            <v/>
          </cell>
        </row>
        <row r="198">
          <cell r="BP198" t="str">
            <v/>
          </cell>
        </row>
        <row r="199">
          <cell r="BP199" t="str">
            <v/>
          </cell>
        </row>
        <row r="200">
          <cell r="BP200" t="str">
            <v/>
          </cell>
        </row>
        <row r="201">
          <cell r="BP201" t="str">
            <v/>
          </cell>
        </row>
        <row r="202">
          <cell r="BP202" t="str">
            <v/>
          </cell>
        </row>
        <row r="203">
          <cell r="BP203" t="str">
            <v/>
          </cell>
        </row>
        <row r="204">
          <cell r="BP204" t="str">
            <v/>
          </cell>
        </row>
        <row r="205">
          <cell r="BP205" t="str">
            <v/>
          </cell>
        </row>
        <row r="206">
          <cell r="BP206" t="str">
            <v/>
          </cell>
        </row>
        <row r="207">
          <cell r="BP207" t="str">
            <v/>
          </cell>
        </row>
        <row r="208">
          <cell r="BP208" t="str">
            <v/>
          </cell>
        </row>
        <row r="209">
          <cell r="BP209" t="str">
            <v/>
          </cell>
        </row>
        <row r="210">
          <cell r="BP210" t="str">
            <v/>
          </cell>
        </row>
        <row r="211">
          <cell r="BP211" t="str">
            <v/>
          </cell>
        </row>
        <row r="212">
          <cell r="BP212" t="str">
            <v/>
          </cell>
        </row>
        <row r="213">
          <cell r="BP213" t="str">
            <v/>
          </cell>
        </row>
        <row r="214">
          <cell r="BP214" t="str">
            <v/>
          </cell>
        </row>
        <row r="215">
          <cell r="BP215" t="str">
            <v/>
          </cell>
        </row>
        <row r="216">
          <cell r="BP216" t="str">
            <v/>
          </cell>
        </row>
        <row r="217">
          <cell r="BP217" t="str">
            <v/>
          </cell>
        </row>
        <row r="218">
          <cell r="BP218" t="str">
            <v/>
          </cell>
        </row>
        <row r="219">
          <cell r="BP219" t="str">
            <v/>
          </cell>
        </row>
        <row r="220">
          <cell r="BP220" t="str">
            <v/>
          </cell>
        </row>
        <row r="221">
          <cell r="BP221" t="str">
            <v/>
          </cell>
        </row>
        <row r="222">
          <cell r="BP222" t="str">
            <v/>
          </cell>
        </row>
        <row r="223">
          <cell r="BP223" t="str">
            <v/>
          </cell>
        </row>
        <row r="224">
          <cell r="BP224" t="str">
            <v/>
          </cell>
        </row>
        <row r="225">
          <cell r="BP225" t="str">
            <v/>
          </cell>
        </row>
        <row r="226">
          <cell r="BP226" t="str">
            <v/>
          </cell>
        </row>
        <row r="227">
          <cell r="BP227" t="str">
            <v/>
          </cell>
        </row>
        <row r="228">
          <cell r="BP228" t="str">
            <v/>
          </cell>
        </row>
        <row r="229">
          <cell r="BP229" t="str">
            <v/>
          </cell>
        </row>
        <row r="230">
          <cell r="BP230" t="str">
            <v/>
          </cell>
        </row>
      </sheetData>
      <sheetData sheetId="2">
        <row r="16">
          <cell r="F16" t="str">
            <v>H20-3</v>
          </cell>
        </row>
        <row r="24">
          <cell r="T24" t="str">
            <v>稼働日</v>
          </cell>
        </row>
        <row r="25">
          <cell r="T25" t="str">
            <v>非稼働日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5"/>
      <sheetName val="DOWNTIME"/>
      <sheetName val="AFU-002"/>
      <sheetName val="AFU-003"/>
      <sheetName val="AFU-004"/>
    </sheetNames>
    <sheetDataSet>
      <sheetData sheetId="0" refreshError="1"/>
      <sheetData sheetId="1" refreshError="1">
        <row r="2">
          <cell r="F2">
            <v>2.777777777777779E-2</v>
          </cell>
        </row>
        <row r="3">
          <cell r="F3">
            <v>4.8611111111111105E-2</v>
          </cell>
        </row>
        <row r="4">
          <cell r="F4">
            <v>2.083333333333337E-2</v>
          </cell>
        </row>
        <row r="5">
          <cell r="F5">
            <v>2.777777777777779E-2</v>
          </cell>
        </row>
        <row r="6">
          <cell r="F6">
            <v>0.11111111111111105</v>
          </cell>
        </row>
        <row r="7">
          <cell r="F7">
            <v>3.8194444444444531E-2</v>
          </cell>
        </row>
        <row r="8">
          <cell r="F8">
            <v>0.11111111111111105</v>
          </cell>
        </row>
        <row r="9">
          <cell r="F9">
            <v>7.2916666666666741E-2</v>
          </cell>
        </row>
        <row r="10">
          <cell r="F10">
            <v>0.11111111111111105</v>
          </cell>
        </row>
        <row r="32">
          <cell r="F32">
            <v>3.125E-2</v>
          </cell>
        </row>
        <row r="33">
          <cell r="F33">
            <v>9.722222222222221E-2</v>
          </cell>
        </row>
        <row r="34">
          <cell r="F34">
            <v>0.15972222222222221</v>
          </cell>
        </row>
        <row r="37">
          <cell r="F37">
            <v>7.6388888888888951E-2</v>
          </cell>
        </row>
        <row r="38">
          <cell r="F38">
            <v>0.125</v>
          </cell>
        </row>
        <row r="48">
          <cell r="F48">
            <v>5.9027777777777901E-2</v>
          </cell>
        </row>
        <row r="78">
          <cell r="F78">
            <v>3.6111111111110983E-2</v>
          </cell>
        </row>
        <row r="103">
          <cell r="F103">
            <v>4.1666666666666685E-2</v>
          </cell>
        </row>
        <row r="124">
          <cell r="F124">
            <v>3.472222222222221E-2</v>
          </cell>
        </row>
        <row r="125">
          <cell r="F125">
            <v>2.083333333333337E-2</v>
          </cell>
        </row>
        <row r="165">
          <cell r="F165">
            <v>5.5555555555555469E-2</v>
          </cell>
        </row>
        <row r="166">
          <cell r="F166">
            <v>9.0277777777777901E-2</v>
          </cell>
        </row>
        <row r="205">
          <cell r="F205">
            <v>0.12500000000000003</v>
          </cell>
        </row>
        <row r="206">
          <cell r="F206">
            <v>9.0277777777777735E-2</v>
          </cell>
        </row>
        <row r="545">
          <cell r="F545">
            <v>0</v>
          </cell>
        </row>
        <row r="551">
          <cell r="F551">
            <v>0</v>
          </cell>
        </row>
        <row r="594">
          <cell r="F594">
            <v>0</v>
          </cell>
        </row>
        <row r="595">
          <cell r="F595">
            <v>0</v>
          </cell>
        </row>
        <row r="597">
          <cell r="F597">
            <v>0</v>
          </cell>
        </row>
        <row r="598">
          <cell r="F598">
            <v>0</v>
          </cell>
        </row>
        <row r="602">
          <cell r="F602">
            <v>0</v>
          </cell>
        </row>
        <row r="616">
          <cell r="F616">
            <v>0</v>
          </cell>
        </row>
        <row r="619">
          <cell r="F619">
            <v>0</v>
          </cell>
        </row>
        <row r="631">
          <cell r="F631">
            <v>0</v>
          </cell>
        </row>
        <row r="632">
          <cell r="F632">
            <v>0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24" displayName="Table24" ref="B2:X146" totalsRowShown="0" headerRowDxfId="76" dataDxfId="74" headerRowBorderDxfId="75" tableBorderDxfId="73" dataCellStyle="Percent">
  <autoFilter ref="B2:X146" xr:uid="{00000000-0009-0000-0100-000003000000}">
    <filterColumn colId="0">
      <filters>
        <dateGroupItem year="2026" month="2" day="23" dateTimeGrouping="day"/>
        <dateGroupItem year="2026" month="2" day="24" dateTimeGrouping="day"/>
        <dateGroupItem year="2026" month="2" day="25" dateTimeGrouping="day"/>
        <dateGroupItem year="2026" month="2" day="26" dateTimeGrouping="day"/>
        <dateGroupItem year="2026" month="2" day="27" dateTimeGrouping="day"/>
      </filters>
    </filterColumn>
    <filterColumn colId="2">
      <filters>
        <filter val="AHV-02"/>
      </filters>
    </filterColumn>
  </autoFilter>
  <tableColumns count="23">
    <tableColumn id="1" xr3:uid="{00000000-0010-0000-0000-000001000000}" name="Date" dataDxfId="72"/>
    <tableColumn id="2" xr3:uid="{00000000-0010-0000-0000-000002000000}" name="Model" dataDxfId="71"/>
    <tableColumn id="3" xr3:uid="{00000000-0010-0000-0000-000003000000}" name="Machine No." dataDxfId="70"/>
    <tableColumn id="4" xr3:uid="{00000000-0010-0000-0000-000004000000}" name="Cycle time" dataDxfId="69"/>
    <tableColumn id="5" xr3:uid="{00000000-0010-0000-0000-000005000000}" name="Working _x000a_HOURS." dataDxfId="68"/>
    <tableColumn id="6" xr3:uid="{00000000-0010-0000-0000-000006000000}" name="A. เวลาทั้งหมด_x000a_ (Total Time)_x000a_minute " dataDxfId="67">
      <calculatedColumnFormula>F3*60</calculatedColumnFormula>
    </tableColumn>
    <tableColumn id="7" xr3:uid="{00000000-0010-0000-0000-000007000000}" name="B. เวลาที่ไม่ได้_x000a_วางแผนผลิต _x000a_(Schedule Loss)_x000a_*Break time" dataDxfId="66">
      <calculatedColumnFormula>COUNTA(N3:P3)*60</calculatedColumnFormula>
    </tableColumn>
    <tableColumn id="8" xr3:uid="{00000000-0010-0000-0000-000008000000}" name="C. เวลาที่ควร_x000a_ทำงาน _x000a_(Planned _x000a_Production _x000a_Time) _x000a_A - B" dataDxfId="65">
      <calculatedColumnFormula>+G3-H3</calculatedColumnFormula>
    </tableColumn>
    <tableColumn id="9" xr3:uid="{00000000-0010-0000-0000-000009000000}" name="D. เวลาหยุด_x000a_ตามแผน (Planned Downtime)" dataDxfId="64">
      <calculatedColumnFormula>SUM(AF3:AK3)</calculatedColumnFormula>
    </tableColumn>
    <tableColumn id="10" xr3:uid="{00000000-0010-0000-0000-00000A000000}" name="E. เวลาหยุด_x000a_นอกแผน_x000a_ (Unplanned_x000a_ Downtime)" dataDxfId="63">
      <calculatedColumnFormula>SUM(AL3:AX3)</calculatedColumnFormula>
    </tableColumn>
    <tableColumn id="11" xr3:uid="{00000000-0010-0000-0000-00000B000000}" name="F. รวมเวลาหยุด_x000a_ทั้งหมด_x000a_ (Total Stop Time)_x000a__x000a_D + E" dataDxfId="62">
      <calculatedColumnFormula>+K3+J3</calculatedColumnFormula>
    </tableColumn>
    <tableColumn id="12" xr3:uid="{00000000-0010-0000-0000-00000C000000}" name="G. เวลาที่_x000a_เครื่องจักร_x000a_ทำงานจริง _x000a_(Operating_x000a_ Time / Run Time)_x000a_C - F" dataDxfId="61">
      <calculatedColumnFormula>+I3-L3</calculatedColumnFormula>
    </tableColumn>
    <tableColumn id="13" xr3:uid="{00000000-0010-0000-0000-00000D000000}" name="M" dataDxfId="60"/>
    <tableColumn id="14" xr3:uid="{00000000-0010-0000-0000-00000E000000}" name="Column1" dataDxfId="59"/>
    <tableColumn id="15" xr3:uid="{00000000-0010-0000-0000-00000F000000}" name="N" dataDxfId="58"/>
    <tableColumn id="16" xr3:uid="{00000000-0010-0000-0000-000010000000}" name="H. จำนวนชิ้น_x000a_งานทั้งหมด_x000a_ที่ผลิตได้ _x000a_(Total Count)" dataDxfId="57">
      <calculatedColumnFormula>SUM(N3:P3)</calculatedColumnFormula>
    </tableColumn>
    <tableColumn id="17" xr3:uid="{00000000-0010-0000-0000-000011000000}" name="I. จำนวนชิ้น_x000a_งานเสีย_x000a_ (Defect Count)" dataDxfId="56">
      <calculatedColumnFormula>SUM(Z3:AD3)</calculatedColumnFormula>
    </tableColumn>
    <tableColumn id="18" xr3:uid="{00000000-0010-0000-0000-000012000000}" name="J. จำนวนชิ้น_x000a_งานดี _x000a_(Good Count)_x000a__x000a__x000a_H - I" dataDxfId="55">
      <calculatedColumnFormula>+Q3-R3</calculatedColumnFormula>
    </tableColumn>
    <tableColumn id="19" xr3:uid="{00000000-0010-0000-0000-000013000000}" name="K. จำนวนชิ้นงาน_x000a_ที่ควรผลิต_x000a_ได้ตาม_x000a_มาตรฐาน _x000a_G / cycletime" dataDxfId="54">
      <calculatedColumnFormula>IFERROR((M3*60)/E3,"-")</calculatedColumnFormula>
    </tableColumn>
    <tableColumn id="20" xr3:uid="{00000000-0010-0000-0000-000014000000}" name="Availability (A%)_x000a__x000a__x000a__x000a_(G / C)" dataDxfId="53" dataCellStyle="Percent">
      <calculatedColumnFormula>IFERROR(M3/I3," ")</calculatedColumnFormula>
    </tableColumn>
    <tableColumn id="21" xr3:uid="{00000000-0010-0000-0000-000015000000}" name="Performance_x000a_ (P%)_x000a__x000a__x000a__x000a_(H / K)" dataDxfId="52" dataCellStyle="Percent">
      <calculatedColumnFormula>IFERROR(Q3/T3," ")</calculatedColumnFormula>
    </tableColumn>
    <tableColumn id="22" xr3:uid="{00000000-0010-0000-0000-000016000000}" name="Quality_x000a_ (Q%)_x000a__x000a__x000a__x000a_(J / H) " dataDxfId="51" dataCellStyle="Percent">
      <calculatedColumnFormula>IFERROR(S3/Q3," ")</calculatedColumnFormula>
    </tableColumn>
    <tableColumn id="23" xr3:uid="{00000000-0010-0000-0000-000017000000}" name="OEE_x000a__x000a__x000a__x000a__x000a_A% * P% * Q%" dataDxfId="50" dataCellStyle="Percent">
      <calculatedColumnFormula>IFERROR(U3*V3*W3," ")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L631" totalsRowShown="0" headerRowDxfId="49" dataDxfId="48" tableBorderDxfId="47">
  <autoFilter ref="A1:L631" xr:uid="{00000000-0009-0000-0100-000001000000}">
    <filterColumn colId="2">
      <filters>
        <filter val="Wait part"/>
      </filters>
    </filterColumn>
  </autoFilter>
  <tableColumns count="12">
    <tableColumn id="1" xr3:uid="{00000000-0010-0000-0100-000001000000}" name="Date" dataDxfId="46"/>
    <tableColumn id="2" xr3:uid="{00000000-0010-0000-0100-000002000000}" name="M/C" dataDxfId="45"/>
    <tableColumn id="3" xr3:uid="{00000000-0010-0000-0100-000003000000}" name="Case downtime" dataDxfId="44"/>
    <tableColumn id="4" xr3:uid="{00000000-0010-0000-0100-000004000000}" name="start" dataDxfId="43"/>
    <tableColumn id="5" xr3:uid="{00000000-0010-0000-0100-000005000000}" name="Finist" dataDxfId="42"/>
    <tableColumn id="6" xr3:uid="{00000000-0010-0000-0100-000006000000}" name="total Downtime hours." dataDxfId="41">
      <calculatedColumnFormula>+(E2-D2)+G2</calculatedColumnFormula>
    </tableColumn>
    <tableColumn id="7" xr3:uid="{00000000-0010-0000-0100-000007000000}" name="Column1" dataDxfId="40">
      <calculatedColumnFormula>INT(F2*1440)</calculatedColumnFormula>
    </tableColumn>
    <tableColumn id="8" xr3:uid="{00000000-0010-0000-0100-000008000000}" name="Short time  count  (30 SEC.)" dataDxfId="39"/>
    <tableColumn id="9" xr3:uid="{00000000-0010-0000-0100-000009000000}" name="M/C2" dataDxfId="38"/>
    <tableColumn id="10" xr3:uid="{00000000-0010-0000-0100-00000A000000}" name="Count Minute" dataDxfId="37">
      <calculatedColumnFormula>INT([2]DOWNTIME!$F2*1440)</calculatedColumnFormula>
    </tableColumn>
    <tableColumn id="17" xr3:uid="{00000000-0010-0000-0100-000011000000}" name="ปัญหาที่เกิด" dataDxfId="36"/>
    <tableColumn id="11" xr3:uid="{00000000-0010-0000-0100-00000B000000}" name="วิธีการแก้ไข" dataDxfId="3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147"/>
  <sheetViews>
    <sheetView showGridLines="0" tabSelected="1" zoomScale="90" zoomScaleNormal="90" workbookViewId="0">
      <pane xSplit="6" ySplit="2" topLeftCell="R46" activePane="bottomRight" state="frozen"/>
      <selection pane="topRight" activeCell="G1" sqref="G1"/>
      <selection pane="bottomLeft" activeCell="A3" sqref="A3"/>
      <selection pane="bottomRight" activeCell="D2" sqref="D2"/>
    </sheetView>
  </sheetViews>
  <sheetFormatPr defaultRowHeight="21.75"/>
  <cols>
    <col min="1" max="1" width="2.85546875" customWidth="1"/>
    <col min="2" max="2" width="14.140625" customWidth="1"/>
    <col min="4" max="4" width="13.42578125" customWidth="1"/>
    <col min="5" max="5" width="11.85546875" customWidth="1"/>
    <col min="6" max="6" width="10.28515625" style="5" customWidth="1"/>
    <col min="7" max="7" width="10.42578125" style="5" customWidth="1"/>
    <col min="8" max="8" width="11.5703125" style="5" customWidth="1"/>
    <col min="9" max="9" width="14.140625" style="5" customWidth="1"/>
    <col min="10" max="11" width="11.85546875" style="5" customWidth="1"/>
    <col min="12" max="12" width="14.140625" style="5" customWidth="1"/>
    <col min="13" max="13" width="16.140625" style="5" customWidth="1"/>
    <col min="14" max="16" width="9.7109375" style="5" customWidth="1"/>
    <col min="17" max="17" width="13.7109375" style="51" customWidth="1"/>
    <col min="18" max="18" width="11.85546875" style="5" customWidth="1"/>
    <col min="19" max="20" width="12.5703125" style="5" customWidth="1"/>
    <col min="21" max="23" width="12.140625" style="5" customWidth="1"/>
    <col min="24" max="24" width="13.85546875" style="5" customWidth="1"/>
    <col min="25" max="25" width="3.5703125" style="5" customWidth="1"/>
    <col min="31" max="31" width="13.28515625" customWidth="1"/>
    <col min="32" max="37" width="9.140625" style="5"/>
    <col min="38" max="47" width="6.140625" style="5" customWidth="1"/>
    <col min="48" max="48" width="9.7109375" style="5" customWidth="1"/>
    <col min="49" max="50" width="6.140625" style="5" customWidth="1"/>
  </cols>
  <sheetData>
    <row r="1" spans="2:50" ht="43.5" customHeight="1" thickBot="1">
      <c r="B1" s="25" t="s">
        <v>76</v>
      </c>
      <c r="F1" s="8"/>
      <c r="G1" s="6"/>
      <c r="I1" s="7"/>
      <c r="L1" s="7"/>
      <c r="M1" s="7"/>
      <c r="N1" s="205"/>
      <c r="O1" s="205"/>
      <c r="P1" s="205"/>
      <c r="Q1" s="50"/>
      <c r="S1" s="7"/>
      <c r="T1" s="7"/>
      <c r="X1" s="6"/>
      <c r="Z1" s="209" t="s">
        <v>72</v>
      </c>
      <c r="AA1" s="210"/>
      <c r="AB1" s="210"/>
      <c r="AC1" s="210"/>
      <c r="AD1" s="211"/>
      <c r="AE1" s="212" t="s">
        <v>73</v>
      </c>
      <c r="AF1" s="213"/>
      <c r="AG1" s="213"/>
      <c r="AH1" s="213"/>
      <c r="AI1" s="213"/>
      <c r="AJ1" s="213"/>
      <c r="AK1" s="213"/>
      <c r="AL1" s="206" t="s">
        <v>71</v>
      </c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8"/>
    </row>
    <row r="2" spans="2:50" ht="171" customHeight="1" thickBot="1">
      <c r="B2" s="9" t="s">
        <v>67</v>
      </c>
      <c r="C2" s="10" t="s">
        <v>68</v>
      </c>
      <c r="D2" s="10" t="s">
        <v>69</v>
      </c>
      <c r="E2" s="10" t="s">
        <v>70</v>
      </c>
      <c r="F2" s="11" t="s">
        <v>95</v>
      </c>
      <c r="G2" s="12" t="s">
        <v>75</v>
      </c>
      <c r="H2" s="13" t="s">
        <v>74</v>
      </c>
      <c r="I2" s="14" t="s">
        <v>86</v>
      </c>
      <c r="J2" s="15" t="s">
        <v>63</v>
      </c>
      <c r="K2" s="16" t="s">
        <v>64</v>
      </c>
      <c r="L2" s="14" t="s">
        <v>89</v>
      </c>
      <c r="M2" s="17" t="s">
        <v>87</v>
      </c>
      <c r="N2" s="18" t="s">
        <v>96</v>
      </c>
      <c r="O2" s="19" t="s">
        <v>82</v>
      </c>
      <c r="P2" s="20" t="s">
        <v>97</v>
      </c>
      <c r="Q2" s="52" t="s">
        <v>65</v>
      </c>
      <c r="R2" s="21" t="s">
        <v>66</v>
      </c>
      <c r="S2" s="26" t="s">
        <v>90</v>
      </c>
      <c r="T2" s="14" t="s">
        <v>88</v>
      </c>
      <c r="U2" s="22" t="s">
        <v>91</v>
      </c>
      <c r="V2" s="23" t="s">
        <v>92</v>
      </c>
      <c r="W2" s="23" t="s">
        <v>93</v>
      </c>
      <c r="X2" s="24" t="s">
        <v>94</v>
      </c>
      <c r="Z2" s="173"/>
      <c r="AA2" s="174"/>
      <c r="AB2" s="174"/>
      <c r="AC2" s="174"/>
      <c r="AD2" s="175"/>
      <c r="AE2" s="176" t="s">
        <v>131</v>
      </c>
      <c r="AF2" s="177" t="s">
        <v>125</v>
      </c>
      <c r="AG2" s="178" t="s">
        <v>126</v>
      </c>
      <c r="AH2" s="178" t="s">
        <v>127</v>
      </c>
      <c r="AI2" s="178" t="s">
        <v>128</v>
      </c>
      <c r="AJ2" s="179" t="s">
        <v>130</v>
      </c>
      <c r="AK2" s="179" t="s">
        <v>129</v>
      </c>
      <c r="AL2" s="180" t="s">
        <v>138</v>
      </c>
      <c r="AM2" s="181" t="s">
        <v>148</v>
      </c>
      <c r="AN2" s="181" t="s">
        <v>140</v>
      </c>
      <c r="AO2" s="181" t="s">
        <v>208</v>
      </c>
      <c r="AP2" s="181" t="s">
        <v>205</v>
      </c>
      <c r="AQ2" s="181" t="s">
        <v>164</v>
      </c>
      <c r="AR2" s="181" t="s">
        <v>143</v>
      </c>
      <c r="AS2" s="181" t="s">
        <v>215</v>
      </c>
      <c r="AT2" s="181" t="s">
        <v>166</v>
      </c>
      <c r="AU2" s="181" t="s">
        <v>158</v>
      </c>
      <c r="AV2" s="181" t="s">
        <v>137</v>
      </c>
      <c r="AW2" s="181"/>
      <c r="AX2" s="182"/>
    </row>
    <row r="3" spans="2:50" s="115" customFormat="1" ht="30" hidden="1" customHeight="1">
      <c r="B3" s="77">
        <v>46055</v>
      </c>
      <c r="C3" s="78" t="s">
        <v>136</v>
      </c>
      <c r="D3" s="79" t="s">
        <v>120</v>
      </c>
      <c r="E3" s="80">
        <v>4.3</v>
      </c>
      <c r="F3" s="81">
        <v>24</v>
      </c>
      <c r="G3" s="82">
        <f t="shared" ref="G3:G22" si="0">F3*60</f>
        <v>1440</v>
      </c>
      <c r="H3" s="82">
        <v>0</v>
      </c>
      <c r="I3" s="82">
        <f>+G3-H3</f>
        <v>1440</v>
      </c>
      <c r="J3" s="82">
        <f t="shared" ref="J3:J34" si="1">SUM(AF3:AK3)</f>
        <v>92.611979166666671</v>
      </c>
      <c r="K3" s="83">
        <f t="shared" ref="K3:K34" si="2">SUM(AL3:AX3)</f>
        <v>219</v>
      </c>
      <c r="L3" s="82">
        <f>+K3+J3</f>
        <v>311.61197916666669</v>
      </c>
      <c r="M3" s="84">
        <f>+I3-L3</f>
        <v>1128.3880208333333</v>
      </c>
      <c r="N3" s="85">
        <v>7160</v>
      </c>
      <c r="O3" s="86"/>
      <c r="P3" s="84">
        <v>7676</v>
      </c>
      <c r="Q3" s="134">
        <f>SUM(N3:P3)</f>
        <v>14836</v>
      </c>
      <c r="R3" s="83">
        <f>SUM(Z3:AD3)</f>
        <v>1</v>
      </c>
      <c r="S3" s="87">
        <f>+Q3-R3</f>
        <v>14835</v>
      </c>
      <c r="T3" s="88">
        <f>IFERROR((M3*60)/E3,"-")</f>
        <v>15744.949127906977</v>
      </c>
      <c r="U3" s="89">
        <f>IFERROR(M3/I3," ")</f>
        <v>0.78360279224537033</v>
      </c>
      <c r="V3" s="89">
        <f>IFERROR(Q3/T3," ")</f>
        <v>0.94227043094753993</v>
      </c>
      <c r="W3" s="89">
        <f>IFERROR(S3/Q3," ")</f>
        <v>0.99993259638716636</v>
      </c>
      <c r="X3" s="90">
        <f>IFERROR(U3*V3*W3," ")</f>
        <v>0.73831597222222212</v>
      </c>
      <c r="Y3" s="106"/>
      <c r="Z3" s="107">
        <v>1</v>
      </c>
      <c r="AA3" s="108"/>
      <c r="AB3" s="108"/>
      <c r="AC3" s="108"/>
      <c r="AD3" s="109"/>
      <c r="AE3" s="110">
        <f>Table24[[#This Row],[H. จำนวนชิ้น
งานทั้งหมด
ที่ผลิตได้ 
(Total Count)]]/512*1</f>
        <v>28.9765625</v>
      </c>
      <c r="AF3" s="111">
        <f>(Q3/512*68/60)</f>
        <v>32.84010416666667</v>
      </c>
      <c r="AG3" s="111">
        <f>(Q3/512*35/60)</f>
        <v>16.902994791666668</v>
      </c>
      <c r="AH3" s="111">
        <f>(Q3/512*37/60)</f>
        <v>17.868880208333334</v>
      </c>
      <c r="AI3" s="111">
        <v>10</v>
      </c>
      <c r="AJ3" s="112">
        <v>5</v>
      </c>
      <c r="AK3" s="113">
        <v>10</v>
      </c>
      <c r="AL3" s="114">
        <f>SUMIFS(Table1[Column1],Table1[Date],'OEE AHV'!$B3,Table1[M/C],'OEE AHV'!$D3,Table1[Case downtime],'OEE AHV'!AL$2)</f>
        <v>0</v>
      </c>
      <c r="AM3" s="114">
        <f>SUMIFS(Table1[Column1],Table1[Date],'OEE AHV'!$B3,Table1[M/C],'OEE AHV'!$D3,Table1[Case downtime],'OEE AHV'!AM$2)</f>
        <v>0</v>
      </c>
      <c r="AN3" s="114">
        <f>SUMIFS(Table1[Column1],Table1[Date],'OEE AHV'!$B3,Table1[M/C],'OEE AHV'!$D3,Table1[Case downtime],'OEE AHV'!AN$2)</f>
        <v>0</v>
      </c>
      <c r="AO3" s="114">
        <f>SUMIFS(Table1[Column1],Table1[Date],'OEE AHV'!$B3,Table1[M/C],'OEE AHV'!$D3,Table1[Case downtime],'OEE AHV'!AO$2)</f>
        <v>0</v>
      </c>
      <c r="AP3" s="114">
        <f>SUMIFS(Table1[Column1],Table1[Date],'OEE AHV'!$B3,Table1[M/C],'OEE AHV'!$D3,Table1[Case downtime],'OEE AHV'!AP$2)</f>
        <v>0</v>
      </c>
      <c r="AQ3" s="114">
        <f>SUMIFS(Table1[Column1],Table1[Date],'OEE AHV'!$B3,Table1[M/C],'OEE AHV'!$D3,Table1[Case downtime],'OEE AHV'!AQ$2)</f>
        <v>0</v>
      </c>
      <c r="AR3" s="114">
        <f>SUMIFS(Table1[Column1],Table1[Date],'OEE AHV'!$B3,Table1[M/C],'OEE AHV'!$D3,Table1[Case downtime],'OEE AHV'!AR$2)</f>
        <v>0</v>
      </c>
      <c r="AS3" s="114">
        <f>SUMIFS(Table1[Column1],Table1[Date],'OEE AHV'!$B3,Table1[M/C],'OEE AHV'!$D3,Table1[Case downtime],'OEE AHV'!AS$2)</f>
        <v>0</v>
      </c>
      <c r="AT3" s="114">
        <f>SUMIFS(Table1[Column1],Table1[Date],'OEE AHV'!$B3,Table1[M/C],'OEE AHV'!$D3,Table1[Case downtime],'OEE AHV'!AT$2)</f>
        <v>0</v>
      </c>
      <c r="AU3" s="114">
        <f>SUMIFS(Table1[Column1],Table1[Date],'OEE AHV'!$B3,Table1[M/C],'OEE AHV'!$D3,Table1[Case downtime],'OEE AHV'!AU$2)</f>
        <v>0</v>
      </c>
      <c r="AV3" s="114">
        <f>SUMIFS(Table1[Column1],Table1[Date],'OEE AHV'!$B3,Table1[M/C],'OEE AHV'!$D3,Table1[Case downtime],'OEE AHV'!AV$2)</f>
        <v>219</v>
      </c>
      <c r="AW3" s="114">
        <f>SUMIFS(Table1[Column1],Table1[Date],'OEE AHV'!$B3,Table1[M/C],'OEE AHV'!$D3,Table1[Case downtime],'OEE AHV'!AW$2)</f>
        <v>0</v>
      </c>
      <c r="AX3" s="183">
        <f>SUMIFS(Table1[Column1],Table1[Date],'OEE AHV'!$B3,Table1[M/C],'OEE AHV'!$D3,Table1[Case downtime],'OEE AHV'!AX$2)</f>
        <v>0</v>
      </c>
    </row>
    <row r="4" spans="2:50" s="115" customFormat="1" ht="30" hidden="1" customHeight="1">
      <c r="B4" s="91">
        <v>46056</v>
      </c>
      <c r="C4" s="92" t="s">
        <v>136</v>
      </c>
      <c r="D4" s="93" t="s">
        <v>120</v>
      </c>
      <c r="E4" s="80">
        <v>4.3</v>
      </c>
      <c r="F4" s="81">
        <v>24</v>
      </c>
      <c r="G4" s="82">
        <f t="shared" si="0"/>
        <v>1440</v>
      </c>
      <c r="H4" s="82">
        <v>0</v>
      </c>
      <c r="I4" s="82">
        <f t="shared" ref="I4:I32" si="3">+G4-H4</f>
        <v>1440</v>
      </c>
      <c r="J4" s="82">
        <f t="shared" si="1"/>
        <v>101.9453125</v>
      </c>
      <c r="K4" s="83">
        <f t="shared" si="2"/>
        <v>140</v>
      </c>
      <c r="L4" s="82">
        <f t="shared" ref="L4:L67" si="4">+K4+J4</f>
        <v>241.9453125</v>
      </c>
      <c r="M4" s="84">
        <f t="shared" ref="M4:M67" si="5">+I4-L4</f>
        <v>1198.0546875</v>
      </c>
      <c r="N4" s="85">
        <v>7672</v>
      </c>
      <c r="O4" s="82"/>
      <c r="P4" s="84">
        <v>9212</v>
      </c>
      <c r="Q4" s="135">
        <f t="shared" ref="Q4:Q67" si="6">SUM(N4:P4)</f>
        <v>16884</v>
      </c>
      <c r="R4" s="83">
        <f t="shared" ref="R4:R67" si="7">SUM(Z4:AD4)</f>
        <v>0</v>
      </c>
      <c r="S4" s="87">
        <f t="shared" ref="S4:S67" si="8">+Q4-R4</f>
        <v>16884</v>
      </c>
      <c r="T4" s="88">
        <f t="shared" ref="T4:T67" si="9">IFERROR((M4*60)/E4,"-")</f>
        <v>16717.04215116279</v>
      </c>
      <c r="U4" s="89">
        <f t="shared" ref="U4:U67" si="10">IFERROR(M4/I4," ")</f>
        <v>0.83198242187500004</v>
      </c>
      <c r="V4" s="89">
        <f t="shared" ref="V4:V67" si="11">IFERROR(Q4/T4," ")</f>
        <v>1.0099872840737916</v>
      </c>
      <c r="W4" s="89">
        <f t="shared" ref="W4:W67" si="12">IFERROR(S4/Q4," ")</f>
        <v>1</v>
      </c>
      <c r="X4" s="90">
        <f t="shared" ref="X4:X67" si="13">IFERROR(U4*V4*W4," ")</f>
        <v>0.84029166666666677</v>
      </c>
      <c r="Y4" s="106"/>
      <c r="Z4" s="116">
        <v>0</v>
      </c>
      <c r="AA4" s="117"/>
      <c r="AB4" s="117"/>
      <c r="AC4" s="117"/>
      <c r="AD4" s="118"/>
      <c r="AE4" s="110">
        <f>Table24[[#This Row],[H. จำนวนชิ้น
งานทั้งหมด
ที่ผลิตได้ 
(Total Count)]]/512*1</f>
        <v>32.9765625</v>
      </c>
      <c r="AF4" s="111">
        <f t="shared" ref="AF4:AF22" si="14">(Q4/512*68/60)</f>
        <v>37.373437500000001</v>
      </c>
      <c r="AG4" s="111">
        <f t="shared" ref="AG4:AG22" si="15">(Q4/512*35/60)</f>
        <v>19.236328125</v>
      </c>
      <c r="AH4" s="111">
        <f t="shared" ref="AH4:AH22" si="16">(Q4/512*37/60)</f>
        <v>20.335546874999999</v>
      </c>
      <c r="AI4" s="111">
        <v>10</v>
      </c>
      <c r="AJ4" s="112">
        <v>5</v>
      </c>
      <c r="AK4" s="113">
        <v>10</v>
      </c>
      <c r="AL4" s="114">
        <f>SUMIFS(Table1[Column1],Table1[Date],'OEE AHV'!$B4,Table1[M/C],'OEE AHV'!$D4,Table1[Case downtime],'OEE AHV'!AL$2)</f>
        <v>0</v>
      </c>
      <c r="AM4" s="114">
        <f>SUMIFS(Table1[Column1],Table1[Date],'OEE AHV'!$B4,Table1[M/C],'OEE AHV'!$D4,Table1[Case downtime],'OEE AHV'!AM$2)</f>
        <v>0</v>
      </c>
      <c r="AN4" s="114">
        <f>SUMIFS(Table1[Column1],Table1[Date],'OEE AHV'!$B4,Table1[M/C],'OEE AHV'!$D4,Table1[Case downtime],'OEE AHV'!AN$2)</f>
        <v>0</v>
      </c>
      <c r="AO4" s="114">
        <f>SUMIFS(Table1[Column1],Table1[Date],'OEE AHV'!$B4,Table1[M/C],'OEE AHV'!$D4,Table1[Case downtime],'OEE AHV'!AO$2)</f>
        <v>0</v>
      </c>
      <c r="AP4" s="114">
        <f>SUMIFS(Table1[Column1],Table1[Date],'OEE AHV'!$B4,Table1[M/C],'OEE AHV'!$D4,Table1[Case downtime],'OEE AHV'!AP$2)</f>
        <v>0</v>
      </c>
      <c r="AQ4" s="114">
        <f>SUMIFS(Table1[Column1],Table1[Date],'OEE AHV'!$B4,Table1[M/C],'OEE AHV'!$D4,Table1[Case downtime],'OEE AHV'!AQ$2)</f>
        <v>0</v>
      </c>
      <c r="AR4" s="114">
        <f>SUMIFS(Table1[Column1],Table1[Date],'OEE AHV'!$B4,Table1[M/C],'OEE AHV'!$D4,Table1[Case downtime],'OEE AHV'!AR$2)</f>
        <v>0</v>
      </c>
      <c r="AS4" s="114">
        <f>SUMIFS(Table1[Column1],Table1[Date],'OEE AHV'!$B4,Table1[M/C],'OEE AHV'!$D4,Table1[Case downtime],'OEE AHV'!AS$2)</f>
        <v>0</v>
      </c>
      <c r="AT4" s="114">
        <f>SUMIFS(Table1[Column1],Table1[Date],'OEE AHV'!$B4,Table1[M/C],'OEE AHV'!$D4,Table1[Case downtime],'OEE AHV'!AT$2)</f>
        <v>0</v>
      </c>
      <c r="AU4" s="114">
        <f>SUMIFS(Table1[Column1],Table1[Date],'OEE AHV'!$B4,Table1[M/C],'OEE AHV'!$D4,Table1[Case downtime],'OEE AHV'!AU$2)</f>
        <v>0</v>
      </c>
      <c r="AV4" s="114">
        <f>SUMIFS(Table1[Column1],Table1[Date],'OEE AHV'!$B4,Table1[M/C],'OEE AHV'!$D4,Table1[Case downtime],'OEE AHV'!AV$2)</f>
        <v>140</v>
      </c>
      <c r="AW4" s="114">
        <f>SUMIFS(Table1[Column1],Table1[Date],'OEE AHV'!$B4,Table1[M/C],'OEE AHV'!$D4,Table1[Case downtime],'OEE AHV'!AW$2)</f>
        <v>0</v>
      </c>
      <c r="AX4" s="183">
        <f>SUMIFS(Table1[Column1],Table1[Date],'OEE AHV'!$B4,Table1[M/C],'OEE AHV'!$D4,Table1[Case downtime],'OEE AHV'!AX$2)</f>
        <v>0</v>
      </c>
    </row>
    <row r="5" spans="2:50" s="115" customFormat="1" ht="30" hidden="1" customHeight="1">
      <c r="B5" s="94">
        <v>46057</v>
      </c>
      <c r="C5" s="92" t="s">
        <v>136</v>
      </c>
      <c r="D5" s="93" t="s">
        <v>120</v>
      </c>
      <c r="E5" s="80">
        <v>4.3</v>
      </c>
      <c r="F5" s="81">
        <v>24</v>
      </c>
      <c r="G5" s="82">
        <f t="shared" si="0"/>
        <v>1440</v>
      </c>
      <c r="H5" s="82">
        <v>0</v>
      </c>
      <c r="I5" s="82">
        <f t="shared" si="3"/>
        <v>1440</v>
      </c>
      <c r="J5" s="82">
        <f t="shared" si="1"/>
        <v>99.630208333333329</v>
      </c>
      <c r="K5" s="83">
        <f t="shared" si="2"/>
        <v>254</v>
      </c>
      <c r="L5" s="82">
        <f t="shared" si="4"/>
        <v>353.63020833333331</v>
      </c>
      <c r="M5" s="84">
        <f t="shared" si="5"/>
        <v>1086.3697916666667</v>
      </c>
      <c r="N5" s="85">
        <v>8188</v>
      </c>
      <c r="O5" s="82"/>
      <c r="P5" s="84">
        <v>8188</v>
      </c>
      <c r="Q5" s="135">
        <f t="shared" si="6"/>
        <v>16376</v>
      </c>
      <c r="R5" s="83">
        <f t="shared" si="7"/>
        <v>0</v>
      </c>
      <c r="S5" s="87">
        <f t="shared" si="8"/>
        <v>16376</v>
      </c>
      <c r="T5" s="88">
        <f t="shared" si="9"/>
        <v>15158.648255813956</v>
      </c>
      <c r="U5" s="89">
        <f t="shared" si="10"/>
        <v>0.75442346643518521</v>
      </c>
      <c r="V5" s="89">
        <f t="shared" si="11"/>
        <v>1.0803074076027288</v>
      </c>
      <c r="W5" s="89">
        <f t="shared" si="12"/>
        <v>1</v>
      </c>
      <c r="X5" s="90">
        <f t="shared" si="13"/>
        <v>0.81500925925925927</v>
      </c>
      <c r="Y5" s="106"/>
      <c r="Z5" s="116">
        <v>0</v>
      </c>
      <c r="AA5" s="117"/>
      <c r="AB5" s="117"/>
      <c r="AC5" s="117"/>
      <c r="AD5" s="118"/>
      <c r="AE5" s="110">
        <f>Table24[[#This Row],[H. จำนวนชิ้น
งานทั้งหมด
ที่ผลิตได้ 
(Total Count)]]/512*1</f>
        <v>31.984375</v>
      </c>
      <c r="AF5" s="111">
        <f t="shared" si="14"/>
        <v>36.248958333333334</v>
      </c>
      <c r="AG5" s="111">
        <f t="shared" si="15"/>
        <v>18.657552083333332</v>
      </c>
      <c r="AH5" s="111">
        <f t="shared" si="16"/>
        <v>19.723697916666666</v>
      </c>
      <c r="AI5" s="111">
        <v>10</v>
      </c>
      <c r="AJ5" s="112">
        <v>5</v>
      </c>
      <c r="AK5" s="113">
        <v>10</v>
      </c>
      <c r="AL5" s="114">
        <f>SUMIFS(Table1[Column1],Table1[Date],'OEE AHV'!$B5,Table1[M/C],'OEE AHV'!$D5,Table1[Case downtime],'OEE AHV'!AL$2)</f>
        <v>15</v>
      </c>
      <c r="AM5" s="114">
        <f>SUMIFS(Table1[Column1],Table1[Date],'OEE AHV'!$B5,Table1[M/C],'OEE AHV'!$D5,Table1[Case downtime],'OEE AHV'!AM$2)</f>
        <v>0</v>
      </c>
      <c r="AN5" s="114">
        <f>SUMIFS(Table1[Column1],Table1[Date],'OEE AHV'!$B5,Table1[M/C],'OEE AHV'!$D5,Table1[Case downtime],'OEE AHV'!AN$2)</f>
        <v>0</v>
      </c>
      <c r="AO5" s="114">
        <f>SUMIFS(Table1[Column1],Table1[Date],'OEE AHV'!$B5,Table1[M/C],'OEE AHV'!$D5,Table1[Case downtime],'OEE AHV'!AO$2)</f>
        <v>0</v>
      </c>
      <c r="AP5" s="114">
        <f>SUMIFS(Table1[Column1],Table1[Date],'OEE AHV'!$B5,Table1[M/C],'OEE AHV'!$D5,Table1[Case downtime],'OEE AHV'!AP$2)</f>
        <v>0</v>
      </c>
      <c r="AQ5" s="114">
        <f>SUMIFS(Table1[Column1],Table1[Date],'OEE AHV'!$B5,Table1[M/C],'OEE AHV'!$D5,Table1[Case downtime],'OEE AHV'!AQ$2)</f>
        <v>0</v>
      </c>
      <c r="AR5" s="114">
        <f>SUMIFS(Table1[Column1],Table1[Date],'OEE AHV'!$B5,Table1[M/C],'OEE AHV'!$D5,Table1[Case downtime],'OEE AHV'!AR$2)</f>
        <v>0</v>
      </c>
      <c r="AS5" s="114">
        <f>SUMIFS(Table1[Column1],Table1[Date],'OEE AHV'!$B5,Table1[M/C],'OEE AHV'!$D5,Table1[Case downtime],'OEE AHV'!AS$2)</f>
        <v>0</v>
      </c>
      <c r="AT5" s="114">
        <f>SUMIFS(Table1[Column1],Table1[Date],'OEE AHV'!$B5,Table1[M/C],'OEE AHV'!$D5,Table1[Case downtime],'OEE AHV'!AT$2)</f>
        <v>0</v>
      </c>
      <c r="AU5" s="114">
        <f>SUMIFS(Table1[Column1],Table1[Date],'OEE AHV'!$B5,Table1[M/C],'OEE AHV'!$D5,Table1[Case downtime],'OEE AHV'!AU$2)</f>
        <v>0</v>
      </c>
      <c r="AV5" s="114">
        <f>SUMIFS(Table1[Column1],Table1[Date],'OEE AHV'!$B5,Table1[M/C],'OEE AHV'!$D5,Table1[Case downtime],'OEE AHV'!AV$2)</f>
        <v>239</v>
      </c>
      <c r="AW5" s="114">
        <f>SUMIFS(Table1[Column1],Table1[Date],'OEE AHV'!$B5,Table1[M/C],'OEE AHV'!$D5,Table1[Case downtime],'OEE AHV'!AW$2)</f>
        <v>0</v>
      </c>
      <c r="AX5" s="183">
        <f>SUMIFS(Table1[Column1],Table1[Date],'OEE AHV'!$B5,Table1[M/C],'OEE AHV'!$D5,Table1[Case downtime],'OEE AHV'!AX$2)</f>
        <v>0</v>
      </c>
    </row>
    <row r="6" spans="2:50" s="115" customFormat="1" ht="30" hidden="1" customHeight="1">
      <c r="B6" s="91">
        <v>46058</v>
      </c>
      <c r="C6" s="92" t="s">
        <v>136</v>
      </c>
      <c r="D6" s="93" t="s">
        <v>120</v>
      </c>
      <c r="E6" s="80">
        <v>4.3</v>
      </c>
      <c r="F6" s="81">
        <v>24</v>
      </c>
      <c r="G6" s="82">
        <f t="shared" si="0"/>
        <v>1440</v>
      </c>
      <c r="H6" s="82">
        <v>0</v>
      </c>
      <c r="I6" s="82">
        <f t="shared" si="3"/>
        <v>1440</v>
      </c>
      <c r="J6" s="82">
        <f t="shared" si="1"/>
        <v>104.29231770833333</v>
      </c>
      <c r="K6" s="83">
        <f t="shared" si="2"/>
        <v>196</v>
      </c>
      <c r="L6" s="82">
        <f t="shared" si="4"/>
        <v>300.29231770833331</v>
      </c>
      <c r="M6" s="84">
        <f t="shared" si="5"/>
        <v>1139.7076822916667</v>
      </c>
      <c r="N6" s="85">
        <v>9212</v>
      </c>
      <c r="O6" s="82"/>
      <c r="P6" s="84">
        <v>8187</v>
      </c>
      <c r="Q6" s="135">
        <f t="shared" si="6"/>
        <v>17399</v>
      </c>
      <c r="R6" s="83">
        <f t="shared" si="7"/>
        <v>2</v>
      </c>
      <c r="S6" s="87">
        <f t="shared" si="8"/>
        <v>17397</v>
      </c>
      <c r="T6" s="88">
        <f t="shared" si="9"/>
        <v>15902.897892441861</v>
      </c>
      <c r="U6" s="89">
        <f t="shared" si="10"/>
        <v>0.79146366825810188</v>
      </c>
      <c r="V6" s="89">
        <f t="shared" si="11"/>
        <v>1.0940773258859438</v>
      </c>
      <c r="W6" s="89">
        <f t="shared" si="12"/>
        <v>0.99988505086499224</v>
      </c>
      <c r="X6" s="90">
        <f t="shared" si="13"/>
        <v>0.86582291666666678</v>
      </c>
      <c r="Y6" s="106"/>
      <c r="Z6" s="116">
        <v>2</v>
      </c>
      <c r="AA6" s="117"/>
      <c r="AB6" s="117"/>
      <c r="AC6" s="117"/>
      <c r="AD6" s="118"/>
      <c r="AE6" s="110">
        <f>Table24[[#This Row],[H. จำนวนชิ้น
งานทั้งหมด
ที่ผลิตได้ 
(Total Count)]]/512*1</f>
        <v>33.982421875</v>
      </c>
      <c r="AF6" s="111">
        <f t="shared" si="14"/>
        <v>38.51341145833333</v>
      </c>
      <c r="AG6" s="111">
        <f t="shared" si="15"/>
        <v>19.823079427083332</v>
      </c>
      <c r="AH6" s="111">
        <f t="shared" si="16"/>
        <v>20.955826822916666</v>
      </c>
      <c r="AI6" s="111">
        <v>10</v>
      </c>
      <c r="AJ6" s="112">
        <v>5</v>
      </c>
      <c r="AK6" s="113">
        <v>10</v>
      </c>
      <c r="AL6" s="114">
        <f>SUMIFS(Table1[Column1],Table1[Date],'OEE AHV'!$B6,Table1[M/C],'OEE AHV'!$D6,Table1[Case downtime],'OEE AHV'!AL$2)</f>
        <v>25</v>
      </c>
      <c r="AM6" s="114">
        <f>SUMIFS(Table1[Column1],Table1[Date],'OEE AHV'!$B6,Table1[M/C],'OEE AHV'!$D6,Table1[Case downtime],'OEE AHV'!AM$2)</f>
        <v>0</v>
      </c>
      <c r="AN6" s="114">
        <f>SUMIFS(Table1[Column1],Table1[Date],'OEE AHV'!$B6,Table1[M/C],'OEE AHV'!$D6,Table1[Case downtime],'OEE AHV'!AN$2)</f>
        <v>0</v>
      </c>
      <c r="AO6" s="114">
        <f>SUMIFS(Table1[Column1],Table1[Date],'OEE AHV'!$B6,Table1[M/C],'OEE AHV'!$D6,Table1[Case downtime],'OEE AHV'!AO$2)</f>
        <v>0</v>
      </c>
      <c r="AP6" s="114">
        <f>SUMIFS(Table1[Column1],Table1[Date],'OEE AHV'!$B6,Table1[M/C],'OEE AHV'!$D6,Table1[Case downtime],'OEE AHV'!AP$2)</f>
        <v>0</v>
      </c>
      <c r="AQ6" s="114">
        <f>SUMIFS(Table1[Column1],Table1[Date],'OEE AHV'!$B6,Table1[M/C],'OEE AHV'!$D6,Table1[Case downtime],'OEE AHV'!AQ$2)</f>
        <v>0</v>
      </c>
      <c r="AR6" s="114">
        <f>SUMIFS(Table1[Column1],Table1[Date],'OEE AHV'!$B6,Table1[M/C],'OEE AHV'!$D6,Table1[Case downtime],'OEE AHV'!AR$2)</f>
        <v>0</v>
      </c>
      <c r="AS6" s="114">
        <f>SUMIFS(Table1[Column1],Table1[Date],'OEE AHV'!$B6,Table1[M/C],'OEE AHV'!$D6,Table1[Case downtime],'OEE AHV'!AS$2)</f>
        <v>0</v>
      </c>
      <c r="AT6" s="114">
        <f>SUMIFS(Table1[Column1],Table1[Date],'OEE AHV'!$B6,Table1[M/C],'OEE AHV'!$D6,Table1[Case downtime],'OEE AHV'!AT$2)</f>
        <v>0</v>
      </c>
      <c r="AU6" s="114">
        <f>SUMIFS(Table1[Column1],Table1[Date],'OEE AHV'!$B6,Table1[M/C],'OEE AHV'!$D6,Table1[Case downtime],'OEE AHV'!AU$2)</f>
        <v>0</v>
      </c>
      <c r="AV6" s="114">
        <f>SUMIFS(Table1[Column1],Table1[Date],'OEE AHV'!$B6,Table1[M/C],'OEE AHV'!$D6,Table1[Case downtime],'OEE AHV'!AV$2)</f>
        <v>171</v>
      </c>
      <c r="AW6" s="114">
        <f>SUMIFS(Table1[Column1],Table1[Date],'OEE AHV'!$B6,Table1[M/C],'OEE AHV'!$D6,Table1[Case downtime],'OEE AHV'!AW$2)</f>
        <v>0</v>
      </c>
      <c r="AX6" s="183">
        <f>SUMIFS(Table1[Column1],Table1[Date],'OEE AHV'!$B6,Table1[M/C],'OEE AHV'!$D6,Table1[Case downtime],'OEE AHV'!AX$2)</f>
        <v>0</v>
      </c>
    </row>
    <row r="7" spans="2:50" s="115" customFormat="1" ht="30" hidden="1" customHeight="1">
      <c r="B7" s="91">
        <v>46059</v>
      </c>
      <c r="C7" s="92" t="s">
        <v>136</v>
      </c>
      <c r="D7" s="93" t="s">
        <v>120</v>
      </c>
      <c r="E7" s="80">
        <v>4.3</v>
      </c>
      <c r="F7" s="81">
        <v>24</v>
      </c>
      <c r="G7" s="82">
        <f t="shared" si="0"/>
        <v>1440</v>
      </c>
      <c r="H7" s="82">
        <v>0</v>
      </c>
      <c r="I7" s="82">
        <f t="shared" si="3"/>
        <v>1440</v>
      </c>
      <c r="J7" s="82">
        <f t="shared" si="1"/>
        <v>97.310546875</v>
      </c>
      <c r="K7" s="83">
        <f t="shared" si="2"/>
        <v>278</v>
      </c>
      <c r="L7" s="82">
        <f t="shared" si="4"/>
        <v>375.310546875</v>
      </c>
      <c r="M7" s="84">
        <f t="shared" si="5"/>
        <v>1064.689453125</v>
      </c>
      <c r="N7" s="85">
        <v>7676</v>
      </c>
      <c r="O7" s="82"/>
      <c r="P7" s="84">
        <v>8191</v>
      </c>
      <c r="Q7" s="135">
        <f t="shared" si="6"/>
        <v>15867</v>
      </c>
      <c r="R7" s="83">
        <f t="shared" si="7"/>
        <v>1</v>
      </c>
      <c r="S7" s="87">
        <f t="shared" si="8"/>
        <v>15866</v>
      </c>
      <c r="T7" s="88">
        <f t="shared" si="9"/>
        <v>14856.131904069767</v>
      </c>
      <c r="U7" s="89">
        <f t="shared" si="10"/>
        <v>0.73936767578124996</v>
      </c>
      <c r="V7" s="89">
        <f t="shared" si="11"/>
        <v>1.0680438288013121</v>
      </c>
      <c r="W7" s="89">
        <f t="shared" si="12"/>
        <v>0.99993697611394716</v>
      </c>
      <c r="X7" s="90">
        <f t="shared" si="13"/>
        <v>0.78962731481481474</v>
      </c>
      <c r="Y7" s="106"/>
      <c r="Z7" s="116">
        <v>1</v>
      </c>
      <c r="AA7" s="117"/>
      <c r="AB7" s="117"/>
      <c r="AC7" s="117"/>
      <c r="AD7" s="118"/>
      <c r="AE7" s="110">
        <f>Table24[[#This Row],[H. จำนวนชิ้น
งานทั้งหมด
ที่ผลิตได้ 
(Total Count)]]/512*1</f>
        <v>30.990234375</v>
      </c>
      <c r="AF7" s="111">
        <f t="shared" si="14"/>
        <v>35.122265624999997</v>
      </c>
      <c r="AG7" s="111">
        <f t="shared" si="15"/>
        <v>18.07763671875</v>
      </c>
      <c r="AH7" s="111">
        <f t="shared" si="16"/>
        <v>19.110644531249999</v>
      </c>
      <c r="AI7" s="111">
        <v>10</v>
      </c>
      <c r="AJ7" s="112">
        <v>5</v>
      </c>
      <c r="AK7" s="113">
        <v>10</v>
      </c>
      <c r="AL7" s="114">
        <f>SUMIFS(Table1[Column1],Table1[Date],'OEE AHV'!$B7,Table1[M/C],'OEE AHV'!$D7,Table1[Case downtime],'OEE AHV'!AL$2)</f>
        <v>0</v>
      </c>
      <c r="AM7" s="114">
        <f>SUMIFS(Table1[Column1],Table1[Date],'OEE AHV'!$B7,Table1[M/C],'OEE AHV'!$D7,Table1[Case downtime],'OEE AHV'!AM$2)</f>
        <v>0</v>
      </c>
      <c r="AN7" s="114">
        <f>SUMIFS(Table1[Column1],Table1[Date],'OEE AHV'!$B7,Table1[M/C],'OEE AHV'!$D7,Table1[Case downtime],'OEE AHV'!AN$2)</f>
        <v>0</v>
      </c>
      <c r="AO7" s="114">
        <f>SUMIFS(Table1[Column1],Table1[Date],'OEE AHV'!$B7,Table1[M/C],'OEE AHV'!$D7,Table1[Case downtime],'OEE AHV'!AO$2)</f>
        <v>0</v>
      </c>
      <c r="AP7" s="114">
        <f>SUMIFS(Table1[Column1],Table1[Date],'OEE AHV'!$B7,Table1[M/C],'OEE AHV'!$D7,Table1[Case downtime],'OEE AHV'!AP$2)</f>
        <v>0</v>
      </c>
      <c r="AQ7" s="114">
        <f>SUMIFS(Table1[Column1],Table1[Date],'OEE AHV'!$B7,Table1[M/C],'OEE AHV'!$D7,Table1[Case downtime],'OEE AHV'!AQ$2)</f>
        <v>0</v>
      </c>
      <c r="AR7" s="114">
        <f>SUMIFS(Table1[Column1],Table1[Date],'OEE AHV'!$B7,Table1[M/C],'OEE AHV'!$D7,Table1[Case downtime],'OEE AHV'!AR$2)</f>
        <v>0</v>
      </c>
      <c r="AS7" s="114">
        <f>SUMIFS(Table1[Column1],Table1[Date],'OEE AHV'!$B7,Table1[M/C],'OEE AHV'!$D7,Table1[Case downtime],'OEE AHV'!AS$2)</f>
        <v>0</v>
      </c>
      <c r="AT7" s="114">
        <f>SUMIFS(Table1[Column1],Table1[Date],'OEE AHV'!$B7,Table1[M/C],'OEE AHV'!$D7,Table1[Case downtime],'OEE AHV'!AT$2)</f>
        <v>0</v>
      </c>
      <c r="AU7" s="114">
        <f>SUMIFS(Table1[Column1],Table1[Date],'OEE AHV'!$B7,Table1[M/C],'OEE AHV'!$D7,Table1[Case downtime],'OEE AHV'!AU$2)</f>
        <v>0</v>
      </c>
      <c r="AV7" s="114">
        <f>SUMIFS(Table1[Column1],Table1[Date],'OEE AHV'!$B7,Table1[M/C],'OEE AHV'!$D7,Table1[Case downtime],'OEE AHV'!AV$2)</f>
        <v>278</v>
      </c>
      <c r="AW7" s="114">
        <f>SUMIFS(Table1[Column1],Table1[Date],'OEE AHV'!$B7,Table1[M/C],'OEE AHV'!$D7,Table1[Case downtime],'OEE AHV'!AW$2)</f>
        <v>0</v>
      </c>
      <c r="AX7" s="183">
        <f>SUMIFS(Table1[Column1],Table1[Date],'OEE AHV'!$B7,Table1[M/C],'OEE AHV'!$D7,Table1[Case downtime],'OEE AHV'!AX$2)</f>
        <v>0</v>
      </c>
    </row>
    <row r="8" spans="2:50" s="115" customFormat="1" ht="30" hidden="1" customHeight="1">
      <c r="B8" s="122">
        <v>46060</v>
      </c>
      <c r="C8" s="123" t="s">
        <v>136</v>
      </c>
      <c r="D8" s="123" t="s">
        <v>120</v>
      </c>
      <c r="E8" s="124">
        <v>4.3</v>
      </c>
      <c r="F8" s="125">
        <v>24</v>
      </c>
      <c r="G8" s="100">
        <f t="shared" si="0"/>
        <v>1440</v>
      </c>
      <c r="H8" s="100">
        <v>0</v>
      </c>
      <c r="I8" s="82">
        <f t="shared" si="3"/>
        <v>1440</v>
      </c>
      <c r="J8" s="82">
        <f t="shared" si="1"/>
        <v>106.59375</v>
      </c>
      <c r="K8" s="83">
        <f t="shared" si="2"/>
        <v>45</v>
      </c>
      <c r="L8" s="82">
        <f t="shared" si="4"/>
        <v>151.59375</v>
      </c>
      <c r="M8" s="84">
        <f t="shared" si="5"/>
        <v>1288.40625</v>
      </c>
      <c r="N8" s="99">
        <v>9208</v>
      </c>
      <c r="O8" s="100"/>
      <c r="P8" s="126">
        <v>8696</v>
      </c>
      <c r="Q8" s="135">
        <f t="shared" si="6"/>
        <v>17904</v>
      </c>
      <c r="R8" s="83">
        <f t="shared" si="7"/>
        <v>0</v>
      </c>
      <c r="S8" s="87">
        <f t="shared" si="8"/>
        <v>17904</v>
      </c>
      <c r="T8" s="88">
        <f t="shared" si="9"/>
        <v>17977.761627906977</v>
      </c>
      <c r="U8" s="89">
        <f t="shared" si="10"/>
        <v>0.89472656250000004</v>
      </c>
      <c r="V8" s="89">
        <f t="shared" si="11"/>
        <v>0.99589706274709544</v>
      </c>
      <c r="W8" s="89">
        <f t="shared" si="12"/>
        <v>1</v>
      </c>
      <c r="X8" s="90">
        <f t="shared" si="13"/>
        <v>0.8910555555555556</v>
      </c>
      <c r="Y8" s="106"/>
      <c r="Z8" s="119">
        <v>0</v>
      </c>
      <c r="AA8" s="117"/>
      <c r="AB8" s="117"/>
      <c r="AC8" s="117"/>
      <c r="AD8" s="118"/>
      <c r="AE8" s="110">
        <f>Table24[[#This Row],[H. จำนวนชิ้น
งานทั้งหมด
ที่ผลิตได้ 
(Total Count)]]/512*1</f>
        <v>34.96875</v>
      </c>
      <c r="AF8" s="111">
        <f t="shared" si="14"/>
        <v>39.631250000000001</v>
      </c>
      <c r="AG8" s="111">
        <f t="shared" si="15"/>
        <v>20.3984375</v>
      </c>
      <c r="AH8" s="111">
        <f t="shared" si="16"/>
        <v>21.564062499999999</v>
      </c>
      <c r="AI8" s="111">
        <v>10</v>
      </c>
      <c r="AJ8" s="112">
        <v>5</v>
      </c>
      <c r="AK8" s="113">
        <v>10</v>
      </c>
      <c r="AL8" s="114">
        <f>SUMIFS(Table1[Column1],Table1[Date],'OEE AHV'!$B8,Table1[M/C],'OEE AHV'!$D8,Table1[Case downtime],'OEE AHV'!AL$2)</f>
        <v>0</v>
      </c>
      <c r="AM8" s="114">
        <f>SUMIFS(Table1[Column1],Table1[Date],'OEE AHV'!$B8,Table1[M/C],'OEE AHV'!$D8,Table1[Case downtime],'OEE AHV'!AM$2)</f>
        <v>0</v>
      </c>
      <c r="AN8" s="114">
        <f>SUMIFS(Table1[Column1],Table1[Date],'OEE AHV'!$B8,Table1[M/C],'OEE AHV'!$D8,Table1[Case downtime],'OEE AHV'!AN$2)</f>
        <v>0</v>
      </c>
      <c r="AO8" s="114">
        <f>SUMIFS(Table1[Column1],Table1[Date],'OEE AHV'!$B8,Table1[M/C],'OEE AHV'!$D8,Table1[Case downtime],'OEE AHV'!AO$2)</f>
        <v>0</v>
      </c>
      <c r="AP8" s="114">
        <f>SUMIFS(Table1[Column1],Table1[Date],'OEE AHV'!$B8,Table1[M/C],'OEE AHV'!$D8,Table1[Case downtime],'OEE AHV'!AP$2)</f>
        <v>0</v>
      </c>
      <c r="AQ8" s="114">
        <f>SUMIFS(Table1[Column1],Table1[Date],'OEE AHV'!$B8,Table1[M/C],'OEE AHV'!$D8,Table1[Case downtime],'OEE AHV'!AQ$2)</f>
        <v>0</v>
      </c>
      <c r="AR8" s="114">
        <f>SUMIFS(Table1[Column1],Table1[Date],'OEE AHV'!$B8,Table1[M/C],'OEE AHV'!$D8,Table1[Case downtime],'OEE AHV'!AR$2)</f>
        <v>0</v>
      </c>
      <c r="AS8" s="114">
        <f>SUMIFS(Table1[Column1],Table1[Date],'OEE AHV'!$B8,Table1[M/C],'OEE AHV'!$D8,Table1[Case downtime],'OEE AHV'!AS$2)</f>
        <v>0</v>
      </c>
      <c r="AT8" s="114">
        <f>SUMIFS(Table1[Column1],Table1[Date],'OEE AHV'!$B8,Table1[M/C],'OEE AHV'!$D8,Table1[Case downtime],'OEE AHV'!AT$2)</f>
        <v>0</v>
      </c>
      <c r="AU8" s="114">
        <f>SUMIFS(Table1[Column1],Table1[Date],'OEE AHV'!$B8,Table1[M/C],'OEE AHV'!$D8,Table1[Case downtime],'OEE AHV'!AU$2)</f>
        <v>45</v>
      </c>
      <c r="AV8" s="114">
        <f>SUMIFS(Table1[Column1],Table1[Date],'OEE AHV'!$B8,Table1[M/C],'OEE AHV'!$D8,Table1[Case downtime],'OEE AHV'!AV$2)</f>
        <v>0</v>
      </c>
      <c r="AW8" s="114">
        <f>SUMIFS(Table1[Column1],Table1[Date],'OEE AHV'!$B8,Table1[M/C],'OEE AHV'!$D8,Table1[Case downtime],'OEE AHV'!AW$2)</f>
        <v>0</v>
      </c>
      <c r="AX8" s="183">
        <f>SUMIFS(Table1[Column1],Table1[Date],'OEE AHV'!$B8,Table1[M/C],'OEE AHV'!$D8,Table1[Case downtime],'OEE AHV'!AX$2)</f>
        <v>0</v>
      </c>
    </row>
    <row r="9" spans="2:50" s="115" customFormat="1" ht="30" hidden="1" customHeight="1">
      <c r="B9" s="91">
        <v>46061</v>
      </c>
      <c r="C9" s="92" t="s">
        <v>136</v>
      </c>
      <c r="D9" s="92" t="s">
        <v>120</v>
      </c>
      <c r="E9" s="80">
        <v>4.3</v>
      </c>
      <c r="F9" s="81">
        <v>12</v>
      </c>
      <c r="G9" s="82">
        <f t="shared" si="0"/>
        <v>720</v>
      </c>
      <c r="H9" s="82">
        <v>0</v>
      </c>
      <c r="I9" s="82">
        <f t="shared" si="3"/>
        <v>720</v>
      </c>
      <c r="J9" s="82">
        <f t="shared" si="1"/>
        <v>55.296875</v>
      </c>
      <c r="K9" s="83">
        <f t="shared" si="2"/>
        <v>0</v>
      </c>
      <c r="L9" s="82">
        <f t="shared" si="4"/>
        <v>55.296875</v>
      </c>
      <c r="M9" s="84">
        <f t="shared" si="5"/>
        <v>664.703125</v>
      </c>
      <c r="N9" s="85">
        <v>0</v>
      </c>
      <c r="O9" s="82"/>
      <c r="P9" s="84">
        <v>6648</v>
      </c>
      <c r="Q9" s="135">
        <f t="shared" si="6"/>
        <v>6648</v>
      </c>
      <c r="R9" s="83">
        <f t="shared" si="7"/>
        <v>0</v>
      </c>
      <c r="S9" s="87">
        <f t="shared" si="8"/>
        <v>6648</v>
      </c>
      <c r="T9" s="88">
        <f t="shared" si="9"/>
        <v>9274.9273255813951</v>
      </c>
      <c r="U9" s="89">
        <f t="shared" si="10"/>
        <v>0.92319878472222228</v>
      </c>
      <c r="V9" s="89">
        <f t="shared" si="11"/>
        <v>0.71677111492442591</v>
      </c>
      <c r="W9" s="89">
        <f t="shared" si="12"/>
        <v>1</v>
      </c>
      <c r="X9" s="90">
        <f t="shared" si="13"/>
        <v>0.66172222222222232</v>
      </c>
      <c r="Y9" s="106"/>
      <c r="Z9" s="120">
        <v>0</v>
      </c>
      <c r="AA9" s="117"/>
      <c r="AB9" s="117"/>
      <c r="AC9" s="117"/>
      <c r="AD9" s="118"/>
      <c r="AE9" s="110">
        <f>Table24[[#This Row],[H. จำนวนชิ้น
งานทั้งหมด
ที่ผลิตได้ 
(Total Count)]]/512*1</f>
        <v>12.984375</v>
      </c>
      <c r="AF9" s="111">
        <f t="shared" si="14"/>
        <v>14.715624999999999</v>
      </c>
      <c r="AG9" s="111">
        <f t="shared" si="15"/>
        <v>7.57421875</v>
      </c>
      <c r="AH9" s="111">
        <f t="shared" si="16"/>
        <v>8.0070312500000007</v>
      </c>
      <c r="AI9" s="111">
        <v>10</v>
      </c>
      <c r="AJ9" s="112">
        <v>5</v>
      </c>
      <c r="AK9" s="113">
        <v>10</v>
      </c>
      <c r="AL9" s="114">
        <f>SUMIFS(Table1[Column1],Table1[Date],'OEE AHV'!$B9,Table1[M/C],'OEE AHV'!$D9,Table1[Case downtime],'OEE AHV'!AL$2)</f>
        <v>0</v>
      </c>
      <c r="AM9" s="114">
        <f>SUMIFS(Table1[Column1],Table1[Date],'OEE AHV'!$B9,Table1[M/C],'OEE AHV'!$D9,Table1[Case downtime],'OEE AHV'!AM$2)</f>
        <v>0</v>
      </c>
      <c r="AN9" s="114">
        <f>SUMIFS(Table1[Column1],Table1[Date],'OEE AHV'!$B9,Table1[M/C],'OEE AHV'!$D9,Table1[Case downtime],'OEE AHV'!AN$2)</f>
        <v>0</v>
      </c>
      <c r="AO9" s="114">
        <f>SUMIFS(Table1[Column1],Table1[Date],'OEE AHV'!$B9,Table1[M/C],'OEE AHV'!$D9,Table1[Case downtime],'OEE AHV'!AO$2)</f>
        <v>0</v>
      </c>
      <c r="AP9" s="114">
        <f>SUMIFS(Table1[Column1],Table1[Date],'OEE AHV'!$B9,Table1[M/C],'OEE AHV'!$D9,Table1[Case downtime],'OEE AHV'!AP$2)</f>
        <v>0</v>
      </c>
      <c r="AQ9" s="114">
        <f>SUMIFS(Table1[Column1],Table1[Date],'OEE AHV'!$B9,Table1[M/C],'OEE AHV'!$D9,Table1[Case downtime],'OEE AHV'!AQ$2)</f>
        <v>0</v>
      </c>
      <c r="AR9" s="114">
        <f>SUMIFS(Table1[Column1],Table1[Date],'OEE AHV'!$B9,Table1[M/C],'OEE AHV'!$D9,Table1[Case downtime],'OEE AHV'!AR$2)</f>
        <v>0</v>
      </c>
      <c r="AS9" s="114">
        <f>SUMIFS(Table1[Column1],Table1[Date],'OEE AHV'!$B9,Table1[M/C],'OEE AHV'!$D9,Table1[Case downtime],'OEE AHV'!AS$2)</f>
        <v>0</v>
      </c>
      <c r="AT9" s="114">
        <f>SUMIFS(Table1[Column1],Table1[Date],'OEE AHV'!$B9,Table1[M/C],'OEE AHV'!$D9,Table1[Case downtime],'OEE AHV'!AT$2)</f>
        <v>0</v>
      </c>
      <c r="AU9" s="114">
        <f>SUMIFS(Table1[Column1],Table1[Date],'OEE AHV'!$B9,Table1[M/C],'OEE AHV'!$D9,Table1[Case downtime],'OEE AHV'!AU$2)</f>
        <v>0</v>
      </c>
      <c r="AV9" s="114">
        <f>SUMIFS(Table1[Column1],Table1[Date],'OEE AHV'!$B9,Table1[M/C],'OEE AHV'!$D9,Table1[Case downtime],'OEE AHV'!AV$2)</f>
        <v>0</v>
      </c>
      <c r="AW9" s="114">
        <f>SUMIFS(Table1[Column1],Table1[Date],'OEE AHV'!$B9,Table1[M/C],'OEE AHV'!$D9,Table1[Case downtime],'OEE AHV'!AW$2)</f>
        <v>0</v>
      </c>
      <c r="AX9" s="183">
        <f>SUMIFS(Table1[Column1],Table1[Date],'OEE AHV'!$B9,Table1[M/C],'OEE AHV'!$D9,Table1[Case downtime],'OEE AHV'!AX$2)</f>
        <v>0</v>
      </c>
    </row>
    <row r="10" spans="2:50" s="115" customFormat="1" ht="30" hidden="1" customHeight="1">
      <c r="B10" s="91">
        <v>46062</v>
      </c>
      <c r="C10" s="92" t="s">
        <v>136</v>
      </c>
      <c r="D10" s="92" t="s">
        <v>120</v>
      </c>
      <c r="E10" s="80">
        <v>4.3</v>
      </c>
      <c r="F10" s="81">
        <v>24</v>
      </c>
      <c r="G10" s="82">
        <f t="shared" si="0"/>
        <v>1440</v>
      </c>
      <c r="H10" s="82">
        <v>0</v>
      </c>
      <c r="I10" s="82">
        <f t="shared" si="3"/>
        <v>1440</v>
      </c>
      <c r="J10" s="82">
        <f t="shared" si="1"/>
        <v>108.92708333333333</v>
      </c>
      <c r="K10" s="83">
        <f t="shared" si="2"/>
        <v>32</v>
      </c>
      <c r="L10" s="82">
        <f t="shared" si="4"/>
        <v>140.92708333333331</v>
      </c>
      <c r="M10" s="84">
        <f t="shared" si="5"/>
        <v>1299.0729166666667</v>
      </c>
      <c r="N10" s="85">
        <v>9208</v>
      </c>
      <c r="O10" s="82"/>
      <c r="P10" s="84">
        <v>9208</v>
      </c>
      <c r="Q10" s="135">
        <f t="shared" si="6"/>
        <v>18416</v>
      </c>
      <c r="R10" s="83">
        <f t="shared" si="7"/>
        <v>2</v>
      </c>
      <c r="S10" s="87">
        <f t="shared" si="8"/>
        <v>18414</v>
      </c>
      <c r="T10" s="88">
        <f t="shared" si="9"/>
        <v>18126.598837209302</v>
      </c>
      <c r="U10" s="89">
        <f t="shared" si="10"/>
        <v>0.90213396990740746</v>
      </c>
      <c r="V10" s="89">
        <f t="shared" si="11"/>
        <v>1.0159655523570494</v>
      </c>
      <c r="W10" s="89">
        <f t="shared" si="12"/>
        <v>0.9998913987836664</v>
      </c>
      <c r="X10" s="90">
        <f t="shared" si="13"/>
        <v>0.91643750000000002</v>
      </c>
      <c r="Y10" s="106"/>
      <c r="Z10" s="120">
        <v>2</v>
      </c>
      <c r="AA10" s="117"/>
      <c r="AB10" s="117"/>
      <c r="AC10" s="117"/>
      <c r="AD10" s="118"/>
      <c r="AE10" s="110">
        <f>Table24[[#This Row],[H. จำนวนชิ้น
งานทั้งหมด
ที่ผลิตได้ 
(Total Count)]]/512*1</f>
        <v>35.96875</v>
      </c>
      <c r="AF10" s="111">
        <f t="shared" si="14"/>
        <v>40.764583333333334</v>
      </c>
      <c r="AG10" s="111">
        <f t="shared" si="15"/>
        <v>20.981770833333332</v>
      </c>
      <c r="AH10" s="111">
        <f t="shared" si="16"/>
        <v>22.180729166666666</v>
      </c>
      <c r="AI10" s="111">
        <v>10</v>
      </c>
      <c r="AJ10" s="112">
        <v>5</v>
      </c>
      <c r="AK10" s="113">
        <v>10</v>
      </c>
      <c r="AL10" s="114">
        <f>SUMIFS(Table1[Column1],Table1[Date],'OEE AHV'!$B10,Table1[M/C],'OEE AHV'!$D10,Table1[Case downtime],'OEE AHV'!AL$2)</f>
        <v>0</v>
      </c>
      <c r="AM10" s="114">
        <f>SUMIFS(Table1[Column1],Table1[Date],'OEE AHV'!$B10,Table1[M/C],'OEE AHV'!$D10,Table1[Case downtime],'OEE AHV'!AM$2)</f>
        <v>0</v>
      </c>
      <c r="AN10" s="114">
        <f>SUMIFS(Table1[Column1],Table1[Date],'OEE AHV'!$B10,Table1[M/C],'OEE AHV'!$D10,Table1[Case downtime],'OEE AHV'!AN$2)</f>
        <v>0</v>
      </c>
      <c r="AO10" s="114">
        <f>SUMIFS(Table1[Column1],Table1[Date],'OEE AHV'!$B10,Table1[M/C],'OEE AHV'!$D10,Table1[Case downtime],'OEE AHV'!AO$2)</f>
        <v>0</v>
      </c>
      <c r="AP10" s="114">
        <f>SUMIFS(Table1[Column1],Table1[Date],'OEE AHV'!$B10,Table1[M/C],'OEE AHV'!$D10,Table1[Case downtime],'OEE AHV'!AP$2)</f>
        <v>0</v>
      </c>
      <c r="AQ10" s="114">
        <f>SUMIFS(Table1[Column1],Table1[Date],'OEE AHV'!$B10,Table1[M/C],'OEE AHV'!$D10,Table1[Case downtime],'OEE AHV'!AQ$2)</f>
        <v>0</v>
      </c>
      <c r="AR10" s="114">
        <f>SUMIFS(Table1[Column1],Table1[Date],'OEE AHV'!$B10,Table1[M/C],'OEE AHV'!$D10,Table1[Case downtime],'OEE AHV'!AR$2)</f>
        <v>0</v>
      </c>
      <c r="AS10" s="114">
        <f>SUMIFS(Table1[Column1],Table1[Date],'OEE AHV'!$B10,Table1[M/C],'OEE AHV'!$D10,Table1[Case downtime],'OEE AHV'!AS$2)</f>
        <v>0</v>
      </c>
      <c r="AT10" s="114">
        <f>SUMIFS(Table1[Column1],Table1[Date],'OEE AHV'!$B10,Table1[M/C],'OEE AHV'!$D10,Table1[Case downtime],'OEE AHV'!AT$2)</f>
        <v>0</v>
      </c>
      <c r="AU10" s="114">
        <f>SUMIFS(Table1[Column1],Table1[Date],'OEE AHV'!$B10,Table1[M/C],'OEE AHV'!$D10,Table1[Case downtime],'OEE AHV'!AU$2)</f>
        <v>0</v>
      </c>
      <c r="AV10" s="114">
        <f>SUMIFS(Table1[Column1],Table1[Date],'OEE AHV'!$B10,Table1[M/C],'OEE AHV'!$D10,Table1[Case downtime],'OEE AHV'!AV$2)</f>
        <v>32</v>
      </c>
      <c r="AW10" s="114">
        <f>SUMIFS(Table1[Column1],Table1[Date],'OEE AHV'!$B10,Table1[M/C],'OEE AHV'!$D10,Table1[Case downtime],'OEE AHV'!AW$2)</f>
        <v>0</v>
      </c>
      <c r="AX10" s="183">
        <f>SUMIFS(Table1[Column1],Table1[Date],'OEE AHV'!$B10,Table1[M/C],'OEE AHV'!$D10,Table1[Case downtime],'OEE AHV'!AX$2)</f>
        <v>0</v>
      </c>
    </row>
    <row r="11" spans="2:50" s="115" customFormat="1" ht="30" hidden="1" customHeight="1">
      <c r="B11" s="91">
        <v>46063</v>
      </c>
      <c r="C11" s="92" t="s">
        <v>136</v>
      </c>
      <c r="D11" s="92" t="s">
        <v>120</v>
      </c>
      <c r="E11" s="80">
        <v>4.3</v>
      </c>
      <c r="F11" s="81">
        <v>24</v>
      </c>
      <c r="G11" s="82">
        <f t="shared" si="0"/>
        <v>1440</v>
      </c>
      <c r="H11" s="82">
        <v>0</v>
      </c>
      <c r="I11" s="82">
        <f t="shared" si="3"/>
        <v>1440</v>
      </c>
      <c r="J11" s="82">
        <f t="shared" si="1"/>
        <v>106.62565104166667</v>
      </c>
      <c r="K11" s="83">
        <f t="shared" si="2"/>
        <v>103</v>
      </c>
      <c r="L11" s="82">
        <f t="shared" si="4"/>
        <v>209.62565104166669</v>
      </c>
      <c r="M11" s="84">
        <f t="shared" si="5"/>
        <v>1230.3743489583333</v>
      </c>
      <c r="N11" s="85">
        <v>8700</v>
      </c>
      <c r="O11" s="82"/>
      <c r="P11" s="84">
        <v>9211</v>
      </c>
      <c r="Q11" s="135">
        <f t="shared" si="6"/>
        <v>17911</v>
      </c>
      <c r="R11" s="83">
        <f t="shared" si="7"/>
        <v>1</v>
      </c>
      <c r="S11" s="87">
        <f t="shared" si="8"/>
        <v>17910</v>
      </c>
      <c r="T11" s="88">
        <f t="shared" si="9"/>
        <v>17168.01417151163</v>
      </c>
      <c r="U11" s="89">
        <f t="shared" si="10"/>
        <v>0.85442663122106477</v>
      </c>
      <c r="V11" s="89">
        <f t="shared" si="11"/>
        <v>1.043277330800511</v>
      </c>
      <c r="W11" s="89">
        <f t="shared" si="12"/>
        <v>0.99994416838814137</v>
      </c>
      <c r="X11" s="90">
        <f t="shared" si="13"/>
        <v>0.89135416666666656</v>
      </c>
      <c r="Y11" s="106"/>
      <c r="Z11" s="120">
        <v>1</v>
      </c>
      <c r="AA11" s="117"/>
      <c r="AB11" s="117"/>
      <c r="AC11" s="117"/>
      <c r="AD11" s="118"/>
      <c r="AE11" s="110">
        <f>Table24[[#This Row],[H. จำนวนชิ้น
งานทั้งหมด
ที่ผลิตได้ 
(Total Count)]]/512*1</f>
        <v>34.982421875</v>
      </c>
      <c r="AF11" s="111">
        <f t="shared" si="14"/>
        <v>39.64674479166667</v>
      </c>
      <c r="AG11" s="111">
        <f t="shared" si="15"/>
        <v>20.406412760416668</v>
      </c>
      <c r="AH11" s="111">
        <f t="shared" si="16"/>
        <v>21.572493489583334</v>
      </c>
      <c r="AI11" s="111">
        <v>10</v>
      </c>
      <c r="AJ11" s="112">
        <v>5</v>
      </c>
      <c r="AK11" s="113">
        <v>10</v>
      </c>
      <c r="AL11" s="114">
        <f>SUMIFS(Table1[Column1],Table1[Date],'OEE AHV'!$B11,Table1[M/C],'OEE AHV'!$D11,Table1[Case downtime],'OEE AHV'!AL$2)</f>
        <v>39</v>
      </c>
      <c r="AM11" s="114">
        <f>SUMIFS(Table1[Column1],Table1[Date],'OEE AHV'!$B11,Table1[M/C],'OEE AHV'!$D11,Table1[Case downtime],'OEE AHV'!AM$2)</f>
        <v>0</v>
      </c>
      <c r="AN11" s="114">
        <f>SUMIFS(Table1[Column1],Table1[Date],'OEE AHV'!$B11,Table1[M/C],'OEE AHV'!$D11,Table1[Case downtime],'OEE AHV'!AN$2)</f>
        <v>0</v>
      </c>
      <c r="AO11" s="114">
        <f>SUMIFS(Table1[Column1],Table1[Date],'OEE AHV'!$B11,Table1[M/C],'OEE AHV'!$D11,Table1[Case downtime],'OEE AHV'!AO$2)</f>
        <v>0</v>
      </c>
      <c r="AP11" s="114">
        <f>SUMIFS(Table1[Column1],Table1[Date],'OEE AHV'!$B11,Table1[M/C],'OEE AHV'!$D11,Table1[Case downtime],'OEE AHV'!AP$2)</f>
        <v>0</v>
      </c>
      <c r="AQ11" s="114">
        <f>SUMIFS(Table1[Column1],Table1[Date],'OEE AHV'!$B11,Table1[M/C],'OEE AHV'!$D11,Table1[Case downtime],'OEE AHV'!AQ$2)</f>
        <v>0</v>
      </c>
      <c r="AR11" s="114">
        <f>SUMIFS(Table1[Column1],Table1[Date],'OEE AHV'!$B11,Table1[M/C],'OEE AHV'!$D11,Table1[Case downtime],'OEE AHV'!AR$2)</f>
        <v>0</v>
      </c>
      <c r="AS11" s="114">
        <f>SUMIFS(Table1[Column1],Table1[Date],'OEE AHV'!$B11,Table1[M/C],'OEE AHV'!$D11,Table1[Case downtime],'OEE AHV'!AS$2)</f>
        <v>0</v>
      </c>
      <c r="AT11" s="114">
        <f>SUMIFS(Table1[Column1],Table1[Date],'OEE AHV'!$B11,Table1[M/C],'OEE AHV'!$D11,Table1[Case downtime],'OEE AHV'!AT$2)</f>
        <v>0</v>
      </c>
      <c r="AU11" s="114">
        <f>SUMIFS(Table1[Column1],Table1[Date],'OEE AHV'!$B11,Table1[M/C],'OEE AHV'!$D11,Table1[Case downtime],'OEE AHV'!AU$2)</f>
        <v>0</v>
      </c>
      <c r="AV11" s="114">
        <f>SUMIFS(Table1[Column1],Table1[Date],'OEE AHV'!$B11,Table1[M/C],'OEE AHV'!$D11,Table1[Case downtime],'OEE AHV'!AV$2)</f>
        <v>64</v>
      </c>
      <c r="AW11" s="114">
        <f>SUMIFS(Table1[Column1],Table1[Date],'OEE AHV'!$B11,Table1[M/C],'OEE AHV'!$D11,Table1[Case downtime],'OEE AHV'!AW$2)</f>
        <v>0</v>
      </c>
      <c r="AX11" s="183">
        <f>SUMIFS(Table1[Column1],Table1[Date],'OEE AHV'!$B11,Table1[M/C],'OEE AHV'!$D11,Table1[Case downtime],'OEE AHV'!AX$2)</f>
        <v>0</v>
      </c>
    </row>
    <row r="12" spans="2:50" s="115" customFormat="1" ht="30" hidden="1" customHeight="1">
      <c r="B12" s="91">
        <v>46064</v>
      </c>
      <c r="C12" s="92" t="s">
        <v>136</v>
      </c>
      <c r="D12" s="92" t="s">
        <v>120</v>
      </c>
      <c r="E12" s="80">
        <v>4.3</v>
      </c>
      <c r="F12" s="81">
        <v>24</v>
      </c>
      <c r="G12" s="82">
        <f t="shared" si="0"/>
        <v>1440</v>
      </c>
      <c r="H12" s="82">
        <v>0</v>
      </c>
      <c r="I12" s="82">
        <f t="shared" si="3"/>
        <v>1440</v>
      </c>
      <c r="J12" s="82">
        <f t="shared" si="1"/>
        <v>111.27864583333334</v>
      </c>
      <c r="K12" s="83">
        <f t="shared" si="2"/>
        <v>0</v>
      </c>
      <c r="L12" s="82">
        <f t="shared" si="4"/>
        <v>111.27864583333334</v>
      </c>
      <c r="M12" s="84">
        <f t="shared" si="5"/>
        <v>1328.7213541666667</v>
      </c>
      <c r="N12" s="85">
        <v>9212</v>
      </c>
      <c r="O12" s="82"/>
      <c r="P12" s="84">
        <v>9720</v>
      </c>
      <c r="Q12" s="135">
        <f t="shared" si="6"/>
        <v>18932</v>
      </c>
      <c r="R12" s="83">
        <f t="shared" si="7"/>
        <v>0</v>
      </c>
      <c r="S12" s="87">
        <f t="shared" si="8"/>
        <v>18932</v>
      </c>
      <c r="T12" s="88">
        <f t="shared" si="9"/>
        <v>18540.297965116279</v>
      </c>
      <c r="U12" s="89">
        <f t="shared" si="10"/>
        <v>0.92272316261574083</v>
      </c>
      <c r="V12" s="89">
        <f t="shared" si="11"/>
        <v>1.0211270625542648</v>
      </c>
      <c r="W12" s="89">
        <f t="shared" si="12"/>
        <v>1</v>
      </c>
      <c r="X12" s="90">
        <f t="shared" si="13"/>
        <v>0.94221759259259263</v>
      </c>
      <c r="Y12" s="106"/>
      <c r="Z12" s="120">
        <v>0</v>
      </c>
      <c r="AA12" s="117"/>
      <c r="AB12" s="117"/>
      <c r="AC12" s="117"/>
      <c r="AD12" s="118"/>
      <c r="AE12" s="110">
        <f>Table24[[#This Row],[H. จำนวนชิ้น
งานทั้งหมด
ที่ผลิตได้ 
(Total Count)]]/512*1</f>
        <v>36.9765625</v>
      </c>
      <c r="AF12" s="111">
        <f t="shared" si="14"/>
        <v>41.906770833333333</v>
      </c>
      <c r="AG12" s="111">
        <f t="shared" si="15"/>
        <v>21.569661458333332</v>
      </c>
      <c r="AH12" s="111">
        <f t="shared" si="16"/>
        <v>22.802213541666667</v>
      </c>
      <c r="AI12" s="111">
        <v>10</v>
      </c>
      <c r="AJ12" s="112">
        <v>5</v>
      </c>
      <c r="AK12" s="113">
        <v>10</v>
      </c>
      <c r="AL12" s="114">
        <f>SUMIFS(Table1[Column1],Table1[Date],'OEE AHV'!$B12,Table1[M/C],'OEE AHV'!$D12,Table1[Case downtime],'OEE AHV'!AL$2)</f>
        <v>0</v>
      </c>
      <c r="AM12" s="114">
        <f>SUMIFS(Table1[Column1],Table1[Date],'OEE AHV'!$B12,Table1[M/C],'OEE AHV'!$D12,Table1[Case downtime],'OEE AHV'!AM$2)</f>
        <v>0</v>
      </c>
      <c r="AN12" s="114">
        <f>SUMIFS(Table1[Column1],Table1[Date],'OEE AHV'!$B12,Table1[M/C],'OEE AHV'!$D12,Table1[Case downtime],'OEE AHV'!AN$2)</f>
        <v>0</v>
      </c>
      <c r="AO12" s="114">
        <f>SUMIFS(Table1[Column1],Table1[Date],'OEE AHV'!$B12,Table1[M/C],'OEE AHV'!$D12,Table1[Case downtime],'OEE AHV'!AO$2)</f>
        <v>0</v>
      </c>
      <c r="AP12" s="114">
        <f>SUMIFS(Table1[Column1],Table1[Date],'OEE AHV'!$B12,Table1[M/C],'OEE AHV'!$D12,Table1[Case downtime],'OEE AHV'!AP$2)</f>
        <v>0</v>
      </c>
      <c r="AQ12" s="114">
        <f>SUMIFS(Table1[Column1],Table1[Date],'OEE AHV'!$B12,Table1[M/C],'OEE AHV'!$D12,Table1[Case downtime],'OEE AHV'!AQ$2)</f>
        <v>0</v>
      </c>
      <c r="AR12" s="114">
        <f>SUMIFS(Table1[Column1],Table1[Date],'OEE AHV'!$B12,Table1[M/C],'OEE AHV'!$D12,Table1[Case downtime],'OEE AHV'!AR$2)</f>
        <v>0</v>
      </c>
      <c r="AS12" s="114">
        <f>SUMIFS(Table1[Column1],Table1[Date],'OEE AHV'!$B12,Table1[M/C],'OEE AHV'!$D12,Table1[Case downtime],'OEE AHV'!AS$2)</f>
        <v>0</v>
      </c>
      <c r="AT12" s="114">
        <f>SUMIFS(Table1[Column1],Table1[Date],'OEE AHV'!$B12,Table1[M/C],'OEE AHV'!$D12,Table1[Case downtime],'OEE AHV'!AT$2)</f>
        <v>0</v>
      </c>
      <c r="AU12" s="114">
        <f>SUMIFS(Table1[Column1],Table1[Date],'OEE AHV'!$B12,Table1[M/C],'OEE AHV'!$D12,Table1[Case downtime],'OEE AHV'!AU$2)</f>
        <v>0</v>
      </c>
      <c r="AV12" s="114">
        <f>SUMIFS(Table1[Column1],Table1[Date],'OEE AHV'!$B12,Table1[M/C],'OEE AHV'!$D12,Table1[Case downtime],'OEE AHV'!AV$2)</f>
        <v>0</v>
      </c>
      <c r="AW12" s="114">
        <f>SUMIFS(Table1[Column1],Table1[Date],'OEE AHV'!$B12,Table1[M/C],'OEE AHV'!$D12,Table1[Case downtime],'OEE AHV'!AW$2)</f>
        <v>0</v>
      </c>
      <c r="AX12" s="183">
        <f>SUMIFS(Table1[Column1],Table1[Date],'OEE AHV'!$B12,Table1[M/C],'OEE AHV'!$D12,Table1[Case downtime],'OEE AHV'!AX$2)</f>
        <v>0</v>
      </c>
    </row>
    <row r="13" spans="2:50" s="115" customFormat="1" ht="30" hidden="1" customHeight="1">
      <c r="B13" s="91">
        <v>46065</v>
      </c>
      <c r="C13" s="92" t="s">
        <v>136</v>
      </c>
      <c r="D13" s="92" t="s">
        <v>120</v>
      </c>
      <c r="E13" s="80">
        <v>4.3</v>
      </c>
      <c r="F13" s="81">
        <v>24</v>
      </c>
      <c r="G13" s="82">
        <f t="shared" si="0"/>
        <v>1440</v>
      </c>
      <c r="H13" s="82">
        <v>0</v>
      </c>
      <c r="I13" s="82">
        <f t="shared" si="3"/>
        <v>1440</v>
      </c>
      <c r="J13" s="82">
        <f t="shared" si="1"/>
        <v>111.22395833333334</v>
      </c>
      <c r="K13" s="83">
        <f t="shared" si="2"/>
        <v>0</v>
      </c>
      <c r="L13" s="82">
        <f t="shared" si="4"/>
        <v>111.22395833333334</v>
      </c>
      <c r="M13" s="84">
        <f t="shared" si="5"/>
        <v>1328.7760416666667</v>
      </c>
      <c r="N13" s="85">
        <v>9207</v>
      </c>
      <c r="O13" s="82"/>
      <c r="P13" s="84">
        <v>9713</v>
      </c>
      <c r="Q13" s="135">
        <f t="shared" si="6"/>
        <v>18920</v>
      </c>
      <c r="R13" s="83">
        <f t="shared" si="7"/>
        <v>6</v>
      </c>
      <c r="S13" s="87">
        <f t="shared" si="8"/>
        <v>18914</v>
      </c>
      <c r="T13" s="88">
        <f t="shared" si="9"/>
        <v>18541.06104651163</v>
      </c>
      <c r="U13" s="89">
        <f t="shared" si="10"/>
        <v>0.92276114004629639</v>
      </c>
      <c r="V13" s="89">
        <f t="shared" si="11"/>
        <v>1.0204378245957864</v>
      </c>
      <c r="W13" s="89">
        <f t="shared" si="12"/>
        <v>0.99968287526427058</v>
      </c>
      <c r="X13" s="90">
        <f t="shared" si="13"/>
        <v>0.94132175925925932</v>
      </c>
      <c r="Y13" s="106"/>
      <c r="Z13" s="120">
        <v>6</v>
      </c>
      <c r="AA13" s="117"/>
      <c r="AB13" s="117"/>
      <c r="AC13" s="117"/>
      <c r="AD13" s="118"/>
      <c r="AE13" s="110">
        <f>Table24[[#This Row],[H. จำนวนชิ้น
งานทั้งหมด
ที่ผลิตได้ 
(Total Count)]]/512*1</f>
        <v>36.953125</v>
      </c>
      <c r="AF13" s="111">
        <f t="shared" si="14"/>
        <v>41.880208333333336</v>
      </c>
      <c r="AG13" s="111">
        <f t="shared" si="15"/>
        <v>21.555989583333332</v>
      </c>
      <c r="AH13" s="111">
        <f t="shared" si="16"/>
        <v>22.787760416666668</v>
      </c>
      <c r="AI13" s="111">
        <v>10</v>
      </c>
      <c r="AJ13" s="112">
        <v>5</v>
      </c>
      <c r="AK13" s="113">
        <v>10</v>
      </c>
      <c r="AL13" s="114">
        <f>SUMIFS(Table1[Column1],Table1[Date],'OEE AHV'!$B13,Table1[M/C],'OEE AHV'!$D13,Table1[Case downtime],'OEE AHV'!AL$2)</f>
        <v>0</v>
      </c>
      <c r="AM13" s="114">
        <f>SUMIFS(Table1[Column1],Table1[Date],'OEE AHV'!$B13,Table1[M/C],'OEE AHV'!$D13,Table1[Case downtime],'OEE AHV'!AM$2)</f>
        <v>0</v>
      </c>
      <c r="AN13" s="114">
        <f>SUMIFS(Table1[Column1],Table1[Date],'OEE AHV'!$B13,Table1[M/C],'OEE AHV'!$D13,Table1[Case downtime],'OEE AHV'!AN$2)</f>
        <v>0</v>
      </c>
      <c r="AO13" s="114">
        <f>SUMIFS(Table1[Column1],Table1[Date],'OEE AHV'!$B13,Table1[M/C],'OEE AHV'!$D13,Table1[Case downtime],'OEE AHV'!AO$2)</f>
        <v>0</v>
      </c>
      <c r="AP13" s="114">
        <f>SUMIFS(Table1[Column1],Table1[Date],'OEE AHV'!$B13,Table1[M/C],'OEE AHV'!$D13,Table1[Case downtime],'OEE AHV'!AP$2)</f>
        <v>0</v>
      </c>
      <c r="AQ13" s="114">
        <f>SUMIFS(Table1[Column1],Table1[Date],'OEE AHV'!$B13,Table1[M/C],'OEE AHV'!$D13,Table1[Case downtime],'OEE AHV'!AQ$2)</f>
        <v>0</v>
      </c>
      <c r="AR13" s="114">
        <f>SUMIFS(Table1[Column1],Table1[Date],'OEE AHV'!$B13,Table1[M/C],'OEE AHV'!$D13,Table1[Case downtime],'OEE AHV'!AR$2)</f>
        <v>0</v>
      </c>
      <c r="AS13" s="114">
        <f>SUMIFS(Table1[Column1],Table1[Date],'OEE AHV'!$B13,Table1[M/C],'OEE AHV'!$D13,Table1[Case downtime],'OEE AHV'!AS$2)</f>
        <v>0</v>
      </c>
      <c r="AT13" s="114">
        <f>SUMIFS(Table1[Column1],Table1[Date],'OEE AHV'!$B13,Table1[M/C],'OEE AHV'!$D13,Table1[Case downtime],'OEE AHV'!AT$2)</f>
        <v>0</v>
      </c>
      <c r="AU13" s="114">
        <f>SUMIFS(Table1[Column1],Table1[Date],'OEE AHV'!$B13,Table1[M/C],'OEE AHV'!$D13,Table1[Case downtime],'OEE AHV'!AU$2)</f>
        <v>0</v>
      </c>
      <c r="AV13" s="114">
        <f>SUMIFS(Table1[Column1],Table1[Date],'OEE AHV'!$B13,Table1[M/C],'OEE AHV'!$D13,Table1[Case downtime],'OEE AHV'!AV$2)</f>
        <v>0</v>
      </c>
      <c r="AW13" s="114">
        <f>SUMIFS(Table1[Column1],Table1[Date],'OEE AHV'!$B13,Table1[M/C],'OEE AHV'!$D13,Table1[Case downtime],'OEE AHV'!AW$2)</f>
        <v>0</v>
      </c>
      <c r="AX13" s="183">
        <f>SUMIFS(Table1[Column1],Table1[Date],'OEE AHV'!$B13,Table1[M/C],'OEE AHV'!$D13,Table1[Case downtime],'OEE AHV'!AX$2)</f>
        <v>0</v>
      </c>
    </row>
    <row r="14" spans="2:50" s="115" customFormat="1" ht="30" hidden="1" customHeight="1">
      <c r="B14" s="91">
        <v>46066</v>
      </c>
      <c r="C14" s="92" t="s">
        <v>136</v>
      </c>
      <c r="D14" s="92" t="s">
        <v>120</v>
      </c>
      <c r="E14" s="80">
        <v>4.3</v>
      </c>
      <c r="F14" s="81">
        <v>24</v>
      </c>
      <c r="G14" s="82">
        <f t="shared" si="0"/>
        <v>1440</v>
      </c>
      <c r="H14" s="82">
        <v>0</v>
      </c>
      <c r="I14" s="82">
        <f t="shared" si="3"/>
        <v>1440</v>
      </c>
      <c r="J14" s="82">
        <f t="shared" si="1"/>
        <v>108.92252604166666</v>
      </c>
      <c r="K14" s="83">
        <f t="shared" si="2"/>
        <v>20</v>
      </c>
      <c r="L14" s="82">
        <f t="shared" si="4"/>
        <v>128.92252604166666</v>
      </c>
      <c r="M14" s="84">
        <f t="shared" si="5"/>
        <v>1311.0774739583333</v>
      </c>
      <c r="N14" s="85">
        <v>9206</v>
      </c>
      <c r="O14" s="82"/>
      <c r="P14" s="84">
        <v>9209</v>
      </c>
      <c r="Q14" s="135">
        <f t="shared" si="6"/>
        <v>18415</v>
      </c>
      <c r="R14" s="83">
        <f t="shared" si="7"/>
        <v>0</v>
      </c>
      <c r="S14" s="87">
        <f t="shared" si="8"/>
        <v>18415</v>
      </c>
      <c r="T14" s="88">
        <f t="shared" si="9"/>
        <v>18294.104287790698</v>
      </c>
      <c r="U14" s="89">
        <f t="shared" si="10"/>
        <v>0.91047046802662035</v>
      </c>
      <c r="V14" s="89">
        <f t="shared" si="11"/>
        <v>1.0066084521170018</v>
      </c>
      <c r="W14" s="89">
        <f t="shared" si="12"/>
        <v>1</v>
      </c>
      <c r="X14" s="90">
        <f t="shared" si="13"/>
        <v>0.91648726851851847</v>
      </c>
      <c r="Y14" s="106"/>
      <c r="Z14" s="120">
        <v>0</v>
      </c>
      <c r="AA14" s="117"/>
      <c r="AB14" s="117"/>
      <c r="AC14" s="117"/>
      <c r="AD14" s="118"/>
      <c r="AE14" s="110">
        <f>Table24[[#This Row],[H. จำนวนชิ้น
งานทั้งหมด
ที่ผลิตได้ 
(Total Count)]]/512*1</f>
        <v>35.966796875</v>
      </c>
      <c r="AF14" s="111">
        <f t="shared" si="14"/>
        <v>40.762369791666664</v>
      </c>
      <c r="AG14" s="111">
        <f t="shared" si="15"/>
        <v>20.980631510416668</v>
      </c>
      <c r="AH14" s="111">
        <f t="shared" si="16"/>
        <v>22.179524739583332</v>
      </c>
      <c r="AI14" s="111">
        <v>10</v>
      </c>
      <c r="AJ14" s="112">
        <v>5</v>
      </c>
      <c r="AK14" s="113">
        <v>10</v>
      </c>
      <c r="AL14" s="114">
        <f>SUMIFS(Table1[Column1],Table1[Date],'OEE AHV'!$B14,Table1[M/C],'OEE AHV'!$D14,Table1[Case downtime],'OEE AHV'!AL$2)</f>
        <v>20</v>
      </c>
      <c r="AM14" s="114">
        <f>SUMIFS(Table1[Column1],Table1[Date],'OEE AHV'!$B14,Table1[M/C],'OEE AHV'!$D14,Table1[Case downtime],'OEE AHV'!AM$2)</f>
        <v>0</v>
      </c>
      <c r="AN14" s="114">
        <f>SUMIFS(Table1[Column1],Table1[Date],'OEE AHV'!$B14,Table1[M/C],'OEE AHV'!$D14,Table1[Case downtime],'OEE AHV'!AN$2)</f>
        <v>0</v>
      </c>
      <c r="AO14" s="114">
        <f>SUMIFS(Table1[Column1],Table1[Date],'OEE AHV'!$B14,Table1[M/C],'OEE AHV'!$D14,Table1[Case downtime],'OEE AHV'!AO$2)</f>
        <v>0</v>
      </c>
      <c r="AP14" s="114">
        <f>SUMIFS(Table1[Column1],Table1[Date],'OEE AHV'!$B14,Table1[M/C],'OEE AHV'!$D14,Table1[Case downtime],'OEE AHV'!AP$2)</f>
        <v>0</v>
      </c>
      <c r="AQ14" s="114">
        <f>SUMIFS(Table1[Column1],Table1[Date],'OEE AHV'!$B14,Table1[M/C],'OEE AHV'!$D14,Table1[Case downtime],'OEE AHV'!AQ$2)</f>
        <v>0</v>
      </c>
      <c r="AR14" s="114">
        <f>SUMIFS(Table1[Column1],Table1[Date],'OEE AHV'!$B14,Table1[M/C],'OEE AHV'!$D14,Table1[Case downtime],'OEE AHV'!AR$2)</f>
        <v>0</v>
      </c>
      <c r="AS14" s="114">
        <f>SUMIFS(Table1[Column1],Table1[Date],'OEE AHV'!$B14,Table1[M/C],'OEE AHV'!$D14,Table1[Case downtime],'OEE AHV'!AS$2)</f>
        <v>0</v>
      </c>
      <c r="AT14" s="114">
        <f>SUMIFS(Table1[Column1],Table1[Date],'OEE AHV'!$B14,Table1[M/C],'OEE AHV'!$D14,Table1[Case downtime],'OEE AHV'!AT$2)</f>
        <v>0</v>
      </c>
      <c r="AU14" s="114">
        <f>SUMIFS(Table1[Column1],Table1[Date],'OEE AHV'!$B14,Table1[M/C],'OEE AHV'!$D14,Table1[Case downtime],'OEE AHV'!AU$2)</f>
        <v>0</v>
      </c>
      <c r="AV14" s="114">
        <f>SUMIFS(Table1[Column1],Table1[Date],'OEE AHV'!$B14,Table1[M/C],'OEE AHV'!$D14,Table1[Case downtime],'OEE AHV'!AV$2)</f>
        <v>0</v>
      </c>
      <c r="AW14" s="114">
        <f>SUMIFS(Table1[Column1],Table1[Date],'OEE AHV'!$B14,Table1[M/C],'OEE AHV'!$D14,Table1[Case downtime],'OEE AHV'!AW$2)</f>
        <v>0</v>
      </c>
      <c r="AX14" s="183">
        <f>SUMIFS(Table1[Column1],Table1[Date],'OEE AHV'!$B14,Table1[M/C],'OEE AHV'!$D14,Table1[Case downtime],'OEE AHV'!AX$2)</f>
        <v>0</v>
      </c>
    </row>
    <row r="15" spans="2:50" s="115" customFormat="1" ht="30" hidden="1" customHeight="1">
      <c r="B15" s="91">
        <v>46067</v>
      </c>
      <c r="C15" s="92" t="s">
        <v>136</v>
      </c>
      <c r="D15" s="92" t="s">
        <v>120</v>
      </c>
      <c r="E15" s="80">
        <v>4.3</v>
      </c>
      <c r="F15" s="81">
        <v>24</v>
      </c>
      <c r="G15" s="82">
        <f t="shared" si="0"/>
        <v>1440</v>
      </c>
      <c r="H15" s="82">
        <v>0</v>
      </c>
      <c r="I15" s="82">
        <f t="shared" si="3"/>
        <v>1440</v>
      </c>
      <c r="J15" s="82">
        <f t="shared" si="1"/>
        <v>111.255859375</v>
      </c>
      <c r="K15" s="83">
        <f t="shared" si="2"/>
        <v>0</v>
      </c>
      <c r="L15" s="82">
        <f t="shared" si="4"/>
        <v>111.255859375</v>
      </c>
      <c r="M15" s="84">
        <f t="shared" si="5"/>
        <v>1328.744140625</v>
      </c>
      <c r="N15" s="85">
        <v>9211</v>
      </c>
      <c r="O15" s="82"/>
      <c r="P15" s="84">
        <v>9716</v>
      </c>
      <c r="Q15" s="135">
        <f t="shared" si="6"/>
        <v>18927</v>
      </c>
      <c r="R15" s="83">
        <f t="shared" si="7"/>
        <v>5</v>
      </c>
      <c r="S15" s="87">
        <f t="shared" si="8"/>
        <v>18922</v>
      </c>
      <c r="T15" s="88">
        <f t="shared" si="9"/>
        <v>18540.615915697676</v>
      </c>
      <c r="U15" s="89">
        <f t="shared" si="10"/>
        <v>0.92273898654513886</v>
      </c>
      <c r="V15" s="89">
        <f t="shared" si="11"/>
        <v>1.0208398731767689</v>
      </c>
      <c r="W15" s="89">
        <f t="shared" si="12"/>
        <v>0.99973582712527076</v>
      </c>
      <c r="X15" s="90">
        <f t="shared" si="13"/>
        <v>0.9417199074074073</v>
      </c>
      <c r="Y15" s="106"/>
      <c r="Z15" s="120">
        <v>5</v>
      </c>
      <c r="AA15" s="117"/>
      <c r="AB15" s="117"/>
      <c r="AC15" s="117"/>
      <c r="AD15" s="118"/>
      <c r="AE15" s="110">
        <f>Table24[[#This Row],[H. จำนวนชิ้น
งานทั้งหมด
ที่ผลิตได้ 
(Total Count)]]/512*1</f>
        <v>36.966796875</v>
      </c>
      <c r="AF15" s="111">
        <f t="shared" si="14"/>
        <v>41.895703124999997</v>
      </c>
      <c r="AG15" s="111">
        <f t="shared" si="15"/>
        <v>21.56396484375</v>
      </c>
      <c r="AH15" s="111">
        <f t="shared" si="16"/>
        <v>22.796191406249999</v>
      </c>
      <c r="AI15" s="111">
        <v>10</v>
      </c>
      <c r="AJ15" s="112">
        <v>5</v>
      </c>
      <c r="AK15" s="113">
        <v>10</v>
      </c>
      <c r="AL15" s="114">
        <f>SUMIFS(Table1[Column1],Table1[Date],'OEE AHV'!$B15,Table1[M/C],'OEE AHV'!$D15,Table1[Case downtime],'OEE AHV'!AL$2)</f>
        <v>0</v>
      </c>
      <c r="AM15" s="114">
        <f>SUMIFS(Table1[Column1],Table1[Date],'OEE AHV'!$B15,Table1[M/C],'OEE AHV'!$D15,Table1[Case downtime],'OEE AHV'!AM$2)</f>
        <v>0</v>
      </c>
      <c r="AN15" s="114">
        <f>SUMIFS(Table1[Column1],Table1[Date],'OEE AHV'!$B15,Table1[M/C],'OEE AHV'!$D15,Table1[Case downtime],'OEE AHV'!AN$2)</f>
        <v>0</v>
      </c>
      <c r="AO15" s="114">
        <f>SUMIFS(Table1[Column1],Table1[Date],'OEE AHV'!$B15,Table1[M/C],'OEE AHV'!$D15,Table1[Case downtime],'OEE AHV'!AO$2)</f>
        <v>0</v>
      </c>
      <c r="AP15" s="114">
        <f>SUMIFS(Table1[Column1],Table1[Date],'OEE AHV'!$B15,Table1[M/C],'OEE AHV'!$D15,Table1[Case downtime],'OEE AHV'!AP$2)</f>
        <v>0</v>
      </c>
      <c r="AQ15" s="114">
        <f>SUMIFS(Table1[Column1],Table1[Date],'OEE AHV'!$B15,Table1[M/C],'OEE AHV'!$D15,Table1[Case downtime],'OEE AHV'!AQ$2)</f>
        <v>0</v>
      </c>
      <c r="AR15" s="114">
        <f>SUMIFS(Table1[Column1],Table1[Date],'OEE AHV'!$B15,Table1[M/C],'OEE AHV'!$D15,Table1[Case downtime],'OEE AHV'!AR$2)</f>
        <v>0</v>
      </c>
      <c r="AS15" s="114">
        <f>SUMIFS(Table1[Column1],Table1[Date],'OEE AHV'!$B15,Table1[M/C],'OEE AHV'!$D15,Table1[Case downtime],'OEE AHV'!AS$2)</f>
        <v>0</v>
      </c>
      <c r="AT15" s="114">
        <f>SUMIFS(Table1[Column1],Table1[Date],'OEE AHV'!$B15,Table1[M/C],'OEE AHV'!$D15,Table1[Case downtime],'OEE AHV'!AT$2)</f>
        <v>0</v>
      </c>
      <c r="AU15" s="114">
        <f>SUMIFS(Table1[Column1],Table1[Date],'OEE AHV'!$B15,Table1[M/C],'OEE AHV'!$D15,Table1[Case downtime],'OEE AHV'!AU$2)</f>
        <v>0</v>
      </c>
      <c r="AV15" s="114">
        <f>SUMIFS(Table1[Column1],Table1[Date],'OEE AHV'!$B15,Table1[M/C],'OEE AHV'!$D15,Table1[Case downtime],'OEE AHV'!AV$2)</f>
        <v>0</v>
      </c>
      <c r="AW15" s="114">
        <f>SUMIFS(Table1[Column1],Table1[Date],'OEE AHV'!$B15,Table1[M/C],'OEE AHV'!$D15,Table1[Case downtime],'OEE AHV'!AW$2)</f>
        <v>0</v>
      </c>
      <c r="AX15" s="183">
        <f>SUMIFS(Table1[Column1],Table1[Date],'OEE AHV'!$B15,Table1[M/C],'OEE AHV'!$D15,Table1[Case downtime],'OEE AHV'!AX$2)</f>
        <v>0</v>
      </c>
    </row>
    <row r="16" spans="2:50" s="115" customFormat="1" ht="30" hidden="1" customHeight="1">
      <c r="B16" s="91">
        <v>46069</v>
      </c>
      <c r="C16" s="92" t="s">
        <v>136</v>
      </c>
      <c r="D16" s="92" t="s">
        <v>120</v>
      </c>
      <c r="E16" s="80">
        <v>4.3</v>
      </c>
      <c r="F16" s="81">
        <v>24</v>
      </c>
      <c r="G16" s="82">
        <f t="shared" si="0"/>
        <v>1440</v>
      </c>
      <c r="H16" s="82">
        <v>0</v>
      </c>
      <c r="I16" s="82">
        <f t="shared" si="3"/>
        <v>1440</v>
      </c>
      <c r="J16" s="82">
        <f t="shared" si="1"/>
        <v>106.54361979166666</v>
      </c>
      <c r="K16" s="83">
        <f t="shared" si="2"/>
        <v>0</v>
      </c>
      <c r="L16" s="82">
        <f t="shared" si="4"/>
        <v>106.54361979166666</v>
      </c>
      <c r="M16" s="84">
        <f t="shared" si="5"/>
        <v>1333.4563802083333</v>
      </c>
      <c r="N16" s="127">
        <v>8683</v>
      </c>
      <c r="O16" s="128"/>
      <c r="P16" s="129">
        <v>9210</v>
      </c>
      <c r="Q16" s="135">
        <f t="shared" si="6"/>
        <v>17893</v>
      </c>
      <c r="R16" s="83">
        <f t="shared" si="7"/>
        <v>0</v>
      </c>
      <c r="S16" s="87">
        <f t="shared" si="8"/>
        <v>17893</v>
      </c>
      <c r="T16" s="88">
        <f t="shared" si="9"/>
        <v>18606.368095930233</v>
      </c>
      <c r="U16" s="89">
        <f t="shared" si="10"/>
        <v>0.92601137514467591</v>
      </c>
      <c r="V16" s="89">
        <f t="shared" si="11"/>
        <v>0.96166000305635857</v>
      </c>
      <c r="W16" s="89">
        <f t="shared" si="12"/>
        <v>1</v>
      </c>
      <c r="X16" s="90">
        <f t="shared" si="13"/>
        <v>0.89050810185185181</v>
      </c>
      <c r="Y16" s="106"/>
      <c r="Z16" s="121">
        <v>0</v>
      </c>
      <c r="AA16" s="108"/>
      <c r="AB16" s="108"/>
      <c r="AC16" s="108"/>
      <c r="AD16" s="109"/>
      <c r="AE16" s="110">
        <f>Table24[[#This Row],[H. จำนวนชิ้น
งานทั้งหมด
ที่ผลิตได้ 
(Total Count)]]/512*1</f>
        <v>34.947265625</v>
      </c>
      <c r="AF16" s="111">
        <f t="shared" si="14"/>
        <v>39.606901041666667</v>
      </c>
      <c r="AG16" s="111">
        <f t="shared" si="15"/>
        <v>20.385904947916668</v>
      </c>
      <c r="AH16" s="111">
        <f t="shared" si="16"/>
        <v>21.550813802083333</v>
      </c>
      <c r="AI16" s="111">
        <v>10</v>
      </c>
      <c r="AJ16" s="112">
        <v>5</v>
      </c>
      <c r="AK16" s="113">
        <v>10</v>
      </c>
      <c r="AL16" s="114">
        <f>SUMIFS(Table1[Column1],Table1[Date],'OEE AHV'!$B16,Table1[M/C],'OEE AHV'!$D16,Table1[Case downtime],'OEE AHV'!AL$2)</f>
        <v>0</v>
      </c>
      <c r="AM16" s="114">
        <f>SUMIFS(Table1[Column1],Table1[Date],'OEE AHV'!$B16,Table1[M/C],'OEE AHV'!$D16,Table1[Case downtime],'OEE AHV'!AM$2)</f>
        <v>0</v>
      </c>
      <c r="AN16" s="114">
        <f>SUMIFS(Table1[Column1],Table1[Date],'OEE AHV'!$B16,Table1[M/C],'OEE AHV'!$D16,Table1[Case downtime],'OEE AHV'!AN$2)</f>
        <v>0</v>
      </c>
      <c r="AO16" s="114">
        <f>SUMIFS(Table1[Column1],Table1[Date],'OEE AHV'!$B16,Table1[M/C],'OEE AHV'!$D16,Table1[Case downtime],'OEE AHV'!AO$2)</f>
        <v>0</v>
      </c>
      <c r="AP16" s="114">
        <f>SUMIFS(Table1[Column1],Table1[Date],'OEE AHV'!$B16,Table1[M/C],'OEE AHV'!$D16,Table1[Case downtime],'OEE AHV'!AP$2)</f>
        <v>0</v>
      </c>
      <c r="AQ16" s="114">
        <f>SUMIFS(Table1[Column1],Table1[Date],'OEE AHV'!$B16,Table1[M/C],'OEE AHV'!$D16,Table1[Case downtime],'OEE AHV'!AQ$2)</f>
        <v>0</v>
      </c>
      <c r="AR16" s="114">
        <f>SUMIFS(Table1[Column1],Table1[Date],'OEE AHV'!$B16,Table1[M/C],'OEE AHV'!$D16,Table1[Case downtime],'OEE AHV'!AR$2)</f>
        <v>0</v>
      </c>
      <c r="AS16" s="114">
        <f>SUMIFS(Table1[Column1],Table1[Date],'OEE AHV'!$B16,Table1[M/C],'OEE AHV'!$D16,Table1[Case downtime],'OEE AHV'!AS$2)</f>
        <v>0</v>
      </c>
      <c r="AT16" s="114">
        <f>SUMIFS(Table1[Column1],Table1[Date],'OEE AHV'!$B16,Table1[M/C],'OEE AHV'!$D16,Table1[Case downtime],'OEE AHV'!AT$2)</f>
        <v>0</v>
      </c>
      <c r="AU16" s="114">
        <f>SUMIFS(Table1[Column1],Table1[Date],'OEE AHV'!$B16,Table1[M/C],'OEE AHV'!$D16,Table1[Case downtime],'OEE AHV'!AU$2)</f>
        <v>0</v>
      </c>
      <c r="AV16" s="114">
        <f>SUMIFS(Table1[Column1],Table1[Date],'OEE AHV'!$B16,Table1[M/C],'OEE AHV'!$D16,Table1[Case downtime],'OEE AHV'!AV$2)</f>
        <v>0</v>
      </c>
      <c r="AW16" s="114">
        <f>SUMIFS(Table1[Column1],Table1[Date],'OEE AHV'!$B16,Table1[M/C],'OEE AHV'!$D16,Table1[Case downtime],'OEE AHV'!AW$2)</f>
        <v>0</v>
      </c>
      <c r="AX16" s="183">
        <f>SUMIFS(Table1[Column1],Table1[Date],'OEE AHV'!$B16,Table1[M/C],'OEE AHV'!$D16,Table1[Case downtime],'OEE AHV'!AX$2)</f>
        <v>0</v>
      </c>
    </row>
    <row r="17" spans="2:50" s="115" customFormat="1" ht="30" hidden="1" customHeight="1">
      <c r="B17" s="91">
        <v>46070</v>
      </c>
      <c r="C17" s="92" t="s">
        <v>136</v>
      </c>
      <c r="D17" s="92" t="s">
        <v>120</v>
      </c>
      <c r="E17" s="80">
        <v>4.3</v>
      </c>
      <c r="F17" s="81">
        <v>24</v>
      </c>
      <c r="G17" s="82">
        <f t="shared" si="0"/>
        <v>1440</v>
      </c>
      <c r="H17" s="82">
        <v>0</v>
      </c>
      <c r="I17" s="82">
        <f t="shared" si="3"/>
        <v>1440</v>
      </c>
      <c r="J17" s="82">
        <f t="shared" si="1"/>
        <v>108.96354166666667</v>
      </c>
      <c r="K17" s="83">
        <f t="shared" si="2"/>
        <v>74</v>
      </c>
      <c r="L17" s="82">
        <f t="shared" si="4"/>
        <v>182.96354166666669</v>
      </c>
      <c r="M17" s="84">
        <f t="shared" si="5"/>
        <v>1257.0364583333333</v>
      </c>
      <c r="N17" s="85">
        <v>9724</v>
      </c>
      <c r="O17" s="82"/>
      <c r="P17" s="84">
        <v>8700</v>
      </c>
      <c r="Q17" s="135">
        <f t="shared" si="6"/>
        <v>18424</v>
      </c>
      <c r="R17" s="83">
        <f t="shared" si="7"/>
        <v>1</v>
      </c>
      <c r="S17" s="87">
        <f t="shared" si="8"/>
        <v>18423</v>
      </c>
      <c r="T17" s="88">
        <f t="shared" si="9"/>
        <v>17540.043604651164</v>
      </c>
      <c r="U17" s="89">
        <f t="shared" si="10"/>
        <v>0.87294198495370368</v>
      </c>
      <c r="V17" s="89">
        <f t="shared" si="11"/>
        <v>1.0503964765010296</v>
      </c>
      <c r="W17" s="89">
        <f t="shared" si="12"/>
        <v>0.99994572297003903</v>
      </c>
      <c r="X17" s="90">
        <f t="shared" si="13"/>
        <v>0.91688541666666656</v>
      </c>
      <c r="Y17" s="106"/>
      <c r="Z17" s="120">
        <v>1</v>
      </c>
      <c r="AA17" s="117"/>
      <c r="AB17" s="117"/>
      <c r="AC17" s="117"/>
      <c r="AD17" s="118"/>
      <c r="AE17" s="110">
        <f>Table24[[#This Row],[H. จำนวนชิ้น
งานทั้งหมด
ที่ผลิตได้ 
(Total Count)]]/512*1</f>
        <v>35.984375</v>
      </c>
      <c r="AF17" s="111">
        <f t="shared" si="14"/>
        <v>40.782291666666666</v>
      </c>
      <c r="AG17" s="111">
        <f t="shared" si="15"/>
        <v>20.990885416666668</v>
      </c>
      <c r="AH17" s="111">
        <f t="shared" si="16"/>
        <v>22.190364583333334</v>
      </c>
      <c r="AI17" s="111">
        <v>10</v>
      </c>
      <c r="AJ17" s="112">
        <v>5</v>
      </c>
      <c r="AK17" s="113">
        <v>10</v>
      </c>
      <c r="AL17" s="114">
        <f>SUMIFS(Table1[Column1],Table1[Date],'OEE AHV'!$B17,Table1[M/C],'OEE AHV'!$D17,Table1[Case downtime],'OEE AHV'!AL$2)</f>
        <v>0</v>
      </c>
      <c r="AM17" s="114">
        <f>SUMIFS(Table1[Column1],Table1[Date],'OEE AHV'!$B17,Table1[M/C],'OEE AHV'!$D17,Table1[Case downtime],'OEE AHV'!AM$2)</f>
        <v>0</v>
      </c>
      <c r="AN17" s="114">
        <f>SUMIFS(Table1[Column1],Table1[Date],'OEE AHV'!$B17,Table1[M/C],'OEE AHV'!$D17,Table1[Case downtime],'OEE AHV'!AN$2)</f>
        <v>0</v>
      </c>
      <c r="AO17" s="114">
        <f>SUMIFS(Table1[Column1],Table1[Date],'OEE AHV'!$B17,Table1[M/C],'OEE AHV'!$D17,Table1[Case downtime],'OEE AHV'!AO$2)</f>
        <v>0</v>
      </c>
      <c r="AP17" s="114">
        <f>SUMIFS(Table1[Column1],Table1[Date],'OEE AHV'!$B17,Table1[M/C],'OEE AHV'!$D17,Table1[Case downtime],'OEE AHV'!AP$2)</f>
        <v>0</v>
      </c>
      <c r="AQ17" s="114">
        <f>SUMIFS(Table1[Column1],Table1[Date],'OEE AHV'!$B17,Table1[M/C],'OEE AHV'!$D17,Table1[Case downtime],'OEE AHV'!AQ$2)</f>
        <v>0</v>
      </c>
      <c r="AR17" s="114">
        <f>SUMIFS(Table1[Column1],Table1[Date],'OEE AHV'!$B17,Table1[M/C],'OEE AHV'!$D17,Table1[Case downtime],'OEE AHV'!AR$2)</f>
        <v>0</v>
      </c>
      <c r="AS17" s="114">
        <f>SUMIFS(Table1[Column1],Table1[Date],'OEE AHV'!$B17,Table1[M/C],'OEE AHV'!$D17,Table1[Case downtime],'OEE AHV'!AS$2)</f>
        <v>0</v>
      </c>
      <c r="AT17" s="114">
        <f>SUMIFS(Table1[Column1],Table1[Date],'OEE AHV'!$B17,Table1[M/C],'OEE AHV'!$D17,Table1[Case downtime],'OEE AHV'!AT$2)</f>
        <v>0</v>
      </c>
      <c r="AU17" s="114">
        <f>SUMIFS(Table1[Column1],Table1[Date],'OEE AHV'!$B17,Table1[M/C],'OEE AHV'!$D17,Table1[Case downtime],'OEE AHV'!AU$2)</f>
        <v>0</v>
      </c>
      <c r="AV17" s="114">
        <f>SUMIFS(Table1[Column1],Table1[Date],'OEE AHV'!$B17,Table1[M/C],'OEE AHV'!$D17,Table1[Case downtime],'OEE AHV'!AV$2)</f>
        <v>74</v>
      </c>
      <c r="AW17" s="114">
        <f>SUMIFS(Table1[Column1],Table1[Date],'OEE AHV'!$B17,Table1[M/C],'OEE AHV'!$D17,Table1[Case downtime],'OEE AHV'!AW$2)</f>
        <v>0</v>
      </c>
      <c r="AX17" s="183">
        <f>SUMIFS(Table1[Column1],Table1[Date],'OEE AHV'!$B17,Table1[M/C],'OEE AHV'!$D17,Table1[Case downtime],'OEE AHV'!AX$2)</f>
        <v>0</v>
      </c>
    </row>
    <row r="18" spans="2:50" s="115" customFormat="1" ht="30" hidden="1" customHeight="1">
      <c r="B18" s="91">
        <v>46071</v>
      </c>
      <c r="C18" s="92" t="s">
        <v>136</v>
      </c>
      <c r="D18" s="92" t="s">
        <v>120</v>
      </c>
      <c r="E18" s="80">
        <v>4.3</v>
      </c>
      <c r="F18" s="81">
        <v>24</v>
      </c>
      <c r="G18" s="82">
        <f t="shared" si="0"/>
        <v>1440</v>
      </c>
      <c r="H18" s="82">
        <v>0</v>
      </c>
      <c r="I18" s="82">
        <f t="shared" si="3"/>
        <v>1440</v>
      </c>
      <c r="J18" s="82">
        <f t="shared" si="1"/>
        <v>106.63020833333334</v>
      </c>
      <c r="K18" s="83">
        <f t="shared" si="2"/>
        <v>69</v>
      </c>
      <c r="L18" s="82">
        <f t="shared" si="4"/>
        <v>175.63020833333334</v>
      </c>
      <c r="M18" s="84">
        <f t="shared" si="5"/>
        <v>1264.3697916666667</v>
      </c>
      <c r="N18" s="85">
        <v>8188</v>
      </c>
      <c r="O18" s="82"/>
      <c r="P18" s="84">
        <v>9724</v>
      </c>
      <c r="Q18" s="135">
        <f t="shared" si="6"/>
        <v>17912</v>
      </c>
      <c r="R18" s="83">
        <f t="shared" si="7"/>
        <v>1</v>
      </c>
      <c r="S18" s="87">
        <f t="shared" si="8"/>
        <v>17911</v>
      </c>
      <c r="T18" s="88">
        <f t="shared" si="9"/>
        <v>17642.369186046511</v>
      </c>
      <c r="U18" s="89">
        <f t="shared" si="10"/>
        <v>0.87803457754629632</v>
      </c>
      <c r="V18" s="89">
        <f t="shared" si="11"/>
        <v>1.0152831408928196</v>
      </c>
      <c r="W18" s="89">
        <f t="shared" si="12"/>
        <v>0.99994417150513626</v>
      </c>
      <c r="X18" s="90">
        <f t="shared" si="13"/>
        <v>0.89140393518518524</v>
      </c>
      <c r="Y18" s="106"/>
      <c r="Z18" s="120">
        <v>1</v>
      </c>
      <c r="AA18" s="117"/>
      <c r="AB18" s="117"/>
      <c r="AC18" s="117"/>
      <c r="AD18" s="118"/>
      <c r="AE18" s="110">
        <f>Table24[[#This Row],[H. จำนวนชิ้น
งานทั้งหมด
ที่ผลิตได้ 
(Total Count)]]/512*1</f>
        <v>34.984375</v>
      </c>
      <c r="AF18" s="111">
        <f t="shared" si="14"/>
        <v>39.648958333333333</v>
      </c>
      <c r="AG18" s="111">
        <f t="shared" si="15"/>
        <v>20.407552083333332</v>
      </c>
      <c r="AH18" s="111">
        <f t="shared" si="16"/>
        <v>21.573697916666667</v>
      </c>
      <c r="AI18" s="111">
        <v>10</v>
      </c>
      <c r="AJ18" s="112">
        <v>5</v>
      </c>
      <c r="AK18" s="113">
        <v>10</v>
      </c>
      <c r="AL18" s="114">
        <f>SUMIFS(Table1[Column1],Table1[Date],'OEE AHV'!$B18,Table1[M/C],'OEE AHV'!$D18,Table1[Case downtime],'OEE AHV'!AL$2)</f>
        <v>69</v>
      </c>
      <c r="AM18" s="114">
        <f>SUMIFS(Table1[Column1],Table1[Date],'OEE AHV'!$B18,Table1[M/C],'OEE AHV'!$D18,Table1[Case downtime],'OEE AHV'!AM$2)</f>
        <v>0</v>
      </c>
      <c r="AN18" s="114">
        <f>SUMIFS(Table1[Column1],Table1[Date],'OEE AHV'!$B18,Table1[M/C],'OEE AHV'!$D18,Table1[Case downtime],'OEE AHV'!AN$2)</f>
        <v>0</v>
      </c>
      <c r="AO18" s="114">
        <f>SUMIFS(Table1[Column1],Table1[Date],'OEE AHV'!$B18,Table1[M/C],'OEE AHV'!$D18,Table1[Case downtime],'OEE AHV'!AO$2)</f>
        <v>0</v>
      </c>
      <c r="AP18" s="114">
        <f>SUMIFS(Table1[Column1],Table1[Date],'OEE AHV'!$B18,Table1[M/C],'OEE AHV'!$D18,Table1[Case downtime],'OEE AHV'!AP$2)</f>
        <v>0</v>
      </c>
      <c r="AQ18" s="114">
        <f>SUMIFS(Table1[Column1],Table1[Date],'OEE AHV'!$B18,Table1[M/C],'OEE AHV'!$D18,Table1[Case downtime],'OEE AHV'!AQ$2)</f>
        <v>0</v>
      </c>
      <c r="AR18" s="114">
        <f>SUMIFS(Table1[Column1],Table1[Date],'OEE AHV'!$B18,Table1[M/C],'OEE AHV'!$D18,Table1[Case downtime],'OEE AHV'!AR$2)</f>
        <v>0</v>
      </c>
      <c r="AS18" s="114">
        <f>SUMIFS(Table1[Column1],Table1[Date],'OEE AHV'!$B18,Table1[M/C],'OEE AHV'!$D18,Table1[Case downtime],'OEE AHV'!AS$2)</f>
        <v>0</v>
      </c>
      <c r="AT18" s="114">
        <f>SUMIFS(Table1[Column1],Table1[Date],'OEE AHV'!$B18,Table1[M/C],'OEE AHV'!$D18,Table1[Case downtime],'OEE AHV'!AT$2)</f>
        <v>0</v>
      </c>
      <c r="AU18" s="114">
        <f>SUMIFS(Table1[Column1],Table1[Date],'OEE AHV'!$B18,Table1[M/C],'OEE AHV'!$D18,Table1[Case downtime],'OEE AHV'!AU$2)</f>
        <v>0</v>
      </c>
      <c r="AV18" s="114">
        <f>SUMIFS(Table1[Column1],Table1[Date],'OEE AHV'!$B18,Table1[M/C],'OEE AHV'!$D18,Table1[Case downtime],'OEE AHV'!AV$2)</f>
        <v>0</v>
      </c>
      <c r="AW18" s="114">
        <f>SUMIFS(Table1[Column1],Table1[Date],'OEE AHV'!$B18,Table1[M/C],'OEE AHV'!$D18,Table1[Case downtime],'OEE AHV'!AW$2)</f>
        <v>0</v>
      </c>
      <c r="AX18" s="183">
        <f>SUMIFS(Table1[Column1],Table1[Date],'OEE AHV'!$B18,Table1[M/C],'OEE AHV'!$D18,Table1[Case downtime],'OEE AHV'!AX$2)</f>
        <v>0</v>
      </c>
    </row>
    <row r="19" spans="2:50" s="115" customFormat="1" ht="30" hidden="1" customHeight="1">
      <c r="B19" s="91">
        <v>46072</v>
      </c>
      <c r="C19" s="92" t="s">
        <v>136</v>
      </c>
      <c r="D19" s="92" t="s">
        <v>120</v>
      </c>
      <c r="E19" s="80">
        <v>4.3</v>
      </c>
      <c r="F19" s="81">
        <v>24</v>
      </c>
      <c r="G19" s="82">
        <f t="shared" si="0"/>
        <v>1440</v>
      </c>
      <c r="H19" s="82">
        <v>0</v>
      </c>
      <c r="I19" s="82">
        <f t="shared" si="3"/>
        <v>1440</v>
      </c>
      <c r="J19" s="82">
        <f t="shared" si="1"/>
        <v>106.59375</v>
      </c>
      <c r="K19" s="83">
        <f t="shared" si="2"/>
        <v>90</v>
      </c>
      <c r="L19" s="82">
        <f t="shared" si="4"/>
        <v>196.59375</v>
      </c>
      <c r="M19" s="84">
        <f t="shared" si="5"/>
        <v>1243.40625</v>
      </c>
      <c r="N19" s="85">
        <v>9720</v>
      </c>
      <c r="O19" s="82"/>
      <c r="P19" s="84">
        <v>8184</v>
      </c>
      <c r="Q19" s="135">
        <f t="shared" si="6"/>
        <v>17904</v>
      </c>
      <c r="R19" s="83">
        <f t="shared" si="7"/>
        <v>3</v>
      </c>
      <c r="S19" s="87">
        <f t="shared" si="8"/>
        <v>17901</v>
      </c>
      <c r="T19" s="88">
        <f t="shared" si="9"/>
        <v>17349.85465116279</v>
      </c>
      <c r="U19" s="89">
        <f t="shared" si="10"/>
        <v>0.86347656250000004</v>
      </c>
      <c r="V19" s="89">
        <f t="shared" si="11"/>
        <v>1.0319394807610145</v>
      </c>
      <c r="W19" s="89">
        <f t="shared" si="12"/>
        <v>0.99983243967828417</v>
      </c>
      <c r="X19" s="90">
        <f t="shared" si="13"/>
        <v>0.89090625000000012</v>
      </c>
      <c r="Y19" s="106"/>
      <c r="Z19" s="120">
        <v>3</v>
      </c>
      <c r="AA19" s="117"/>
      <c r="AB19" s="117"/>
      <c r="AC19" s="117"/>
      <c r="AD19" s="118"/>
      <c r="AE19" s="110">
        <f>Table24[[#This Row],[H. จำนวนชิ้น
งานทั้งหมด
ที่ผลิตได้ 
(Total Count)]]/512*1</f>
        <v>34.96875</v>
      </c>
      <c r="AF19" s="111">
        <f t="shared" si="14"/>
        <v>39.631250000000001</v>
      </c>
      <c r="AG19" s="111">
        <f t="shared" si="15"/>
        <v>20.3984375</v>
      </c>
      <c r="AH19" s="111">
        <f t="shared" si="16"/>
        <v>21.564062499999999</v>
      </c>
      <c r="AI19" s="111">
        <v>10</v>
      </c>
      <c r="AJ19" s="112">
        <v>5</v>
      </c>
      <c r="AK19" s="113">
        <v>10</v>
      </c>
      <c r="AL19" s="114">
        <f>SUMIFS(Table1[Column1],Table1[Date],'OEE AHV'!$B19,Table1[M/C],'OEE AHV'!$D19,Table1[Case downtime],'OEE AHV'!AL$2)</f>
        <v>90</v>
      </c>
      <c r="AM19" s="114">
        <f>SUMIFS(Table1[Column1],Table1[Date],'OEE AHV'!$B19,Table1[M/C],'OEE AHV'!$D19,Table1[Case downtime],'OEE AHV'!AM$2)</f>
        <v>0</v>
      </c>
      <c r="AN19" s="114">
        <f>SUMIFS(Table1[Column1],Table1[Date],'OEE AHV'!$B19,Table1[M/C],'OEE AHV'!$D19,Table1[Case downtime],'OEE AHV'!AN$2)</f>
        <v>0</v>
      </c>
      <c r="AO19" s="114">
        <f>SUMIFS(Table1[Column1],Table1[Date],'OEE AHV'!$B19,Table1[M/C],'OEE AHV'!$D19,Table1[Case downtime],'OEE AHV'!AO$2)</f>
        <v>0</v>
      </c>
      <c r="AP19" s="114">
        <f>SUMIFS(Table1[Column1],Table1[Date],'OEE AHV'!$B19,Table1[M/C],'OEE AHV'!$D19,Table1[Case downtime],'OEE AHV'!AP$2)</f>
        <v>0</v>
      </c>
      <c r="AQ19" s="114">
        <f>SUMIFS(Table1[Column1],Table1[Date],'OEE AHV'!$B19,Table1[M/C],'OEE AHV'!$D19,Table1[Case downtime],'OEE AHV'!AQ$2)</f>
        <v>0</v>
      </c>
      <c r="AR19" s="114">
        <f>SUMIFS(Table1[Column1],Table1[Date],'OEE AHV'!$B19,Table1[M/C],'OEE AHV'!$D19,Table1[Case downtime],'OEE AHV'!AR$2)</f>
        <v>0</v>
      </c>
      <c r="AS19" s="114">
        <f>SUMIFS(Table1[Column1],Table1[Date],'OEE AHV'!$B19,Table1[M/C],'OEE AHV'!$D19,Table1[Case downtime],'OEE AHV'!AS$2)</f>
        <v>0</v>
      </c>
      <c r="AT19" s="114">
        <f>SUMIFS(Table1[Column1],Table1[Date],'OEE AHV'!$B19,Table1[M/C],'OEE AHV'!$D19,Table1[Case downtime],'OEE AHV'!AT$2)</f>
        <v>0</v>
      </c>
      <c r="AU19" s="114">
        <f>SUMIFS(Table1[Column1],Table1[Date],'OEE AHV'!$B19,Table1[M/C],'OEE AHV'!$D19,Table1[Case downtime],'OEE AHV'!AU$2)</f>
        <v>0</v>
      </c>
      <c r="AV19" s="114">
        <f>SUMIFS(Table1[Column1],Table1[Date],'OEE AHV'!$B19,Table1[M/C],'OEE AHV'!$D19,Table1[Case downtime],'OEE AHV'!AV$2)</f>
        <v>0</v>
      </c>
      <c r="AW19" s="114">
        <f>SUMIFS(Table1[Column1],Table1[Date],'OEE AHV'!$B19,Table1[M/C],'OEE AHV'!$D19,Table1[Case downtime],'OEE AHV'!AW$2)</f>
        <v>0</v>
      </c>
      <c r="AX19" s="183">
        <f>SUMIFS(Table1[Column1],Table1[Date],'OEE AHV'!$B19,Table1[M/C],'OEE AHV'!$D19,Table1[Case downtime],'OEE AHV'!AX$2)</f>
        <v>0</v>
      </c>
    </row>
    <row r="20" spans="2:50" s="115" customFormat="1" ht="30" hidden="1" customHeight="1">
      <c r="B20" s="91">
        <v>46073</v>
      </c>
      <c r="C20" s="92" t="s">
        <v>136</v>
      </c>
      <c r="D20" s="92" t="s">
        <v>120</v>
      </c>
      <c r="E20" s="80">
        <v>4.3</v>
      </c>
      <c r="F20" s="81">
        <v>24</v>
      </c>
      <c r="G20" s="82">
        <f t="shared" si="0"/>
        <v>1440</v>
      </c>
      <c r="H20" s="82">
        <v>0</v>
      </c>
      <c r="I20" s="82">
        <f t="shared" si="3"/>
        <v>1440</v>
      </c>
      <c r="J20" s="82">
        <f t="shared" si="1"/>
        <v>104.29231770833333</v>
      </c>
      <c r="K20" s="83">
        <f t="shared" si="2"/>
        <v>109</v>
      </c>
      <c r="L20" s="82">
        <f t="shared" si="4"/>
        <v>213.29231770833331</v>
      </c>
      <c r="M20" s="84">
        <f t="shared" si="5"/>
        <v>1226.7076822916667</v>
      </c>
      <c r="N20" s="85">
        <v>8700</v>
      </c>
      <c r="O20" s="82"/>
      <c r="P20" s="84">
        <v>8699</v>
      </c>
      <c r="Q20" s="135">
        <f t="shared" si="6"/>
        <v>17399</v>
      </c>
      <c r="R20" s="83">
        <f t="shared" si="7"/>
        <v>4</v>
      </c>
      <c r="S20" s="87">
        <f t="shared" si="8"/>
        <v>17395</v>
      </c>
      <c r="T20" s="88">
        <f t="shared" si="9"/>
        <v>17116.851380813954</v>
      </c>
      <c r="U20" s="89">
        <f t="shared" si="10"/>
        <v>0.85188033492476856</v>
      </c>
      <c r="V20" s="89">
        <f t="shared" si="11"/>
        <v>1.01648367523377</v>
      </c>
      <c r="W20" s="89">
        <f t="shared" si="12"/>
        <v>0.99977010172998448</v>
      </c>
      <c r="X20" s="90">
        <f t="shared" si="13"/>
        <v>0.86572337962962964</v>
      </c>
      <c r="Y20" s="106"/>
      <c r="Z20" s="120">
        <v>4</v>
      </c>
      <c r="AA20" s="117"/>
      <c r="AB20" s="117"/>
      <c r="AC20" s="117"/>
      <c r="AD20" s="118"/>
      <c r="AE20" s="110">
        <f>Table24[[#This Row],[H. จำนวนชิ้น
งานทั้งหมด
ที่ผลิตได้ 
(Total Count)]]/512*1</f>
        <v>33.982421875</v>
      </c>
      <c r="AF20" s="111">
        <f t="shared" si="14"/>
        <v>38.51341145833333</v>
      </c>
      <c r="AG20" s="111">
        <f t="shared" si="15"/>
        <v>19.823079427083332</v>
      </c>
      <c r="AH20" s="111">
        <f t="shared" si="16"/>
        <v>20.955826822916666</v>
      </c>
      <c r="AI20" s="111">
        <v>10</v>
      </c>
      <c r="AJ20" s="112">
        <v>5</v>
      </c>
      <c r="AK20" s="113">
        <v>10</v>
      </c>
      <c r="AL20" s="114">
        <f>SUMIFS(Table1[Column1],Table1[Date],'OEE AHV'!$B20,Table1[M/C],'OEE AHV'!$D20,Table1[Case downtime],'OEE AHV'!AL$2)</f>
        <v>0</v>
      </c>
      <c r="AM20" s="114">
        <f>SUMIFS(Table1[Column1],Table1[Date],'OEE AHV'!$B20,Table1[M/C],'OEE AHV'!$D20,Table1[Case downtime],'OEE AHV'!AM$2)</f>
        <v>0</v>
      </c>
      <c r="AN20" s="114">
        <f>SUMIFS(Table1[Column1],Table1[Date],'OEE AHV'!$B20,Table1[M/C],'OEE AHV'!$D20,Table1[Case downtime],'OEE AHV'!AN$2)</f>
        <v>0</v>
      </c>
      <c r="AO20" s="114">
        <f>SUMIFS(Table1[Column1],Table1[Date],'OEE AHV'!$B20,Table1[M/C],'OEE AHV'!$D20,Table1[Case downtime],'OEE AHV'!AO$2)</f>
        <v>0</v>
      </c>
      <c r="AP20" s="114">
        <f>SUMIFS(Table1[Column1],Table1[Date],'OEE AHV'!$B20,Table1[M/C],'OEE AHV'!$D20,Table1[Case downtime],'OEE AHV'!AP$2)</f>
        <v>0</v>
      </c>
      <c r="AQ20" s="114">
        <f>SUMIFS(Table1[Column1],Table1[Date],'OEE AHV'!$B20,Table1[M/C],'OEE AHV'!$D20,Table1[Case downtime],'OEE AHV'!AQ$2)</f>
        <v>0</v>
      </c>
      <c r="AR20" s="114">
        <f>SUMIFS(Table1[Column1],Table1[Date],'OEE AHV'!$B20,Table1[M/C],'OEE AHV'!$D20,Table1[Case downtime],'OEE AHV'!AR$2)</f>
        <v>0</v>
      </c>
      <c r="AS20" s="114">
        <f>SUMIFS(Table1[Column1],Table1[Date],'OEE AHV'!$B20,Table1[M/C],'OEE AHV'!$D20,Table1[Case downtime],'OEE AHV'!AS$2)</f>
        <v>0</v>
      </c>
      <c r="AT20" s="114">
        <f>SUMIFS(Table1[Column1],Table1[Date],'OEE AHV'!$B20,Table1[M/C],'OEE AHV'!$D20,Table1[Case downtime],'OEE AHV'!AT$2)</f>
        <v>0</v>
      </c>
      <c r="AU20" s="114">
        <f>SUMIFS(Table1[Column1],Table1[Date],'OEE AHV'!$B20,Table1[M/C],'OEE AHV'!$D20,Table1[Case downtime],'OEE AHV'!AU$2)</f>
        <v>0</v>
      </c>
      <c r="AV20" s="114">
        <f>SUMIFS(Table1[Column1],Table1[Date],'OEE AHV'!$B20,Table1[M/C],'OEE AHV'!$D20,Table1[Case downtime],'OEE AHV'!AV$2)</f>
        <v>109</v>
      </c>
      <c r="AW20" s="114">
        <f>SUMIFS(Table1[Column1],Table1[Date],'OEE AHV'!$B20,Table1[M/C],'OEE AHV'!$D20,Table1[Case downtime],'OEE AHV'!AW$2)</f>
        <v>0</v>
      </c>
      <c r="AX20" s="183">
        <f>SUMIFS(Table1[Column1],Table1[Date],'OEE AHV'!$B20,Table1[M/C],'OEE AHV'!$D20,Table1[Case downtime],'OEE AHV'!AX$2)</f>
        <v>0</v>
      </c>
    </row>
    <row r="21" spans="2:50" s="115" customFormat="1" ht="30" hidden="1" customHeight="1">
      <c r="B21" s="91">
        <v>46074</v>
      </c>
      <c r="C21" s="92" t="s">
        <v>136</v>
      </c>
      <c r="D21" s="92" t="s">
        <v>120</v>
      </c>
      <c r="E21" s="80">
        <v>4.3</v>
      </c>
      <c r="F21" s="81">
        <v>24</v>
      </c>
      <c r="G21" s="82">
        <f t="shared" si="0"/>
        <v>1440</v>
      </c>
      <c r="H21" s="82">
        <v>0</v>
      </c>
      <c r="I21" s="82">
        <f t="shared" si="3"/>
        <v>1440</v>
      </c>
      <c r="J21" s="82">
        <f t="shared" si="1"/>
        <v>106.63020833333334</v>
      </c>
      <c r="K21" s="83">
        <f t="shared" si="2"/>
        <v>60</v>
      </c>
      <c r="L21" s="82">
        <f t="shared" si="4"/>
        <v>166.63020833333334</v>
      </c>
      <c r="M21" s="84">
        <f t="shared" si="5"/>
        <v>1273.3697916666667</v>
      </c>
      <c r="N21" s="85">
        <v>8700</v>
      </c>
      <c r="O21" s="82"/>
      <c r="P21" s="84">
        <v>9212</v>
      </c>
      <c r="Q21" s="135">
        <f t="shared" si="6"/>
        <v>17912</v>
      </c>
      <c r="R21" s="83">
        <f t="shared" si="7"/>
        <v>2</v>
      </c>
      <c r="S21" s="87">
        <f t="shared" si="8"/>
        <v>17910</v>
      </c>
      <c r="T21" s="88">
        <f t="shared" si="9"/>
        <v>17767.950581395351</v>
      </c>
      <c r="U21" s="89">
        <f t="shared" si="10"/>
        <v>0.8842845775462963</v>
      </c>
      <c r="V21" s="89">
        <f t="shared" si="11"/>
        <v>1.0081072613267781</v>
      </c>
      <c r="W21" s="89">
        <f t="shared" si="12"/>
        <v>0.99988834301027241</v>
      </c>
      <c r="X21" s="90">
        <f t="shared" si="13"/>
        <v>0.89135416666666667</v>
      </c>
      <c r="Y21" s="106"/>
      <c r="Z21" s="120">
        <v>2</v>
      </c>
      <c r="AA21" s="117"/>
      <c r="AB21" s="117"/>
      <c r="AC21" s="117"/>
      <c r="AD21" s="118"/>
      <c r="AE21" s="110">
        <f>Table24[[#This Row],[H. จำนวนชิ้น
งานทั้งหมด
ที่ผลิตได้ 
(Total Count)]]/512*1</f>
        <v>34.984375</v>
      </c>
      <c r="AF21" s="111">
        <f t="shared" si="14"/>
        <v>39.648958333333333</v>
      </c>
      <c r="AG21" s="111">
        <f t="shared" si="15"/>
        <v>20.407552083333332</v>
      </c>
      <c r="AH21" s="111">
        <f t="shared" si="16"/>
        <v>21.573697916666667</v>
      </c>
      <c r="AI21" s="111">
        <v>10</v>
      </c>
      <c r="AJ21" s="112">
        <v>5</v>
      </c>
      <c r="AK21" s="113">
        <v>10</v>
      </c>
      <c r="AL21" s="114">
        <f>SUMIFS(Table1[Column1],Table1[Date],'OEE AHV'!$B21,Table1[M/C],'OEE AHV'!$D21,Table1[Case downtime],'OEE AHV'!AL$2)</f>
        <v>0</v>
      </c>
      <c r="AM21" s="114">
        <f>SUMIFS(Table1[Column1],Table1[Date],'OEE AHV'!$B21,Table1[M/C],'OEE AHV'!$D21,Table1[Case downtime],'OEE AHV'!AM$2)</f>
        <v>0</v>
      </c>
      <c r="AN21" s="114">
        <f>SUMIFS(Table1[Column1],Table1[Date],'OEE AHV'!$B21,Table1[M/C],'OEE AHV'!$D21,Table1[Case downtime],'OEE AHV'!AN$2)</f>
        <v>0</v>
      </c>
      <c r="AO21" s="114">
        <f>SUMIFS(Table1[Column1],Table1[Date],'OEE AHV'!$B21,Table1[M/C],'OEE AHV'!$D21,Table1[Case downtime],'OEE AHV'!AO$2)</f>
        <v>0</v>
      </c>
      <c r="AP21" s="114">
        <f>SUMIFS(Table1[Column1],Table1[Date],'OEE AHV'!$B21,Table1[M/C],'OEE AHV'!$D21,Table1[Case downtime],'OEE AHV'!AP$2)</f>
        <v>0</v>
      </c>
      <c r="AQ21" s="114">
        <f>SUMIFS(Table1[Column1],Table1[Date],'OEE AHV'!$B21,Table1[M/C],'OEE AHV'!$D21,Table1[Case downtime],'OEE AHV'!AQ$2)</f>
        <v>0</v>
      </c>
      <c r="AR21" s="114">
        <f>SUMIFS(Table1[Column1],Table1[Date],'OEE AHV'!$B21,Table1[M/C],'OEE AHV'!$D21,Table1[Case downtime],'OEE AHV'!AR$2)</f>
        <v>0</v>
      </c>
      <c r="AS21" s="114">
        <f>SUMIFS(Table1[Column1],Table1[Date],'OEE AHV'!$B21,Table1[M/C],'OEE AHV'!$D21,Table1[Case downtime],'OEE AHV'!AS$2)</f>
        <v>0</v>
      </c>
      <c r="AT21" s="114">
        <f>SUMIFS(Table1[Column1],Table1[Date],'OEE AHV'!$B21,Table1[M/C],'OEE AHV'!$D21,Table1[Case downtime],'OEE AHV'!AT$2)</f>
        <v>20</v>
      </c>
      <c r="AU21" s="114">
        <f>SUMIFS(Table1[Column1],Table1[Date],'OEE AHV'!$B21,Table1[M/C],'OEE AHV'!$D21,Table1[Case downtime],'OEE AHV'!AU$2)</f>
        <v>0</v>
      </c>
      <c r="AV21" s="114">
        <f>SUMIFS(Table1[Column1],Table1[Date],'OEE AHV'!$B21,Table1[M/C],'OEE AHV'!$D21,Table1[Case downtime],'OEE AHV'!AV$2)</f>
        <v>40</v>
      </c>
      <c r="AW21" s="114">
        <f>SUMIFS(Table1[Column1],Table1[Date],'OEE AHV'!$B21,Table1[M/C],'OEE AHV'!$D21,Table1[Case downtime],'OEE AHV'!AW$2)</f>
        <v>0</v>
      </c>
      <c r="AX21" s="183">
        <f>SUMIFS(Table1[Column1],Table1[Date],'OEE AHV'!$B21,Table1[M/C],'OEE AHV'!$D21,Table1[Case downtime],'OEE AHV'!AX$2)</f>
        <v>0</v>
      </c>
    </row>
    <row r="22" spans="2:50" s="115" customFormat="1" ht="30" hidden="1" customHeight="1">
      <c r="B22" s="91">
        <v>46076</v>
      </c>
      <c r="C22" s="92" t="s">
        <v>136</v>
      </c>
      <c r="D22" s="92" t="s">
        <v>120</v>
      </c>
      <c r="E22" s="80">
        <v>4.3</v>
      </c>
      <c r="F22" s="81">
        <v>24</v>
      </c>
      <c r="G22" s="82">
        <f t="shared" si="0"/>
        <v>1440</v>
      </c>
      <c r="H22" s="82">
        <v>0</v>
      </c>
      <c r="I22" s="82">
        <f t="shared" si="3"/>
        <v>1440</v>
      </c>
      <c r="J22" s="82">
        <f t="shared" si="1"/>
        <v>92.59375</v>
      </c>
      <c r="K22" s="83">
        <f t="shared" si="2"/>
        <v>328</v>
      </c>
      <c r="L22" s="82">
        <f t="shared" si="4"/>
        <v>420.59375</v>
      </c>
      <c r="M22" s="84">
        <f t="shared" si="5"/>
        <v>1019.40625</v>
      </c>
      <c r="N22" s="85">
        <v>6140</v>
      </c>
      <c r="O22" s="82"/>
      <c r="P22" s="84">
        <v>8692</v>
      </c>
      <c r="Q22" s="135">
        <f t="shared" si="6"/>
        <v>14832</v>
      </c>
      <c r="R22" s="83">
        <f t="shared" si="7"/>
        <v>15</v>
      </c>
      <c r="S22" s="87">
        <f t="shared" si="8"/>
        <v>14817</v>
      </c>
      <c r="T22" s="88">
        <f t="shared" si="9"/>
        <v>14224.273255813954</v>
      </c>
      <c r="U22" s="89">
        <f t="shared" si="10"/>
        <v>0.70792100694444449</v>
      </c>
      <c r="V22" s="89">
        <f t="shared" si="11"/>
        <v>1.0427246252414089</v>
      </c>
      <c r="W22" s="89">
        <f t="shared" si="12"/>
        <v>0.99898867313915862</v>
      </c>
      <c r="X22" s="90">
        <f t="shared" si="13"/>
        <v>0.73742013888888891</v>
      </c>
      <c r="Y22" s="106"/>
      <c r="Z22" s="120">
        <v>15</v>
      </c>
      <c r="AA22" s="117"/>
      <c r="AB22" s="117"/>
      <c r="AC22" s="117"/>
      <c r="AD22" s="118"/>
      <c r="AE22" s="110">
        <f>Table24[[#This Row],[H. จำนวนชิ้น
งานทั้งหมด
ที่ผลิตได้ 
(Total Count)]]/512*1</f>
        <v>28.96875</v>
      </c>
      <c r="AF22" s="111">
        <f t="shared" si="14"/>
        <v>32.831249999999997</v>
      </c>
      <c r="AG22" s="111">
        <f t="shared" si="15"/>
        <v>16.8984375</v>
      </c>
      <c r="AH22" s="111">
        <f t="shared" si="16"/>
        <v>17.864062499999999</v>
      </c>
      <c r="AI22" s="111">
        <v>10</v>
      </c>
      <c r="AJ22" s="112">
        <v>5</v>
      </c>
      <c r="AK22" s="113">
        <v>10</v>
      </c>
      <c r="AL22" s="114">
        <f>SUMIFS(Table1[Column1],Table1[Date],'OEE AHV'!$B22,Table1[M/C],'OEE AHV'!$D22,Table1[Case downtime],'OEE AHV'!AL$2)</f>
        <v>0</v>
      </c>
      <c r="AM22" s="114">
        <f>SUMIFS(Table1[Column1],Table1[Date],'OEE AHV'!$B22,Table1[M/C],'OEE AHV'!$D22,Table1[Case downtime],'OEE AHV'!AM$2)</f>
        <v>0</v>
      </c>
      <c r="AN22" s="114">
        <f>SUMIFS(Table1[Column1],Table1[Date],'OEE AHV'!$B22,Table1[M/C],'OEE AHV'!$D22,Table1[Case downtime],'OEE AHV'!AN$2)</f>
        <v>0</v>
      </c>
      <c r="AO22" s="114">
        <f>SUMIFS(Table1[Column1],Table1[Date],'OEE AHV'!$B22,Table1[M/C],'OEE AHV'!$D22,Table1[Case downtime],'OEE AHV'!AO$2)</f>
        <v>0</v>
      </c>
      <c r="AP22" s="114">
        <f>SUMIFS(Table1[Column1],Table1[Date],'OEE AHV'!$B22,Table1[M/C],'OEE AHV'!$D22,Table1[Case downtime],'OEE AHV'!AP$2)</f>
        <v>0</v>
      </c>
      <c r="AQ22" s="114">
        <f>SUMIFS(Table1[Column1],Table1[Date],'OEE AHV'!$B22,Table1[M/C],'OEE AHV'!$D22,Table1[Case downtime],'OEE AHV'!AQ$2)</f>
        <v>0</v>
      </c>
      <c r="AR22" s="114">
        <f>SUMIFS(Table1[Column1],Table1[Date],'OEE AHV'!$B22,Table1[M/C],'OEE AHV'!$D22,Table1[Case downtime],'OEE AHV'!AR$2)</f>
        <v>0</v>
      </c>
      <c r="AS22" s="114">
        <f>SUMIFS(Table1[Column1],Table1[Date],'OEE AHV'!$B22,Table1[M/C],'OEE AHV'!$D22,Table1[Case downtime],'OEE AHV'!AS$2)</f>
        <v>0</v>
      </c>
      <c r="AT22" s="114">
        <f>SUMIFS(Table1[Column1],Table1[Date],'OEE AHV'!$B22,Table1[M/C],'OEE AHV'!$D22,Table1[Case downtime],'OEE AHV'!AT$2)</f>
        <v>0</v>
      </c>
      <c r="AU22" s="114">
        <f>SUMIFS(Table1[Column1],Table1[Date],'OEE AHV'!$B22,Table1[M/C],'OEE AHV'!$D22,Table1[Case downtime],'OEE AHV'!AU$2)</f>
        <v>0</v>
      </c>
      <c r="AV22" s="114">
        <f>SUMIFS(Table1[Column1],Table1[Date],'OEE AHV'!$B22,Table1[M/C],'OEE AHV'!$D22,Table1[Case downtime],'OEE AHV'!AV$2)</f>
        <v>328</v>
      </c>
      <c r="AW22" s="114">
        <f>SUMIFS(Table1[Column1],Table1[Date],'OEE AHV'!$B22,Table1[M/C],'OEE AHV'!$D22,Table1[Case downtime],'OEE AHV'!AW$2)</f>
        <v>0</v>
      </c>
      <c r="AX22" s="183">
        <f>SUMIFS(Table1[Column1],Table1[Date],'OEE AHV'!$B22,Table1[M/C],'OEE AHV'!$D22,Table1[Case downtime],'OEE AHV'!AX$2)</f>
        <v>0</v>
      </c>
    </row>
    <row r="23" spans="2:50" s="115" customFormat="1" ht="30" hidden="1" customHeight="1">
      <c r="B23" s="91">
        <v>46077</v>
      </c>
      <c r="C23" s="92" t="s">
        <v>136</v>
      </c>
      <c r="D23" s="92" t="s">
        <v>120</v>
      </c>
      <c r="E23" s="80">
        <v>4.3</v>
      </c>
      <c r="F23" s="81">
        <v>24</v>
      </c>
      <c r="G23" s="82">
        <f>F23*60</f>
        <v>1440</v>
      </c>
      <c r="H23" s="82">
        <v>0</v>
      </c>
      <c r="I23" s="82">
        <f t="shared" si="3"/>
        <v>1440</v>
      </c>
      <c r="J23" s="82">
        <f t="shared" si="1"/>
        <v>94.954427083333343</v>
      </c>
      <c r="K23" s="83">
        <f t="shared" si="2"/>
        <v>265</v>
      </c>
      <c r="L23" s="82">
        <f t="shared" si="4"/>
        <v>359.95442708333337</v>
      </c>
      <c r="M23" s="84">
        <f t="shared" si="5"/>
        <v>1080.0455729166665</v>
      </c>
      <c r="N23" s="85">
        <v>7163</v>
      </c>
      <c r="O23" s="82"/>
      <c r="P23" s="84">
        <v>8187</v>
      </c>
      <c r="Q23" s="135">
        <f t="shared" si="6"/>
        <v>15350</v>
      </c>
      <c r="R23" s="83">
        <f t="shared" si="7"/>
        <v>1</v>
      </c>
      <c r="S23" s="87">
        <f t="shared" si="8"/>
        <v>15349</v>
      </c>
      <c r="T23" s="88">
        <f t="shared" si="9"/>
        <v>15070.403343023254</v>
      </c>
      <c r="U23" s="89">
        <f t="shared" si="10"/>
        <v>0.75003164785879617</v>
      </c>
      <c r="V23" s="89">
        <f t="shared" si="11"/>
        <v>1.0185526989963531</v>
      </c>
      <c r="W23" s="89">
        <f t="shared" si="12"/>
        <v>0.99993485342019539</v>
      </c>
      <c r="X23" s="90">
        <f t="shared" si="13"/>
        <v>0.76389699074074058</v>
      </c>
      <c r="Y23" s="106"/>
      <c r="Z23" s="120">
        <v>1</v>
      </c>
      <c r="AA23" s="117"/>
      <c r="AB23" s="117"/>
      <c r="AC23" s="117"/>
      <c r="AD23" s="118"/>
      <c r="AE23" s="110">
        <f>Table24[[#This Row],[H. จำนวนชิ้น
งานทั้งหมด
ที่ผลิตได้ 
(Total Count)]]/512*1</f>
        <v>29.98046875</v>
      </c>
      <c r="AF23" s="111">
        <f t="shared" ref="AF23:AF32" si="17">(Q23/512*68/60)</f>
        <v>33.977864583333336</v>
      </c>
      <c r="AG23" s="111">
        <f t="shared" ref="AG23:AG32" si="18">(Q23/512*35/60)</f>
        <v>17.488606770833332</v>
      </c>
      <c r="AH23" s="111">
        <f t="shared" ref="AH23:AH32" si="19">(Q23/512*37/60)</f>
        <v>18.487955729166668</v>
      </c>
      <c r="AI23" s="111">
        <v>10</v>
      </c>
      <c r="AJ23" s="112">
        <v>5</v>
      </c>
      <c r="AK23" s="113">
        <v>10</v>
      </c>
      <c r="AL23" s="114">
        <f>SUMIFS(Table1[Column1],Table1[Date],'OEE AHV'!$B23,Table1[M/C],'OEE AHV'!$D23,Table1[Case downtime],'OEE AHV'!AL$2)</f>
        <v>85</v>
      </c>
      <c r="AM23" s="114">
        <f>SUMIFS(Table1[Column1],Table1[Date],'OEE AHV'!$B23,Table1[M/C],'OEE AHV'!$D23,Table1[Case downtime],'OEE AHV'!AM$2)</f>
        <v>0</v>
      </c>
      <c r="AN23" s="114">
        <f>SUMIFS(Table1[Column1],Table1[Date],'OEE AHV'!$B23,Table1[M/C],'OEE AHV'!$D23,Table1[Case downtime],'OEE AHV'!AN$2)</f>
        <v>0</v>
      </c>
      <c r="AO23" s="114">
        <f>SUMIFS(Table1[Column1],Table1[Date],'OEE AHV'!$B23,Table1[M/C],'OEE AHV'!$D23,Table1[Case downtime],'OEE AHV'!AO$2)</f>
        <v>0</v>
      </c>
      <c r="AP23" s="114">
        <f>SUMIFS(Table1[Column1],Table1[Date],'OEE AHV'!$B23,Table1[M/C],'OEE AHV'!$D23,Table1[Case downtime],'OEE AHV'!AP$2)</f>
        <v>0</v>
      </c>
      <c r="AQ23" s="114">
        <f>SUMIFS(Table1[Column1],Table1[Date],'OEE AHV'!$B23,Table1[M/C],'OEE AHV'!$D23,Table1[Case downtime],'OEE AHV'!AQ$2)</f>
        <v>0</v>
      </c>
      <c r="AR23" s="114">
        <f>SUMIFS(Table1[Column1],Table1[Date],'OEE AHV'!$B23,Table1[M/C],'OEE AHV'!$D23,Table1[Case downtime],'OEE AHV'!AR$2)</f>
        <v>0</v>
      </c>
      <c r="AS23" s="114">
        <f>SUMIFS(Table1[Column1],Table1[Date],'OEE AHV'!$B23,Table1[M/C],'OEE AHV'!$D23,Table1[Case downtime],'OEE AHV'!AS$2)</f>
        <v>0</v>
      </c>
      <c r="AT23" s="114">
        <f>SUMIFS(Table1[Column1],Table1[Date],'OEE AHV'!$B23,Table1[M/C],'OEE AHV'!$D23,Table1[Case downtime],'OEE AHV'!AT$2)</f>
        <v>0</v>
      </c>
      <c r="AU23" s="114">
        <f>SUMIFS(Table1[Column1],Table1[Date],'OEE AHV'!$B23,Table1[M/C],'OEE AHV'!$D23,Table1[Case downtime],'OEE AHV'!AU$2)</f>
        <v>0</v>
      </c>
      <c r="AV23" s="114">
        <f>SUMIFS(Table1[Column1],Table1[Date],'OEE AHV'!$B23,Table1[M/C],'OEE AHV'!$D23,Table1[Case downtime],'OEE AHV'!AV$2)</f>
        <v>180</v>
      </c>
      <c r="AW23" s="114">
        <f>SUMIFS(Table1[Column1],Table1[Date],'OEE AHV'!$B23,Table1[M/C],'OEE AHV'!$D23,Table1[Case downtime],'OEE AHV'!AW$2)</f>
        <v>0</v>
      </c>
      <c r="AX23" s="183">
        <f>SUMIFS(Table1[Column1],Table1[Date],'OEE AHV'!$B23,Table1[M/C],'OEE AHV'!$D23,Table1[Case downtime],'OEE AHV'!AX$2)</f>
        <v>0</v>
      </c>
    </row>
    <row r="24" spans="2:50" s="115" customFormat="1" ht="30" hidden="1" customHeight="1">
      <c r="B24" s="91">
        <v>46078</v>
      </c>
      <c r="C24" s="92" t="s">
        <v>136</v>
      </c>
      <c r="D24" s="92" t="s">
        <v>120</v>
      </c>
      <c r="E24" s="80">
        <v>4.3</v>
      </c>
      <c r="F24" s="81">
        <v>24</v>
      </c>
      <c r="G24" s="82">
        <f t="shared" ref="G24:G32" si="20">F24*60</f>
        <v>1440</v>
      </c>
      <c r="H24" s="82">
        <v>0</v>
      </c>
      <c r="I24" s="82">
        <f t="shared" si="3"/>
        <v>1440</v>
      </c>
      <c r="J24" s="82">
        <f t="shared" si="1"/>
        <v>108.94075520833333</v>
      </c>
      <c r="K24" s="83">
        <f t="shared" si="2"/>
        <v>45</v>
      </c>
      <c r="L24" s="82">
        <f t="shared" si="4"/>
        <v>153.94075520833331</v>
      </c>
      <c r="M24" s="84">
        <f t="shared" si="5"/>
        <v>1286.0592447916667</v>
      </c>
      <c r="N24" s="85">
        <v>8700</v>
      </c>
      <c r="O24" s="82"/>
      <c r="P24" s="84">
        <v>9719</v>
      </c>
      <c r="Q24" s="135">
        <f t="shared" si="6"/>
        <v>18419</v>
      </c>
      <c r="R24" s="83">
        <f t="shared" si="7"/>
        <v>2</v>
      </c>
      <c r="S24" s="87">
        <f t="shared" si="8"/>
        <v>18417</v>
      </c>
      <c r="T24" s="88">
        <f t="shared" si="9"/>
        <v>17945.012718023256</v>
      </c>
      <c r="U24" s="89">
        <f t="shared" si="10"/>
        <v>0.89309669777199074</v>
      </c>
      <c r="V24" s="89">
        <f t="shared" si="11"/>
        <v>1.026413315466792</v>
      </c>
      <c r="W24" s="89">
        <f t="shared" si="12"/>
        <v>0.99989141647212121</v>
      </c>
      <c r="X24" s="90">
        <f t="shared" si="13"/>
        <v>0.91658680555555549</v>
      </c>
      <c r="Y24" s="106"/>
      <c r="Z24" s="120">
        <v>2</v>
      </c>
      <c r="AA24" s="117"/>
      <c r="AB24" s="117"/>
      <c r="AC24" s="117"/>
      <c r="AD24" s="118"/>
      <c r="AE24" s="110">
        <f>Table24[[#This Row],[H. จำนวนชิ้น
งานทั้งหมด
ที่ผลิตได้ 
(Total Count)]]/512*1</f>
        <v>35.974609375</v>
      </c>
      <c r="AF24" s="111">
        <f t="shared" si="17"/>
        <v>40.77122395833333</v>
      </c>
      <c r="AG24" s="111">
        <f t="shared" si="18"/>
        <v>20.985188802083332</v>
      </c>
      <c r="AH24" s="111">
        <f t="shared" si="19"/>
        <v>22.184342447916666</v>
      </c>
      <c r="AI24" s="111">
        <v>10</v>
      </c>
      <c r="AJ24" s="112">
        <v>5</v>
      </c>
      <c r="AK24" s="113">
        <v>10</v>
      </c>
      <c r="AL24" s="114">
        <f>SUMIFS(Table1[Column1],Table1[Date],'OEE AHV'!$B24,Table1[M/C],'OEE AHV'!$D24,Table1[Case downtime],'OEE AHV'!AL$2)</f>
        <v>42</v>
      </c>
      <c r="AM24" s="114">
        <f>SUMIFS(Table1[Column1],Table1[Date],'OEE AHV'!$B24,Table1[M/C],'OEE AHV'!$D24,Table1[Case downtime],'OEE AHV'!AM$2)</f>
        <v>0</v>
      </c>
      <c r="AN24" s="114">
        <f>SUMIFS(Table1[Column1],Table1[Date],'OEE AHV'!$B24,Table1[M/C],'OEE AHV'!$D24,Table1[Case downtime],'OEE AHV'!AN$2)</f>
        <v>0</v>
      </c>
      <c r="AO24" s="114">
        <f>SUMIFS(Table1[Column1],Table1[Date],'OEE AHV'!$B24,Table1[M/C],'OEE AHV'!$D24,Table1[Case downtime],'OEE AHV'!AO$2)</f>
        <v>3</v>
      </c>
      <c r="AP24" s="114">
        <f>SUMIFS(Table1[Column1],Table1[Date],'OEE AHV'!$B24,Table1[M/C],'OEE AHV'!$D24,Table1[Case downtime],'OEE AHV'!AP$2)</f>
        <v>0</v>
      </c>
      <c r="AQ24" s="114">
        <f>SUMIFS(Table1[Column1],Table1[Date],'OEE AHV'!$B24,Table1[M/C],'OEE AHV'!$D24,Table1[Case downtime],'OEE AHV'!AQ$2)</f>
        <v>0</v>
      </c>
      <c r="AR24" s="114">
        <f>SUMIFS(Table1[Column1],Table1[Date],'OEE AHV'!$B24,Table1[M/C],'OEE AHV'!$D24,Table1[Case downtime],'OEE AHV'!AR$2)</f>
        <v>0</v>
      </c>
      <c r="AS24" s="114">
        <f>SUMIFS(Table1[Column1],Table1[Date],'OEE AHV'!$B24,Table1[M/C],'OEE AHV'!$D24,Table1[Case downtime],'OEE AHV'!AS$2)</f>
        <v>0</v>
      </c>
      <c r="AT24" s="114">
        <f>SUMIFS(Table1[Column1],Table1[Date],'OEE AHV'!$B24,Table1[M/C],'OEE AHV'!$D24,Table1[Case downtime],'OEE AHV'!AT$2)</f>
        <v>0</v>
      </c>
      <c r="AU24" s="114">
        <f>SUMIFS(Table1[Column1],Table1[Date],'OEE AHV'!$B24,Table1[M/C],'OEE AHV'!$D24,Table1[Case downtime],'OEE AHV'!AU$2)</f>
        <v>0</v>
      </c>
      <c r="AV24" s="114">
        <f>SUMIFS(Table1[Column1],Table1[Date],'OEE AHV'!$B24,Table1[M/C],'OEE AHV'!$D24,Table1[Case downtime],'OEE AHV'!AV$2)</f>
        <v>0</v>
      </c>
      <c r="AW24" s="114">
        <f>SUMIFS(Table1[Column1],Table1[Date],'OEE AHV'!$B24,Table1[M/C],'OEE AHV'!$D24,Table1[Case downtime],'OEE AHV'!AW$2)</f>
        <v>0</v>
      </c>
      <c r="AX24" s="183">
        <f>SUMIFS(Table1[Column1],Table1[Date],'OEE AHV'!$B24,Table1[M/C],'OEE AHV'!$D24,Table1[Case downtime],'OEE AHV'!AX$2)</f>
        <v>0</v>
      </c>
    </row>
    <row r="25" spans="2:50" s="115" customFormat="1" ht="30" hidden="1" customHeight="1">
      <c r="B25" s="91">
        <v>46079</v>
      </c>
      <c r="C25" s="92" t="s">
        <v>136</v>
      </c>
      <c r="D25" s="92" t="s">
        <v>120</v>
      </c>
      <c r="E25" s="80">
        <v>4.3</v>
      </c>
      <c r="F25" s="81">
        <v>24</v>
      </c>
      <c r="G25" s="82">
        <f t="shared" si="20"/>
        <v>1440</v>
      </c>
      <c r="H25" s="82">
        <v>0</v>
      </c>
      <c r="I25" s="82">
        <f t="shared" si="3"/>
        <v>1440</v>
      </c>
      <c r="J25" s="82">
        <f t="shared" si="1"/>
        <v>85.611979166666671</v>
      </c>
      <c r="K25" s="83">
        <f t="shared" si="2"/>
        <v>401</v>
      </c>
      <c r="L25" s="82">
        <f t="shared" si="4"/>
        <v>486.61197916666669</v>
      </c>
      <c r="M25" s="84">
        <f t="shared" si="5"/>
        <v>953.38802083333326</v>
      </c>
      <c r="N25" s="85">
        <v>6138</v>
      </c>
      <c r="O25" s="82"/>
      <c r="P25" s="84">
        <v>7162</v>
      </c>
      <c r="Q25" s="135">
        <f t="shared" si="6"/>
        <v>13300</v>
      </c>
      <c r="R25" s="83">
        <f t="shared" si="7"/>
        <v>0</v>
      </c>
      <c r="S25" s="87">
        <f t="shared" si="8"/>
        <v>13300</v>
      </c>
      <c r="T25" s="88">
        <f t="shared" si="9"/>
        <v>13303.088662790697</v>
      </c>
      <c r="U25" s="89">
        <f t="shared" si="10"/>
        <v>0.66207501446759254</v>
      </c>
      <c r="V25" s="89">
        <f t="shared" si="11"/>
        <v>0.99976782363336902</v>
      </c>
      <c r="W25" s="89">
        <f t="shared" si="12"/>
        <v>1</v>
      </c>
      <c r="X25" s="90">
        <f t="shared" si="13"/>
        <v>0.66192129629629626</v>
      </c>
      <c r="Y25" s="106"/>
      <c r="Z25" s="120">
        <v>0</v>
      </c>
      <c r="AA25" s="117"/>
      <c r="AB25" s="117"/>
      <c r="AC25" s="117"/>
      <c r="AD25" s="118"/>
      <c r="AE25" s="110">
        <f>Table24[[#This Row],[H. จำนวนชิ้น
งานทั้งหมด
ที่ผลิตได้ 
(Total Count)]]/512*1</f>
        <v>25.9765625</v>
      </c>
      <c r="AF25" s="111">
        <f t="shared" si="17"/>
        <v>29.440104166666668</v>
      </c>
      <c r="AG25" s="111">
        <f t="shared" si="18"/>
        <v>15.152994791666666</v>
      </c>
      <c r="AH25" s="111">
        <f t="shared" si="19"/>
        <v>16.018880208333332</v>
      </c>
      <c r="AI25" s="111">
        <v>10</v>
      </c>
      <c r="AJ25" s="112">
        <v>5</v>
      </c>
      <c r="AK25" s="113">
        <v>10</v>
      </c>
      <c r="AL25" s="114">
        <f>SUMIFS(Table1[Column1],Table1[Date],'OEE AHV'!$B25,Table1[M/C],'OEE AHV'!$D25,Table1[Case downtime],'OEE AHV'!AL$2)</f>
        <v>0</v>
      </c>
      <c r="AM25" s="114">
        <f>SUMIFS(Table1[Column1],Table1[Date],'OEE AHV'!$B25,Table1[M/C],'OEE AHV'!$D25,Table1[Case downtime],'OEE AHV'!AM$2)</f>
        <v>0</v>
      </c>
      <c r="AN25" s="114">
        <f>SUMIFS(Table1[Column1],Table1[Date],'OEE AHV'!$B25,Table1[M/C],'OEE AHV'!$D25,Table1[Case downtime],'OEE AHV'!AN$2)</f>
        <v>0</v>
      </c>
      <c r="AO25" s="114">
        <f>SUMIFS(Table1[Column1],Table1[Date],'OEE AHV'!$B25,Table1[M/C],'OEE AHV'!$D25,Table1[Case downtime],'OEE AHV'!AO$2)</f>
        <v>10</v>
      </c>
      <c r="AP25" s="114">
        <f>SUMIFS(Table1[Column1],Table1[Date],'OEE AHV'!$B25,Table1[M/C],'OEE AHV'!$D25,Table1[Case downtime],'OEE AHV'!AP$2)</f>
        <v>0</v>
      </c>
      <c r="AQ25" s="114">
        <f>SUMIFS(Table1[Column1],Table1[Date],'OEE AHV'!$B25,Table1[M/C],'OEE AHV'!$D25,Table1[Case downtime],'OEE AHV'!AQ$2)</f>
        <v>0</v>
      </c>
      <c r="AR25" s="114">
        <f>SUMIFS(Table1[Column1],Table1[Date],'OEE AHV'!$B25,Table1[M/C],'OEE AHV'!$D25,Table1[Case downtime],'OEE AHV'!AR$2)</f>
        <v>0</v>
      </c>
      <c r="AS25" s="114">
        <f>SUMIFS(Table1[Column1],Table1[Date],'OEE AHV'!$B25,Table1[M/C],'OEE AHV'!$D25,Table1[Case downtime],'OEE AHV'!AS$2)</f>
        <v>0</v>
      </c>
      <c r="AT25" s="114">
        <f>SUMIFS(Table1[Column1],Table1[Date],'OEE AHV'!$B25,Table1[M/C],'OEE AHV'!$D25,Table1[Case downtime],'OEE AHV'!AT$2)</f>
        <v>0</v>
      </c>
      <c r="AU25" s="114">
        <f>SUMIFS(Table1[Column1],Table1[Date],'OEE AHV'!$B25,Table1[M/C],'OEE AHV'!$D25,Table1[Case downtime],'OEE AHV'!AU$2)</f>
        <v>0</v>
      </c>
      <c r="AV25" s="114">
        <f>SUMIFS(Table1[Column1],Table1[Date],'OEE AHV'!$B25,Table1[M/C],'OEE AHV'!$D25,Table1[Case downtime],'OEE AHV'!AV$2)</f>
        <v>391</v>
      </c>
      <c r="AW25" s="114">
        <f>SUMIFS(Table1[Column1],Table1[Date],'OEE AHV'!$B25,Table1[M/C],'OEE AHV'!$D25,Table1[Case downtime],'OEE AHV'!AW$2)</f>
        <v>0</v>
      </c>
      <c r="AX25" s="183">
        <f>SUMIFS(Table1[Column1],Table1[Date],'OEE AHV'!$B25,Table1[M/C],'OEE AHV'!$D25,Table1[Case downtime],'OEE AHV'!AX$2)</f>
        <v>0</v>
      </c>
    </row>
    <row r="26" spans="2:50" s="115" customFormat="1" ht="30" hidden="1" customHeight="1">
      <c r="B26" s="91">
        <v>46080</v>
      </c>
      <c r="C26" s="92" t="s">
        <v>136</v>
      </c>
      <c r="D26" s="92" t="s">
        <v>120</v>
      </c>
      <c r="E26" s="80">
        <v>4.3</v>
      </c>
      <c r="F26" s="81">
        <v>24</v>
      </c>
      <c r="G26" s="82">
        <f t="shared" si="20"/>
        <v>1440</v>
      </c>
      <c r="H26" s="82">
        <v>0</v>
      </c>
      <c r="I26" s="82">
        <f t="shared" si="3"/>
        <v>1440</v>
      </c>
      <c r="J26" s="82">
        <f t="shared" si="1"/>
        <v>106.61653645833333</v>
      </c>
      <c r="K26" s="83">
        <f t="shared" si="2"/>
        <v>88</v>
      </c>
      <c r="L26" s="82">
        <f t="shared" si="4"/>
        <v>194.61653645833331</v>
      </c>
      <c r="M26" s="84">
        <f t="shared" si="5"/>
        <v>1245.3834635416667</v>
      </c>
      <c r="N26" s="85">
        <v>8700</v>
      </c>
      <c r="O26" s="82"/>
      <c r="P26" s="84">
        <v>9209</v>
      </c>
      <c r="Q26" s="135">
        <f t="shared" si="6"/>
        <v>17909</v>
      </c>
      <c r="R26" s="83">
        <f t="shared" si="7"/>
        <v>3</v>
      </c>
      <c r="S26" s="87">
        <f t="shared" si="8"/>
        <v>17906</v>
      </c>
      <c r="T26" s="88">
        <f t="shared" si="9"/>
        <v>17377.443677325584</v>
      </c>
      <c r="U26" s="89">
        <f t="shared" si="10"/>
        <v>0.86484962745949079</v>
      </c>
      <c r="V26" s="89">
        <f t="shared" si="11"/>
        <v>1.0305888675310741</v>
      </c>
      <c r="W26" s="89">
        <f t="shared" si="12"/>
        <v>0.9998324864593221</v>
      </c>
      <c r="X26" s="90">
        <f t="shared" si="13"/>
        <v>0.8911550925925924</v>
      </c>
      <c r="Y26" s="106"/>
      <c r="Z26" s="120">
        <v>3</v>
      </c>
      <c r="AA26" s="117"/>
      <c r="AB26" s="117"/>
      <c r="AC26" s="117"/>
      <c r="AD26" s="118"/>
      <c r="AE26" s="110">
        <f>Table24[[#This Row],[H. จำนวนชิ้น
งานทั้งหมด
ที่ผลิตได้ 
(Total Count)]]/512*1</f>
        <v>34.978515625</v>
      </c>
      <c r="AF26" s="111">
        <f t="shared" si="17"/>
        <v>39.64231770833333</v>
      </c>
      <c r="AG26" s="111">
        <f t="shared" si="18"/>
        <v>20.404134114583332</v>
      </c>
      <c r="AH26" s="111">
        <f t="shared" si="19"/>
        <v>21.570084635416666</v>
      </c>
      <c r="AI26" s="111">
        <v>10</v>
      </c>
      <c r="AJ26" s="112">
        <v>5</v>
      </c>
      <c r="AK26" s="113">
        <v>10</v>
      </c>
      <c r="AL26" s="114">
        <f>SUMIFS(Table1[Column1],Table1[Date],'OEE AHV'!$B26,Table1[M/C],'OEE AHV'!$D26,Table1[Case downtime],'OEE AHV'!AL$2)</f>
        <v>0</v>
      </c>
      <c r="AM26" s="114">
        <f>SUMIFS(Table1[Column1],Table1[Date],'OEE AHV'!$B26,Table1[M/C],'OEE AHV'!$D26,Table1[Case downtime],'OEE AHV'!AM$2)</f>
        <v>0</v>
      </c>
      <c r="AN26" s="114">
        <f>SUMIFS(Table1[Column1],Table1[Date],'OEE AHV'!$B26,Table1[M/C],'OEE AHV'!$D26,Table1[Case downtime],'OEE AHV'!AN$2)</f>
        <v>0</v>
      </c>
      <c r="AO26" s="114">
        <f>SUMIFS(Table1[Column1],Table1[Date],'OEE AHV'!$B26,Table1[M/C],'OEE AHV'!$D26,Table1[Case downtime],'OEE AHV'!AO$2)</f>
        <v>38</v>
      </c>
      <c r="AP26" s="114">
        <f>SUMIFS(Table1[Column1],Table1[Date],'OEE AHV'!$B26,Table1[M/C],'OEE AHV'!$D26,Table1[Case downtime],'OEE AHV'!AP$2)</f>
        <v>0</v>
      </c>
      <c r="AQ26" s="114">
        <f>SUMIFS(Table1[Column1],Table1[Date],'OEE AHV'!$B26,Table1[M/C],'OEE AHV'!$D26,Table1[Case downtime],'OEE AHV'!AQ$2)</f>
        <v>0</v>
      </c>
      <c r="AR26" s="114">
        <f>SUMIFS(Table1[Column1],Table1[Date],'OEE AHV'!$B26,Table1[M/C],'OEE AHV'!$D26,Table1[Case downtime],'OEE AHV'!AR$2)</f>
        <v>0</v>
      </c>
      <c r="AS26" s="114">
        <f>SUMIFS(Table1[Column1],Table1[Date],'OEE AHV'!$B26,Table1[M/C],'OEE AHV'!$D26,Table1[Case downtime],'OEE AHV'!AS$2)</f>
        <v>0</v>
      </c>
      <c r="AT26" s="114">
        <f>SUMIFS(Table1[Column1],Table1[Date],'OEE AHV'!$B26,Table1[M/C],'OEE AHV'!$D26,Table1[Case downtime],'OEE AHV'!AT$2)</f>
        <v>0</v>
      </c>
      <c r="AU26" s="114">
        <f>SUMIFS(Table1[Column1],Table1[Date],'OEE AHV'!$B26,Table1[M/C],'OEE AHV'!$D26,Table1[Case downtime],'OEE AHV'!AU$2)</f>
        <v>0</v>
      </c>
      <c r="AV26" s="114">
        <f>SUMIFS(Table1[Column1],Table1[Date],'OEE AHV'!$B26,Table1[M/C],'OEE AHV'!$D26,Table1[Case downtime],'OEE AHV'!AV$2)</f>
        <v>50</v>
      </c>
      <c r="AW26" s="114">
        <f>SUMIFS(Table1[Column1],Table1[Date],'OEE AHV'!$B26,Table1[M/C],'OEE AHV'!$D26,Table1[Case downtime],'OEE AHV'!AW$2)</f>
        <v>0</v>
      </c>
      <c r="AX26" s="183">
        <f>SUMIFS(Table1[Column1],Table1[Date],'OEE AHV'!$B26,Table1[M/C],'OEE AHV'!$D26,Table1[Case downtime],'OEE AHV'!AX$2)</f>
        <v>0</v>
      </c>
    </row>
    <row r="27" spans="2:50" s="115" customFormat="1" ht="30" hidden="1" customHeight="1">
      <c r="B27" s="91">
        <v>46055</v>
      </c>
      <c r="C27" s="92" t="s">
        <v>136</v>
      </c>
      <c r="D27" s="92" t="s">
        <v>121</v>
      </c>
      <c r="E27" s="80">
        <v>4.3</v>
      </c>
      <c r="F27" s="81">
        <v>24</v>
      </c>
      <c r="G27" s="82">
        <f t="shared" si="20"/>
        <v>1440</v>
      </c>
      <c r="H27" s="82">
        <v>0</v>
      </c>
      <c r="I27" s="82">
        <f t="shared" si="3"/>
        <v>1440</v>
      </c>
      <c r="J27" s="82">
        <f t="shared" si="1"/>
        <v>83.296875</v>
      </c>
      <c r="K27" s="83">
        <f t="shared" si="2"/>
        <v>456</v>
      </c>
      <c r="L27" s="82">
        <f t="shared" si="4"/>
        <v>539.296875</v>
      </c>
      <c r="M27" s="84">
        <f t="shared" si="5"/>
        <v>900.703125</v>
      </c>
      <c r="N27" s="85">
        <v>6140</v>
      </c>
      <c r="O27" s="82"/>
      <c r="P27" s="84">
        <v>6652</v>
      </c>
      <c r="Q27" s="135">
        <f t="shared" si="6"/>
        <v>12792</v>
      </c>
      <c r="R27" s="83">
        <f t="shared" si="7"/>
        <v>0</v>
      </c>
      <c r="S27" s="87">
        <f t="shared" si="8"/>
        <v>12792</v>
      </c>
      <c r="T27" s="88">
        <f t="shared" si="9"/>
        <v>12567.950581395349</v>
      </c>
      <c r="U27" s="89">
        <f t="shared" si="10"/>
        <v>0.62548828125</v>
      </c>
      <c r="V27" s="89">
        <f t="shared" si="11"/>
        <v>1.0178270448434383</v>
      </c>
      <c r="W27" s="89">
        <f t="shared" si="12"/>
        <v>1</v>
      </c>
      <c r="X27" s="90">
        <f t="shared" si="13"/>
        <v>0.63663888888888887</v>
      </c>
      <c r="Y27" s="106"/>
      <c r="Z27" s="120">
        <v>0</v>
      </c>
      <c r="AA27" s="117"/>
      <c r="AB27" s="117"/>
      <c r="AC27" s="117"/>
      <c r="AD27" s="118"/>
      <c r="AE27" s="110">
        <f>Table24[[#This Row],[H. จำนวนชิ้น
งานทั้งหมด
ที่ผลิตได้ 
(Total Count)]]/512*1</f>
        <v>24.984375</v>
      </c>
      <c r="AF27" s="111">
        <f t="shared" si="17"/>
        <v>28.315625000000001</v>
      </c>
      <c r="AG27" s="111">
        <f t="shared" si="18"/>
        <v>14.57421875</v>
      </c>
      <c r="AH27" s="111">
        <f t="shared" si="19"/>
        <v>15.407031249999999</v>
      </c>
      <c r="AI27" s="111">
        <v>10</v>
      </c>
      <c r="AJ27" s="112">
        <v>5</v>
      </c>
      <c r="AK27" s="113">
        <v>10</v>
      </c>
      <c r="AL27" s="114">
        <f>SUMIFS(Table1[Column1],Table1[Date],'OEE AHV'!$B27,Table1[M/C],'OEE AHV'!$D27,Table1[Case downtime],'OEE AHV'!AL$2)</f>
        <v>0</v>
      </c>
      <c r="AM27" s="114">
        <f>SUMIFS(Table1[Column1],Table1[Date],'OEE AHV'!$B27,Table1[M/C],'OEE AHV'!$D27,Table1[Case downtime],'OEE AHV'!AM$2)</f>
        <v>0</v>
      </c>
      <c r="AN27" s="114">
        <f>SUMIFS(Table1[Column1],Table1[Date],'OEE AHV'!$B27,Table1[M/C],'OEE AHV'!$D27,Table1[Case downtime],'OEE AHV'!AN$2)</f>
        <v>0</v>
      </c>
      <c r="AO27" s="114">
        <f>SUMIFS(Table1[Column1],Table1[Date],'OEE AHV'!$B27,Table1[M/C],'OEE AHV'!$D27,Table1[Case downtime],'OEE AHV'!AO$2)</f>
        <v>0</v>
      </c>
      <c r="AP27" s="114">
        <f>SUMIFS(Table1[Column1],Table1[Date],'OEE AHV'!$B27,Table1[M/C],'OEE AHV'!$D27,Table1[Case downtime],'OEE AHV'!AP$2)</f>
        <v>0</v>
      </c>
      <c r="AQ27" s="114">
        <f>SUMIFS(Table1[Column1],Table1[Date],'OEE AHV'!$B27,Table1[M/C],'OEE AHV'!$D27,Table1[Case downtime],'OEE AHV'!AQ$2)</f>
        <v>0</v>
      </c>
      <c r="AR27" s="114">
        <f>SUMIFS(Table1[Column1],Table1[Date],'OEE AHV'!$B27,Table1[M/C],'OEE AHV'!$D27,Table1[Case downtime],'OEE AHV'!AR$2)</f>
        <v>0</v>
      </c>
      <c r="AS27" s="114">
        <f>SUMIFS(Table1[Column1],Table1[Date],'OEE AHV'!$B27,Table1[M/C],'OEE AHV'!$D27,Table1[Case downtime],'OEE AHV'!AS$2)</f>
        <v>0</v>
      </c>
      <c r="AT27" s="114">
        <f>SUMIFS(Table1[Column1],Table1[Date],'OEE AHV'!$B27,Table1[M/C],'OEE AHV'!$D27,Table1[Case downtime],'OEE AHV'!AT$2)</f>
        <v>0</v>
      </c>
      <c r="AU27" s="114">
        <f>SUMIFS(Table1[Column1],Table1[Date],'OEE AHV'!$B27,Table1[M/C],'OEE AHV'!$D27,Table1[Case downtime],'OEE AHV'!AU$2)</f>
        <v>0</v>
      </c>
      <c r="AV27" s="114">
        <f>SUMIFS(Table1[Column1],Table1[Date],'OEE AHV'!$B27,Table1[M/C],'OEE AHV'!$D27,Table1[Case downtime],'OEE AHV'!AV$2)</f>
        <v>456</v>
      </c>
      <c r="AW27" s="114">
        <f>SUMIFS(Table1[Column1],Table1[Date],'OEE AHV'!$B27,Table1[M/C],'OEE AHV'!$D27,Table1[Case downtime],'OEE AHV'!AW$2)</f>
        <v>0</v>
      </c>
      <c r="AX27" s="183">
        <f>SUMIFS(Table1[Column1],Table1[Date],'OEE AHV'!$B27,Table1[M/C],'OEE AHV'!$D27,Table1[Case downtime],'OEE AHV'!AX$2)</f>
        <v>0</v>
      </c>
    </row>
    <row r="28" spans="2:50" s="115" customFormat="1" ht="30" hidden="1" customHeight="1">
      <c r="B28" s="91">
        <v>46056</v>
      </c>
      <c r="C28" s="92" t="s">
        <v>136</v>
      </c>
      <c r="D28" s="92" t="s">
        <v>121</v>
      </c>
      <c r="E28" s="80">
        <v>4.3</v>
      </c>
      <c r="F28" s="81">
        <v>24</v>
      </c>
      <c r="G28" s="82">
        <f t="shared" si="20"/>
        <v>1440</v>
      </c>
      <c r="H28" s="82">
        <v>0</v>
      </c>
      <c r="I28" s="82">
        <f t="shared" si="3"/>
        <v>1440</v>
      </c>
      <c r="J28" s="82">
        <f t="shared" si="1"/>
        <v>99.625651041666657</v>
      </c>
      <c r="K28" s="83">
        <f t="shared" si="2"/>
        <v>181</v>
      </c>
      <c r="L28" s="82">
        <f t="shared" si="4"/>
        <v>280.62565104166663</v>
      </c>
      <c r="M28" s="84">
        <f t="shared" si="5"/>
        <v>1159.3743489583335</v>
      </c>
      <c r="N28" s="85">
        <v>8700</v>
      </c>
      <c r="O28" s="82"/>
      <c r="P28" s="84">
        <v>7675</v>
      </c>
      <c r="Q28" s="135">
        <f t="shared" si="6"/>
        <v>16375</v>
      </c>
      <c r="R28" s="83">
        <f t="shared" si="7"/>
        <v>2</v>
      </c>
      <c r="S28" s="87">
        <f t="shared" si="8"/>
        <v>16373</v>
      </c>
      <c r="T28" s="88">
        <f t="shared" si="9"/>
        <v>16177.316497093027</v>
      </c>
      <c r="U28" s="89">
        <f t="shared" si="10"/>
        <v>0.80512107566550939</v>
      </c>
      <c r="V28" s="89">
        <f t="shared" si="11"/>
        <v>1.0122197957209094</v>
      </c>
      <c r="W28" s="89">
        <f t="shared" si="12"/>
        <v>0.99987786259541989</v>
      </c>
      <c r="X28" s="90">
        <f t="shared" si="13"/>
        <v>0.81485995370370368</v>
      </c>
      <c r="Y28" s="106"/>
      <c r="Z28" s="120">
        <v>2</v>
      </c>
      <c r="AA28" s="117"/>
      <c r="AB28" s="117"/>
      <c r="AC28" s="117"/>
      <c r="AD28" s="118"/>
      <c r="AE28" s="110">
        <f>Table24[[#This Row],[H. จำนวนชิ้น
งานทั้งหมด
ที่ผลิตได้ 
(Total Count)]]/512*1</f>
        <v>31.982421875</v>
      </c>
      <c r="AF28" s="111">
        <f t="shared" si="17"/>
        <v>36.246744791666664</v>
      </c>
      <c r="AG28" s="111">
        <f t="shared" si="18"/>
        <v>18.656412760416668</v>
      </c>
      <c r="AH28" s="111">
        <f t="shared" si="19"/>
        <v>19.722493489583332</v>
      </c>
      <c r="AI28" s="111">
        <v>10</v>
      </c>
      <c r="AJ28" s="112">
        <v>5</v>
      </c>
      <c r="AK28" s="113">
        <v>10</v>
      </c>
      <c r="AL28" s="114">
        <f>SUMIFS(Table1[Column1],Table1[Date],'OEE AHV'!$B28,Table1[M/C],'OEE AHV'!$D28,Table1[Case downtime],'OEE AHV'!AL$2)</f>
        <v>0</v>
      </c>
      <c r="AM28" s="114">
        <f>SUMIFS(Table1[Column1],Table1[Date],'OEE AHV'!$B28,Table1[M/C],'OEE AHV'!$D28,Table1[Case downtime],'OEE AHV'!AM$2)</f>
        <v>0</v>
      </c>
      <c r="AN28" s="114">
        <f>SUMIFS(Table1[Column1],Table1[Date],'OEE AHV'!$B28,Table1[M/C],'OEE AHV'!$D28,Table1[Case downtime],'OEE AHV'!AN$2)</f>
        <v>25</v>
      </c>
      <c r="AO28" s="114">
        <f>SUMIFS(Table1[Column1],Table1[Date],'OEE AHV'!$B28,Table1[M/C],'OEE AHV'!$D28,Table1[Case downtime],'OEE AHV'!AO$2)</f>
        <v>0</v>
      </c>
      <c r="AP28" s="114">
        <f>SUMIFS(Table1[Column1],Table1[Date],'OEE AHV'!$B28,Table1[M/C],'OEE AHV'!$D28,Table1[Case downtime],'OEE AHV'!AP$2)</f>
        <v>0</v>
      </c>
      <c r="AQ28" s="114">
        <f>SUMIFS(Table1[Column1],Table1[Date],'OEE AHV'!$B28,Table1[M/C],'OEE AHV'!$D28,Table1[Case downtime],'OEE AHV'!AQ$2)</f>
        <v>0</v>
      </c>
      <c r="AR28" s="114">
        <f>SUMIFS(Table1[Column1],Table1[Date],'OEE AHV'!$B28,Table1[M/C],'OEE AHV'!$D28,Table1[Case downtime],'OEE AHV'!AR$2)</f>
        <v>0</v>
      </c>
      <c r="AS28" s="114">
        <f>SUMIFS(Table1[Column1],Table1[Date],'OEE AHV'!$B28,Table1[M/C],'OEE AHV'!$D28,Table1[Case downtime],'OEE AHV'!AS$2)</f>
        <v>0</v>
      </c>
      <c r="AT28" s="114">
        <f>SUMIFS(Table1[Column1],Table1[Date],'OEE AHV'!$B28,Table1[M/C],'OEE AHV'!$D28,Table1[Case downtime],'OEE AHV'!AT$2)</f>
        <v>0</v>
      </c>
      <c r="AU28" s="114">
        <f>SUMIFS(Table1[Column1],Table1[Date],'OEE AHV'!$B28,Table1[M/C],'OEE AHV'!$D28,Table1[Case downtime],'OEE AHV'!AU$2)</f>
        <v>0</v>
      </c>
      <c r="AV28" s="114">
        <f>SUMIFS(Table1[Column1],Table1[Date],'OEE AHV'!$B28,Table1[M/C],'OEE AHV'!$D28,Table1[Case downtime],'OEE AHV'!AV$2)</f>
        <v>156</v>
      </c>
      <c r="AW28" s="114">
        <f>SUMIFS(Table1[Column1],Table1[Date],'OEE AHV'!$B28,Table1[M/C],'OEE AHV'!$D28,Table1[Case downtime],'OEE AHV'!AW$2)</f>
        <v>0</v>
      </c>
      <c r="AX28" s="183">
        <f>SUMIFS(Table1[Column1],Table1[Date],'OEE AHV'!$B28,Table1[M/C],'OEE AHV'!$D28,Table1[Case downtime],'OEE AHV'!AX$2)</f>
        <v>0</v>
      </c>
    </row>
    <row r="29" spans="2:50" s="115" customFormat="1" ht="30" hidden="1" customHeight="1">
      <c r="B29" s="91">
        <v>46057</v>
      </c>
      <c r="C29" s="92" t="s">
        <v>136</v>
      </c>
      <c r="D29" s="92" t="s">
        <v>121</v>
      </c>
      <c r="E29" s="80">
        <v>4.3</v>
      </c>
      <c r="F29" s="81">
        <v>24</v>
      </c>
      <c r="G29" s="82">
        <f t="shared" si="20"/>
        <v>1440</v>
      </c>
      <c r="H29" s="82">
        <v>0</v>
      </c>
      <c r="I29" s="82">
        <f t="shared" si="3"/>
        <v>1440</v>
      </c>
      <c r="J29" s="82">
        <f t="shared" si="1"/>
        <v>99.6484375</v>
      </c>
      <c r="K29" s="83">
        <f t="shared" si="2"/>
        <v>274</v>
      </c>
      <c r="L29" s="82">
        <f t="shared" si="4"/>
        <v>373.6484375</v>
      </c>
      <c r="M29" s="84">
        <f t="shared" si="5"/>
        <v>1066.3515625</v>
      </c>
      <c r="N29" s="85">
        <v>9216</v>
      </c>
      <c r="O29" s="82"/>
      <c r="P29" s="84">
        <v>7164</v>
      </c>
      <c r="Q29" s="135">
        <f t="shared" si="6"/>
        <v>16380</v>
      </c>
      <c r="R29" s="83">
        <f t="shared" si="7"/>
        <v>1</v>
      </c>
      <c r="S29" s="87">
        <f t="shared" si="8"/>
        <v>16379</v>
      </c>
      <c r="T29" s="88">
        <f t="shared" si="9"/>
        <v>14879.324127906977</v>
      </c>
      <c r="U29" s="89">
        <f t="shared" si="10"/>
        <v>0.74052191840277781</v>
      </c>
      <c r="V29" s="89">
        <f t="shared" si="11"/>
        <v>1.1008564541771373</v>
      </c>
      <c r="W29" s="89">
        <f t="shared" si="12"/>
        <v>0.99993894993894994</v>
      </c>
      <c r="X29" s="90">
        <f t="shared" si="13"/>
        <v>0.81515856481481486</v>
      </c>
      <c r="Y29" s="106"/>
      <c r="Z29" s="120">
        <v>1</v>
      </c>
      <c r="AA29" s="117"/>
      <c r="AB29" s="117"/>
      <c r="AC29" s="117"/>
      <c r="AD29" s="118"/>
      <c r="AE29" s="110">
        <f>Table24[[#This Row],[H. จำนวนชิ้น
งานทั้งหมด
ที่ผลิตได้ 
(Total Count)]]/512*1</f>
        <v>31.9921875</v>
      </c>
      <c r="AF29" s="111">
        <f t="shared" si="17"/>
        <v>36.2578125</v>
      </c>
      <c r="AG29" s="111">
        <f t="shared" si="18"/>
        <v>18.662109375</v>
      </c>
      <c r="AH29" s="111">
        <f t="shared" si="19"/>
        <v>19.728515625</v>
      </c>
      <c r="AI29" s="111">
        <v>10</v>
      </c>
      <c r="AJ29" s="112">
        <v>5</v>
      </c>
      <c r="AK29" s="113">
        <v>10</v>
      </c>
      <c r="AL29" s="114">
        <f>SUMIFS(Table1[Column1],Table1[Date],'OEE AHV'!$B29,Table1[M/C],'OEE AHV'!$D29,Table1[Case downtime],'OEE AHV'!AL$2)</f>
        <v>10</v>
      </c>
      <c r="AM29" s="114">
        <f>SUMIFS(Table1[Column1],Table1[Date],'OEE AHV'!$B29,Table1[M/C],'OEE AHV'!$D29,Table1[Case downtime],'OEE AHV'!AM$2)</f>
        <v>0</v>
      </c>
      <c r="AN29" s="114">
        <f>SUMIFS(Table1[Column1],Table1[Date],'OEE AHV'!$B29,Table1[M/C],'OEE AHV'!$D29,Table1[Case downtime],'OEE AHV'!AN$2)</f>
        <v>0</v>
      </c>
      <c r="AO29" s="114">
        <f>SUMIFS(Table1[Column1],Table1[Date],'OEE AHV'!$B29,Table1[M/C],'OEE AHV'!$D29,Table1[Case downtime],'OEE AHV'!AO$2)</f>
        <v>0</v>
      </c>
      <c r="AP29" s="114">
        <f>SUMIFS(Table1[Column1],Table1[Date],'OEE AHV'!$B29,Table1[M/C],'OEE AHV'!$D29,Table1[Case downtime],'OEE AHV'!AP$2)</f>
        <v>0</v>
      </c>
      <c r="AQ29" s="114">
        <f>SUMIFS(Table1[Column1],Table1[Date],'OEE AHV'!$B29,Table1[M/C],'OEE AHV'!$D29,Table1[Case downtime],'OEE AHV'!AQ$2)</f>
        <v>0</v>
      </c>
      <c r="AR29" s="114">
        <f>SUMIFS(Table1[Column1],Table1[Date],'OEE AHV'!$B29,Table1[M/C],'OEE AHV'!$D29,Table1[Case downtime],'OEE AHV'!AR$2)</f>
        <v>0</v>
      </c>
      <c r="AS29" s="114">
        <f>SUMIFS(Table1[Column1],Table1[Date],'OEE AHV'!$B29,Table1[M/C],'OEE AHV'!$D29,Table1[Case downtime],'OEE AHV'!AS$2)</f>
        <v>0</v>
      </c>
      <c r="AT29" s="114">
        <f>SUMIFS(Table1[Column1],Table1[Date],'OEE AHV'!$B29,Table1[M/C],'OEE AHV'!$D29,Table1[Case downtime],'OEE AHV'!AT$2)</f>
        <v>0</v>
      </c>
      <c r="AU29" s="114">
        <f>SUMIFS(Table1[Column1],Table1[Date],'OEE AHV'!$B29,Table1[M/C],'OEE AHV'!$D29,Table1[Case downtime],'OEE AHV'!AU$2)</f>
        <v>0</v>
      </c>
      <c r="AV29" s="114">
        <f>SUMIFS(Table1[Column1],Table1[Date],'OEE AHV'!$B29,Table1[M/C],'OEE AHV'!$D29,Table1[Case downtime],'OEE AHV'!AV$2)</f>
        <v>264</v>
      </c>
      <c r="AW29" s="114">
        <f>SUMIFS(Table1[Column1],Table1[Date],'OEE AHV'!$B29,Table1[M/C],'OEE AHV'!$D29,Table1[Case downtime],'OEE AHV'!AW$2)</f>
        <v>0</v>
      </c>
      <c r="AX29" s="183">
        <f>SUMIFS(Table1[Column1],Table1[Date],'OEE AHV'!$B29,Table1[M/C],'OEE AHV'!$D29,Table1[Case downtime],'OEE AHV'!AX$2)</f>
        <v>0</v>
      </c>
    </row>
    <row r="30" spans="2:50" s="115" customFormat="1" ht="30" hidden="1" customHeight="1">
      <c r="B30" s="91">
        <v>46058</v>
      </c>
      <c r="C30" s="92" t="s">
        <v>136</v>
      </c>
      <c r="D30" s="92" t="s">
        <v>121</v>
      </c>
      <c r="E30" s="80">
        <v>4.3</v>
      </c>
      <c r="F30" s="81">
        <v>24</v>
      </c>
      <c r="G30" s="82">
        <f t="shared" si="20"/>
        <v>1440</v>
      </c>
      <c r="H30" s="82">
        <v>0</v>
      </c>
      <c r="I30" s="82">
        <f t="shared" si="3"/>
        <v>1440</v>
      </c>
      <c r="J30" s="82">
        <f t="shared" si="1"/>
        <v>104.255859375</v>
      </c>
      <c r="K30" s="83">
        <f t="shared" si="2"/>
        <v>164</v>
      </c>
      <c r="L30" s="82">
        <f t="shared" si="4"/>
        <v>268.255859375</v>
      </c>
      <c r="M30" s="84">
        <f t="shared" si="5"/>
        <v>1171.744140625</v>
      </c>
      <c r="N30" s="85">
        <v>9207</v>
      </c>
      <c r="O30" s="82"/>
      <c r="P30" s="84">
        <v>8184</v>
      </c>
      <c r="Q30" s="135">
        <f>SUM(N30:P30)</f>
        <v>17391</v>
      </c>
      <c r="R30" s="83">
        <f t="shared" si="7"/>
        <v>1</v>
      </c>
      <c r="S30" s="87">
        <f>+Q30-R30</f>
        <v>17390</v>
      </c>
      <c r="T30" s="88">
        <f>IFERROR((M30*60)/E30,"-")</f>
        <v>16349.918241279071</v>
      </c>
      <c r="U30" s="89">
        <f t="shared" si="10"/>
        <v>0.81371120876736114</v>
      </c>
      <c r="V30" s="89">
        <f t="shared" si="11"/>
        <v>1.0636750437132145</v>
      </c>
      <c r="W30" s="89">
        <f t="shared" si="12"/>
        <v>0.99994249899373244</v>
      </c>
      <c r="X30" s="90">
        <f t="shared" si="13"/>
        <v>0.86547453703703703</v>
      </c>
      <c r="Y30" s="106"/>
      <c r="Z30" s="120">
        <v>1</v>
      </c>
      <c r="AA30" s="117"/>
      <c r="AB30" s="117"/>
      <c r="AC30" s="117"/>
      <c r="AD30" s="118"/>
      <c r="AE30" s="110">
        <f>Table24[[#This Row],[H. จำนวนชิ้น
งานทั้งหมด
ที่ผลิตได้ 
(Total Count)]]/512*1</f>
        <v>33.966796875</v>
      </c>
      <c r="AF30" s="111">
        <f t="shared" si="17"/>
        <v>38.495703124999999</v>
      </c>
      <c r="AG30" s="111">
        <f t="shared" si="18"/>
        <v>19.81396484375</v>
      </c>
      <c r="AH30" s="111">
        <f t="shared" si="19"/>
        <v>20.946191406250001</v>
      </c>
      <c r="AI30" s="111">
        <v>10</v>
      </c>
      <c r="AJ30" s="112">
        <v>5</v>
      </c>
      <c r="AK30" s="113">
        <v>10</v>
      </c>
      <c r="AL30" s="114">
        <f>SUMIFS(Table1[Column1],Table1[Date],'OEE AHV'!$B30,Table1[M/C],'OEE AHV'!$D30,Table1[Case downtime],'OEE AHV'!AL$2)</f>
        <v>0</v>
      </c>
      <c r="AM30" s="114">
        <f>SUMIFS(Table1[Column1],Table1[Date],'OEE AHV'!$B30,Table1[M/C],'OEE AHV'!$D30,Table1[Case downtime],'OEE AHV'!AM$2)</f>
        <v>0</v>
      </c>
      <c r="AN30" s="114">
        <f>SUMIFS(Table1[Column1],Table1[Date],'OEE AHV'!$B30,Table1[M/C],'OEE AHV'!$D30,Table1[Case downtime],'OEE AHV'!AN$2)</f>
        <v>0</v>
      </c>
      <c r="AO30" s="114">
        <f>SUMIFS(Table1[Column1],Table1[Date],'OEE AHV'!$B30,Table1[M/C],'OEE AHV'!$D30,Table1[Case downtime],'OEE AHV'!AO$2)</f>
        <v>0</v>
      </c>
      <c r="AP30" s="114">
        <f>SUMIFS(Table1[Column1],Table1[Date],'OEE AHV'!$B30,Table1[M/C],'OEE AHV'!$D30,Table1[Case downtime],'OEE AHV'!AP$2)</f>
        <v>0</v>
      </c>
      <c r="AQ30" s="114">
        <f>SUMIFS(Table1[Column1],Table1[Date],'OEE AHV'!$B30,Table1[M/C],'OEE AHV'!$D30,Table1[Case downtime],'OEE AHV'!AQ$2)</f>
        <v>0</v>
      </c>
      <c r="AR30" s="114">
        <f>SUMIFS(Table1[Column1],Table1[Date],'OEE AHV'!$B30,Table1[M/C],'OEE AHV'!$D30,Table1[Case downtime],'OEE AHV'!AR$2)</f>
        <v>0</v>
      </c>
      <c r="AS30" s="114">
        <f>SUMIFS(Table1[Column1],Table1[Date],'OEE AHV'!$B30,Table1[M/C],'OEE AHV'!$D30,Table1[Case downtime],'OEE AHV'!AS$2)</f>
        <v>0</v>
      </c>
      <c r="AT30" s="114">
        <f>SUMIFS(Table1[Column1],Table1[Date],'OEE AHV'!$B30,Table1[M/C],'OEE AHV'!$D30,Table1[Case downtime],'OEE AHV'!AT$2)</f>
        <v>0</v>
      </c>
      <c r="AU30" s="114">
        <f>SUMIFS(Table1[Column1],Table1[Date],'OEE AHV'!$B30,Table1[M/C],'OEE AHV'!$D30,Table1[Case downtime],'OEE AHV'!AU$2)</f>
        <v>0</v>
      </c>
      <c r="AV30" s="114">
        <f>SUMIFS(Table1[Column1],Table1[Date],'OEE AHV'!$B30,Table1[M/C],'OEE AHV'!$D30,Table1[Case downtime],'OEE AHV'!AV$2)</f>
        <v>164</v>
      </c>
      <c r="AW30" s="114">
        <f>SUMIFS(Table1[Column1],Table1[Date],'OEE AHV'!$B30,Table1[M/C],'OEE AHV'!$D30,Table1[Case downtime],'OEE AHV'!AW$2)</f>
        <v>0</v>
      </c>
      <c r="AX30" s="183">
        <f>SUMIFS(Table1[Column1],Table1[Date],'OEE AHV'!$B30,Table1[M/C],'OEE AHV'!$D30,Table1[Case downtime],'OEE AHV'!AX$2)</f>
        <v>0</v>
      </c>
    </row>
    <row r="31" spans="2:50" s="115" customFormat="1" ht="30" hidden="1" customHeight="1">
      <c r="B31" s="91">
        <v>46059</v>
      </c>
      <c r="C31" s="92" t="s">
        <v>136</v>
      </c>
      <c r="D31" s="92" t="s">
        <v>121</v>
      </c>
      <c r="E31" s="80">
        <v>4.3</v>
      </c>
      <c r="F31" s="81">
        <v>24</v>
      </c>
      <c r="G31" s="82">
        <f t="shared" si="20"/>
        <v>1440</v>
      </c>
      <c r="H31" s="82">
        <v>0</v>
      </c>
      <c r="I31" s="82">
        <f t="shared" si="3"/>
        <v>1440</v>
      </c>
      <c r="J31" s="82">
        <f t="shared" si="1"/>
        <v>101.93619791666667</v>
      </c>
      <c r="K31" s="83">
        <f t="shared" si="2"/>
        <v>0</v>
      </c>
      <c r="L31" s="82">
        <f t="shared" si="4"/>
        <v>101.93619791666667</v>
      </c>
      <c r="M31" s="84">
        <f t="shared" si="5"/>
        <v>1338.0638020833333</v>
      </c>
      <c r="N31" s="85">
        <v>9212</v>
      </c>
      <c r="O31" s="82"/>
      <c r="P31" s="84">
        <v>7670</v>
      </c>
      <c r="Q31" s="135">
        <f t="shared" si="6"/>
        <v>16882</v>
      </c>
      <c r="R31" s="83">
        <f t="shared" si="7"/>
        <v>0</v>
      </c>
      <c r="S31" s="87">
        <f t="shared" si="8"/>
        <v>16882</v>
      </c>
      <c r="T31" s="88">
        <f t="shared" si="9"/>
        <v>18670.657703488374</v>
      </c>
      <c r="U31" s="89">
        <f t="shared" si="10"/>
        <v>0.92921097366898142</v>
      </c>
      <c r="V31" s="89">
        <f t="shared" si="11"/>
        <v>0.90419953426953004</v>
      </c>
      <c r="W31" s="89">
        <f t="shared" si="12"/>
        <v>1</v>
      </c>
      <c r="X31" s="90">
        <f t="shared" si="13"/>
        <v>0.84019212962962952</v>
      </c>
      <c r="Y31" s="106"/>
      <c r="Z31" s="120">
        <v>0</v>
      </c>
      <c r="AA31" s="117"/>
      <c r="AB31" s="117"/>
      <c r="AC31" s="117"/>
      <c r="AD31" s="118"/>
      <c r="AE31" s="110">
        <f>Table24[[#This Row],[H. จำนวนชิ้น
งานทั้งหมด
ที่ผลิตได้ 
(Total Count)]]/512*1</f>
        <v>32.97265625</v>
      </c>
      <c r="AF31" s="111">
        <f t="shared" si="17"/>
        <v>37.369010416666669</v>
      </c>
      <c r="AG31" s="111">
        <f t="shared" si="18"/>
        <v>19.234049479166668</v>
      </c>
      <c r="AH31" s="111">
        <f t="shared" si="19"/>
        <v>20.333138020833335</v>
      </c>
      <c r="AI31" s="111">
        <v>10</v>
      </c>
      <c r="AJ31" s="112">
        <v>5</v>
      </c>
      <c r="AK31" s="113">
        <v>10</v>
      </c>
      <c r="AL31" s="114">
        <f>SUMIFS(Table1[Column1],Table1[Date],'OEE AHV'!$B31,Table1[M/C],'OEE AHV'!$D31,Table1[Case downtime],'OEE AHV'!AL$2)</f>
        <v>0</v>
      </c>
      <c r="AM31" s="114">
        <f>SUMIFS(Table1[Column1],Table1[Date],'OEE AHV'!$B31,Table1[M/C],'OEE AHV'!$D31,Table1[Case downtime],'OEE AHV'!AM$2)</f>
        <v>0</v>
      </c>
      <c r="AN31" s="114">
        <f>SUMIFS(Table1[Column1],Table1[Date],'OEE AHV'!$B31,Table1[M/C],'OEE AHV'!$D31,Table1[Case downtime],'OEE AHV'!AN$2)</f>
        <v>0</v>
      </c>
      <c r="AO31" s="114">
        <f>SUMIFS(Table1[Column1],Table1[Date],'OEE AHV'!$B31,Table1[M/C],'OEE AHV'!$D31,Table1[Case downtime],'OEE AHV'!AO$2)</f>
        <v>0</v>
      </c>
      <c r="AP31" s="114">
        <f>SUMIFS(Table1[Column1],Table1[Date],'OEE AHV'!$B31,Table1[M/C],'OEE AHV'!$D31,Table1[Case downtime],'OEE AHV'!AP$2)</f>
        <v>0</v>
      </c>
      <c r="AQ31" s="114">
        <f>SUMIFS(Table1[Column1],Table1[Date],'OEE AHV'!$B31,Table1[M/C],'OEE AHV'!$D31,Table1[Case downtime],'OEE AHV'!AQ$2)</f>
        <v>0</v>
      </c>
      <c r="AR31" s="114">
        <f>SUMIFS(Table1[Column1],Table1[Date],'OEE AHV'!$B31,Table1[M/C],'OEE AHV'!$D31,Table1[Case downtime],'OEE AHV'!AR$2)</f>
        <v>0</v>
      </c>
      <c r="AS31" s="114">
        <f>SUMIFS(Table1[Column1],Table1[Date],'OEE AHV'!$B31,Table1[M/C],'OEE AHV'!$D31,Table1[Case downtime],'OEE AHV'!AS$2)</f>
        <v>0</v>
      </c>
      <c r="AT31" s="114">
        <f>SUMIFS(Table1[Column1],Table1[Date],'OEE AHV'!$B31,Table1[M/C],'OEE AHV'!$D31,Table1[Case downtime],'OEE AHV'!AT$2)</f>
        <v>0</v>
      </c>
      <c r="AU31" s="114">
        <f>SUMIFS(Table1[Column1],Table1[Date],'OEE AHV'!$B31,Table1[M/C],'OEE AHV'!$D31,Table1[Case downtime],'OEE AHV'!AU$2)</f>
        <v>0</v>
      </c>
      <c r="AV31" s="114">
        <f>SUMIFS(Table1[Column1],Table1[Date],'OEE AHV'!$B31,Table1[M/C],'OEE AHV'!$D31,Table1[Case downtime],'OEE AHV'!AV$2)</f>
        <v>0</v>
      </c>
      <c r="AW31" s="114">
        <f>SUMIFS(Table1[Column1],Table1[Date],'OEE AHV'!$B31,Table1[M/C],'OEE AHV'!$D31,Table1[Case downtime],'OEE AHV'!AW$2)</f>
        <v>0</v>
      </c>
      <c r="AX31" s="183">
        <f>SUMIFS(Table1[Column1],Table1[Date],'OEE AHV'!$B31,Table1[M/C],'OEE AHV'!$D31,Table1[Case downtime],'OEE AHV'!AX$2)</f>
        <v>0</v>
      </c>
    </row>
    <row r="32" spans="2:50" s="115" customFormat="1" ht="30" hidden="1" customHeight="1">
      <c r="B32" s="91">
        <v>46060</v>
      </c>
      <c r="C32" s="92" t="s">
        <v>136</v>
      </c>
      <c r="D32" s="92" t="s">
        <v>121</v>
      </c>
      <c r="E32" s="80">
        <v>4.3</v>
      </c>
      <c r="F32" s="81">
        <v>24</v>
      </c>
      <c r="G32" s="82">
        <f t="shared" si="20"/>
        <v>1440</v>
      </c>
      <c r="H32" s="82">
        <v>0</v>
      </c>
      <c r="I32" s="82">
        <f t="shared" si="3"/>
        <v>1440</v>
      </c>
      <c r="J32" s="82">
        <f t="shared" si="1"/>
        <v>108.96354166666667</v>
      </c>
      <c r="K32" s="83">
        <f t="shared" si="2"/>
        <v>279</v>
      </c>
      <c r="L32" s="82">
        <f t="shared" si="4"/>
        <v>387.96354166666669</v>
      </c>
      <c r="M32" s="84">
        <f t="shared" si="5"/>
        <v>1052.0364583333333</v>
      </c>
      <c r="N32" s="85">
        <v>9212</v>
      </c>
      <c r="O32" s="82"/>
      <c r="P32" s="84">
        <v>9212</v>
      </c>
      <c r="Q32" s="135">
        <f t="shared" si="6"/>
        <v>18424</v>
      </c>
      <c r="R32" s="83">
        <f t="shared" si="7"/>
        <v>0</v>
      </c>
      <c r="S32" s="87">
        <f t="shared" si="8"/>
        <v>18424</v>
      </c>
      <c r="T32" s="88">
        <f t="shared" si="9"/>
        <v>14679.578488372092</v>
      </c>
      <c r="U32" s="89">
        <f t="shared" si="10"/>
        <v>0.73058087384259252</v>
      </c>
      <c r="V32" s="89">
        <f t="shared" si="11"/>
        <v>1.2550769093672491</v>
      </c>
      <c r="W32" s="89">
        <f t="shared" si="12"/>
        <v>1</v>
      </c>
      <c r="X32" s="90">
        <f t="shared" si="13"/>
        <v>0.91693518518518513</v>
      </c>
      <c r="Y32" s="106"/>
      <c r="Z32" s="120">
        <v>0</v>
      </c>
      <c r="AA32" s="117"/>
      <c r="AB32" s="117"/>
      <c r="AC32" s="117"/>
      <c r="AD32" s="118"/>
      <c r="AE32" s="110">
        <f>Table24[[#This Row],[H. จำนวนชิ้น
งานทั้งหมด
ที่ผลิตได้ 
(Total Count)]]/512*1</f>
        <v>35.984375</v>
      </c>
      <c r="AF32" s="111">
        <f t="shared" si="17"/>
        <v>40.782291666666666</v>
      </c>
      <c r="AG32" s="111">
        <f t="shared" si="18"/>
        <v>20.990885416666668</v>
      </c>
      <c r="AH32" s="111">
        <f t="shared" si="19"/>
        <v>22.190364583333334</v>
      </c>
      <c r="AI32" s="111">
        <v>10</v>
      </c>
      <c r="AJ32" s="112">
        <v>5</v>
      </c>
      <c r="AK32" s="113">
        <v>10</v>
      </c>
      <c r="AL32" s="114">
        <f>SUMIFS(Table1[Column1],Table1[Date],'OEE AHV'!$B32,Table1[M/C],'OEE AHV'!$D32,Table1[Case downtime],'OEE AHV'!AL$2)</f>
        <v>0</v>
      </c>
      <c r="AM32" s="114">
        <f>SUMIFS(Table1[Column1],Table1[Date],'OEE AHV'!$B32,Table1[M/C],'OEE AHV'!$D32,Table1[Case downtime],'OEE AHV'!AM$2)</f>
        <v>0</v>
      </c>
      <c r="AN32" s="114">
        <f>SUMIFS(Table1[Column1],Table1[Date],'OEE AHV'!$B32,Table1[M/C],'OEE AHV'!$D32,Table1[Case downtime],'OEE AHV'!AN$2)</f>
        <v>0</v>
      </c>
      <c r="AO32" s="114">
        <f>SUMIFS(Table1[Column1],Table1[Date],'OEE AHV'!$B32,Table1[M/C],'OEE AHV'!$D32,Table1[Case downtime],'OEE AHV'!AO$2)</f>
        <v>0</v>
      </c>
      <c r="AP32" s="114">
        <f>SUMIFS(Table1[Column1],Table1[Date],'OEE AHV'!$B32,Table1[M/C],'OEE AHV'!$D32,Table1[Case downtime],'OEE AHV'!AP$2)</f>
        <v>0</v>
      </c>
      <c r="AQ32" s="114">
        <f>SUMIFS(Table1[Column1],Table1[Date],'OEE AHV'!$B32,Table1[M/C],'OEE AHV'!$D32,Table1[Case downtime],'OEE AHV'!AQ$2)</f>
        <v>0</v>
      </c>
      <c r="AR32" s="114">
        <f>SUMIFS(Table1[Column1],Table1[Date],'OEE AHV'!$B32,Table1[M/C],'OEE AHV'!$D32,Table1[Case downtime],'OEE AHV'!AR$2)</f>
        <v>0</v>
      </c>
      <c r="AS32" s="114">
        <f>SUMIFS(Table1[Column1],Table1[Date],'OEE AHV'!$B32,Table1[M/C],'OEE AHV'!$D32,Table1[Case downtime],'OEE AHV'!AS$2)</f>
        <v>0</v>
      </c>
      <c r="AT32" s="114">
        <f>SUMIFS(Table1[Column1],Table1[Date],'OEE AHV'!$B32,Table1[M/C],'OEE AHV'!$D32,Table1[Case downtime],'OEE AHV'!AT$2)</f>
        <v>0</v>
      </c>
      <c r="AU32" s="114">
        <f>SUMIFS(Table1[Column1],Table1[Date],'OEE AHV'!$B32,Table1[M/C],'OEE AHV'!$D32,Table1[Case downtime],'OEE AHV'!AU$2)</f>
        <v>0</v>
      </c>
      <c r="AV32" s="114">
        <f>SUMIFS(Table1[Column1],Table1[Date],'OEE AHV'!$B32,Table1[M/C],'OEE AHV'!$D32,Table1[Case downtime],'OEE AHV'!AV$2)</f>
        <v>279</v>
      </c>
      <c r="AW32" s="114">
        <f>SUMIFS(Table1[Column1],Table1[Date],'OEE AHV'!$B32,Table1[M/C],'OEE AHV'!$D32,Table1[Case downtime],'OEE AHV'!AW$2)</f>
        <v>0</v>
      </c>
      <c r="AX32" s="183">
        <f>SUMIFS(Table1[Column1],Table1[Date],'OEE AHV'!$B32,Table1[M/C],'OEE AHV'!$D32,Table1[Case downtime],'OEE AHV'!AX$2)</f>
        <v>0</v>
      </c>
    </row>
    <row r="33" spans="2:50" s="115" customFormat="1" ht="30" hidden="1" customHeight="1">
      <c r="B33" s="91">
        <v>46061</v>
      </c>
      <c r="C33" s="92" t="s">
        <v>136</v>
      </c>
      <c r="D33" s="92" t="s">
        <v>121</v>
      </c>
      <c r="E33" s="80">
        <v>4.3</v>
      </c>
      <c r="F33" s="81">
        <v>12</v>
      </c>
      <c r="G33" s="82">
        <f t="shared" ref="G33:G40" si="21">F33*60</f>
        <v>720</v>
      </c>
      <c r="H33" s="82">
        <v>0</v>
      </c>
      <c r="I33" s="82">
        <f t="shared" ref="I33:I96" si="22">+G33-H33</f>
        <v>720</v>
      </c>
      <c r="J33" s="82">
        <f t="shared" si="1"/>
        <v>34.333333333333336</v>
      </c>
      <c r="K33" s="83">
        <f t="shared" si="2"/>
        <v>0</v>
      </c>
      <c r="L33" s="82">
        <f t="shared" si="4"/>
        <v>34.333333333333336</v>
      </c>
      <c r="M33" s="84">
        <f t="shared" si="5"/>
        <v>685.66666666666663</v>
      </c>
      <c r="N33" s="85">
        <v>0</v>
      </c>
      <c r="O33" s="82"/>
      <c r="P33" s="84">
        <v>2048</v>
      </c>
      <c r="Q33" s="135">
        <f t="shared" si="6"/>
        <v>2048</v>
      </c>
      <c r="R33" s="83">
        <f t="shared" si="7"/>
        <v>1</v>
      </c>
      <c r="S33" s="87">
        <f t="shared" si="8"/>
        <v>2047</v>
      </c>
      <c r="T33" s="88">
        <f t="shared" si="9"/>
        <v>9567.4418604651164</v>
      </c>
      <c r="U33" s="89">
        <f>IFERROR(M33/I33," ")</f>
        <v>0.95231481481481473</v>
      </c>
      <c r="V33" s="89">
        <f t="shared" si="11"/>
        <v>0.21405930967428294</v>
      </c>
      <c r="W33" s="89">
        <f t="shared" si="12"/>
        <v>0.99951171875</v>
      </c>
      <c r="X33" s="90">
        <f t="shared" si="13"/>
        <v>0.20375231481481479</v>
      </c>
      <c r="Y33" s="106"/>
      <c r="Z33" s="120">
        <v>1</v>
      </c>
      <c r="AA33" s="117"/>
      <c r="AB33" s="117"/>
      <c r="AC33" s="117"/>
      <c r="AD33" s="118"/>
      <c r="AE33" s="110">
        <f>Table24[[#This Row],[H. จำนวนชิ้น
งานทั้งหมด
ที่ผลิตได้ 
(Total Count)]]/512*1</f>
        <v>4</v>
      </c>
      <c r="AF33" s="111">
        <f t="shared" ref="AF33:AF40" si="23">(Q33/512*68/60)</f>
        <v>4.5333333333333332</v>
      </c>
      <c r="AG33" s="111">
        <f t="shared" ref="AG33:AG40" si="24">(Q33/512*35/60)</f>
        <v>2.3333333333333335</v>
      </c>
      <c r="AH33" s="111">
        <f t="shared" ref="AH33:AH40" si="25">(Q33/512*37/60)</f>
        <v>2.4666666666666668</v>
      </c>
      <c r="AI33" s="111">
        <v>10</v>
      </c>
      <c r="AJ33" s="112">
        <v>5</v>
      </c>
      <c r="AK33" s="113">
        <v>10</v>
      </c>
      <c r="AL33" s="114">
        <f>SUMIFS(Table1[Column1],Table1[Date],'OEE AHV'!$B33,Table1[M/C],'OEE AHV'!$D33,Table1[Case downtime],'OEE AHV'!AL$2)</f>
        <v>0</v>
      </c>
      <c r="AM33" s="114">
        <f>SUMIFS(Table1[Column1],Table1[Date],'OEE AHV'!$B33,Table1[M/C],'OEE AHV'!$D33,Table1[Case downtime],'OEE AHV'!AM$2)</f>
        <v>0</v>
      </c>
      <c r="AN33" s="114">
        <f>SUMIFS(Table1[Column1],Table1[Date],'OEE AHV'!$B33,Table1[M/C],'OEE AHV'!$D33,Table1[Case downtime],'OEE AHV'!AN$2)</f>
        <v>0</v>
      </c>
      <c r="AO33" s="114">
        <f>SUMIFS(Table1[Column1],Table1[Date],'OEE AHV'!$B33,Table1[M/C],'OEE AHV'!$D33,Table1[Case downtime],'OEE AHV'!AO$2)</f>
        <v>0</v>
      </c>
      <c r="AP33" s="114">
        <f>SUMIFS(Table1[Column1],Table1[Date],'OEE AHV'!$B33,Table1[M/C],'OEE AHV'!$D33,Table1[Case downtime],'OEE AHV'!AP$2)</f>
        <v>0</v>
      </c>
      <c r="AQ33" s="114">
        <f>SUMIFS(Table1[Column1],Table1[Date],'OEE AHV'!$B33,Table1[M/C],'OEE AHV'!$D33,Table1[Case downtime],'OEE AHV'!AQ$2)</f>
        <v>0</v>
      </c>
      <c r="AR33" s="114">
        <f>SUMIFS(Table1[Column1],Table1[Date],'OEE AHV'!$B33,Table1[M/C],'OEE AHV'!$D33,Table1[Case downtime],'OEE AHV'!AR$2)</f>
        <v>0</v>
      </c>
      <c r="AS33" s="114">
        <f>SUMIFS(Table1[Column1],Table1[Date],'OEE AHV'!$B33,Table1[M/C],'OEE AHV'!$D33,Table1[Case downtime],'OEE AHV'!AS$2)</f>
        <v>0</v>
      </c>
      <c r="AT33" s="114">
        <f>SUMIFS(Table1[Column1],Table1[Date],'OEE AHV'!$B33,Table1[M/C],'OEE AHV'!$D33,Table1[Case downtime],'OEE AHV'!AT$2)</f>
        <v>0</v>
      </c>
      <c r="AU33" s="114">
        <f>SUMIFS(Table1[Column1],Table1[Date],'OEE AHV'!$B33,Table1[M/C],'OEE AHV'!$D33,Table1[Case downtime],'OEE AHV'!AU$2)</f>
        <v>0</v>
      </c>
      <c r="AV33" s="114">
        <f>SUMIFS(Table1[Column1],Table1[Date],'OEE AHV'!$B33,Table1[M/C],'OEE AHV'!$D33,Table1[Case downtime],'OEE AHV'!AV$2)</f>
        <v>0</v>
      </c>
      <c r="AW33" s="114">
        <f>SUMIFS(Table1[Column1],Table1[Date],'OEE AHV'!$B33,Table1[M/C],'OEE AHV'!$D33,Table1[Case downtime],'OEE AHV'!AW$2)</f>
        <v>0</v>
      </c>
      <c r="AX33" s="183">
        <f>SUMIFS(Table1[Column1],Table1[Date],'OEE AHV'!$B33,Table1[M/C],'OEE AHV'!$D33,Table1[Case downtime],'OEE AHV'!AX$2)</f>
        <v>0</v>
      </c>
    </row>
    <row r="34" spans="2:50" s="115" customFormat="1" ht="30" hidden="1" customHeight="1">
      <c r="B34" s="91">
        <v>46062</v>
      </c>
      <c r="C34" s="92" t="s">
        <v>136</v>
      </c>
      <c r="D34" s="92" t="s">
        <v>121</v>
      </c>
      <c r="E34" s="80">
        <v>4.3</v>
      </c>
      <c r="F34" s="81">
        <v>24</v>
      </c>
      <c r="G34" s="82">
        <f t="shared" si="21"/>
        <v>1440</v>
      </c>
      <c r="H34" s="82">
        <v>0</v>
      </c>
      <c r="I34" s="82">
        <f t="shared" si="22"/>
        <v>1440</v>
      </c>
      <c r="J34" s="82">
        <f t="shared" si="1"/>
        <v>99.639322916666657</v>
      </c>
      <c r="K34" s="83">
        <f t="shared" si="2"/>
        <v>196</v>
      </c>
      <c r="L34" s="82">
        <f t="shared" si="4"/>
        <v>295.63932291666663</v>
      </c>
      <c r="M34" s="84">
        <f t="shared" si="5"/>
        <v>1144.3606770833335</v>
      </c>
      <c r="N34" s="85">
        <v>9212</v>
      </c>
      <c r="O34" s="82"/>
      <c r="P34" s="84">
        <v>7166</v>
      </c>
      <c r="Q34" s="135">
        <f t="shared" si="6"/>
        <v>16378</v>
      </c>
      <c r="R34" s="83">
        <f t="shared" si="7"/>
        <v>0</v>
      </c>
      <c r="S34" s="87">
        <f t="shared" si="8"/>
        <v>16378</v>
      </c>
      <c r="T34" s="88">
        <f t="shared" si="9"/>
        <v>15967.823401162796</v>
      </c>
      <c r="U34" s="89">
        <f t="shared" si="10"/>
        <v>0.79469491464120379</v>
      </c>
      <c r="V34" s="89">
        <f t="shared" si="11"/>
        <v>1.025687696346099</v>
      </c>
      <c r="W34" s="89">
        <f t="shared" si="12"/>
        <v>1</v>
      </c>
      <c r="X34" s="90">
        <f t="shared" si="13"/>
        <v>0.81510879629629607</v>
      </c>
      <c r="Y34" s="106"/>
      <c r="Z34" s="120">
        <v>0</v>
      </c>
      <c r="AA34" s="117"/>
      <c r="AB34" s="117"/>
      <c r="AC34" s="117"/>
      <c r="AD34" s="118"/>
      <c r="AE34" s="110">
        <f>Table24[[#This Row],[H. จำนวนชิ้น
งานทั้งหมด
ที่ผลิตได้ 
(Total Count)]]/512*1</f>
        <v>31.98828125</v>
      </c>
      <c r="AF34" s="111">
        <f t="shared" si="23"/>
        <v>36.253385416666667</v>
      </c>
      <c r="AG34" s="111">
        <f t="shared" si="24"/>
        <v>18.659830729166668</v>
      </c>
      <c r="AH34" s="111">
        <f t="shared" si="25"/>
        <v>19.726106770833333</v>
      </c>
      <c r="AI34" s="111">
        <v>10</v>
      </c>
      <c r="AJ34" s="112">
        <v>5</v>
      </c>
      <c r="AK34" s="113">
        <v>10</v>
      </c>
      <c r="AL34" s="114">
        <f>SUMIFS(Table1[Column1],Table1[Date],'OEE AHV'!$B34,Table1[M/C],'OEE AHV'!$D34,Table1[Case downtime],'OEE AHV'!AL$2)</f>
        <v>20</v>
      </c>
      <c r="AM34" s="114">
        <f>SUMIFS(Table1[Column1],Table1[Date],'OEE AHV'!$B34,Table1[M/C],'OEE AHV'!$D34,Table1[Case downtime],'OEE AHV'!AM$2)</f>
        <v>0</v>
      </c>
      <c r="AN34" s="114">
        <f>SUMIFS(Table1[Column1],Table1[Date],'OEE AHV'!$B34,Table1[M/C],'OEE AHV'!$D34,Table1[Case downtime],'OEE AHV'!AN$2)</f>
        <v>0</v>
      </c>
      <c r="AO34" s="114">
        <f>SUMIFS(Table1[Column1],Table1[Date],'OEE AHV'!$B34,Table1[M/C],'OEE AHV'!$D34,Table1[Case downtime],'OEE AHV'!AO$2)</f>
        <v>0</v>
      </c>
      <c r="AP34" s="114">
        <f>SUMIFS(Table1[Column1],Table1[Date],'OEE AHV'!$B34,Table1[M/C],'OEE AHV'!$D34,Table1[Case downtime],'OEE AHV'!AP$2)</f>
        <v>0</v>
      </c>
      <c r="AQ34" s="114">
        <f>SUMIFS(Table1[Column1],Table1[Date],'OEE AHV'!$B34,Table1[M/C],'OEE AHV'!$D34,Table1[Case downtime],'OEE AHV'!AQ$2)</f>
        <v>0</v>
      </c>
      <c r="AR34" s="114">
        <f>SUMIFS(Table1[Column1],Table1[Date],'OEE AHV'!$B34,Table1[M/C],'OEE AHV'!$D34,Table1[Case downtime],'OEE AHV'!AR$2)</f>
        <v>0</v>
      </c>
      <c r="AS34" s="114">
        <f>SUMIFS(Table1[Column1],Table1[Date],'OEE AHV'!$B34,Table1[M/C],'OEE AHV'!$D34,Table1[Case downtime],'OEE AHV'!AS$2)</f>
        <v>0</v>
      </c>
      <c r="AT34" s="114">
        <f>SUMIFS(Table1[Column1],Table1[Date],'OEE AHV'!$B34,Table1[M/C],'OEE AHV'!$D34,Table1[Case downtime],'OEE AHV'!AT$2)</f>
        <v>120</v>
      </c>
      <c r="AU34" s="114">
        <f>SUMIFS(Table1[Column1],Table1[Date],'OEE AHV'!$B34,Table1[M/C],'OEE AHV'!$D34,Table1[Case downtime],'OEE AHV'!AU$2)</f>
        <v>0</v>
      </c>
      <c r="AV34" s="114">
        <f>SUMIFS(Table1[Column1],Table1[Date],'OEE AHV'!$B34,Table1[M/C],'OEE AHV'!$D34,Table1[Case downtime],'OEE AHV'!AV$2)</f>
        <v>56</v>
      </c>
      <c r="AW34" s="114">
        <f>SUMIFS(Table1[Column1],Table1[Date],'OEE AHV'!$B34,Table1[M/C],'OEE AHV'!$D34,Table1[Case downtime],'OEE AHV'!AW$2)</f>
        <v>0</v>
      </c>
      <c r="AX34" s="183">
        <f>SUMIFS(Table1[Column1],Table1[Date],'OEE AHV'!$B34,Table1[M/C],'OEE AHV'!$D34,Table1[Case downtime],'OEE AHV'!AX$2)</f>
        <v>0</v>
      </c>
    </row>
    <row r="35" spans="2:50" s="115" customFormat="1" ht="30" hidden="1" customHeight="1">
      <c r="B35" s="91">
        <v>46063</v>
      </c>
      <c r="C35" s="92" t="s">
        <v>136</v>
      </c>
      <c r="D35" s="92" t="s">
        <v>121</v>
      </c>
      <c r="E35" s="80">
        <v>4.3</v>
      </c>
      <c r="F35" s="81">
        <v>24</v>
      </c>
      <c r="G35" s="82">
        <f t="shared" si="21"/>
        <v>1440</v>
      </c>
      <c r="H35" s="82">
        <v>0</v>
      </c>
      <c r="I35" s="82">
        <f t="shared" si="22"/>
        <v>1440</v>
      </c>
      <c r="J35" s="82">
        <f t="shared" ref="J35:J66" si="26">SUM(AF35:AK35)</f>
        <v>113.607421875</v>
      </c>
      <c r="K35" s="83">
        <f t="shared" ref="K35:K66" si="27">SUM(AL35:AX35)</f>
        <v>0</v>
      </c>
      <c r="L35" s="82">
        <f t="shared" si="4"/>
        <v>113.607421875</v>
      </c>
      <c r="M35" s="84">
        <f t="shared" si="5"/>
        <v>1326.392578125</v>
      </c>
      <c r="N35" s="85">
        <v>9724</v>
      </c>
      <c r="O35" s="82"/>
      <c r="P35" s="84">
        <v>9719</v>
      </c>
      <c r="Q35" s="135">
        <f t="shared" si="6"/>
        <v>19443</v>
      </c>
      <c r="R35" s="83">
        <f t="shared" si="7"/>
        <v>3</v>
      </c>
      <c r="S35" s="87">
        <f t="shared" si="8"/>
        <v>19440</v>
      </c>
      <c r="T35" s="88">
        <f t="shared" si="9"/>
        <v>18507.803415697676</v>
      </c>
      <c r="U35" s="89">
        <f t="shared" si="10"/>
        <v>0.92110595703124998</v>
      </c>
      <c r="V35" s="89">
        <f t="shared" si="11"/>
        <v>1.0505298529110767</v>
      </c>
      <c r="W35" s="89">
        <f t="shared" si="12"/>
        <v>0.99984570282363838</v>
      </c>
      <c r="X35" s="90">
        <f t="shared" si="13"/>
        <v>0.96750000000000014</v>
      </c>
      <c r="Y35" s="106"/>
      <c r="Z35" s="120">
        <v>3</v>
      </c>
      <c r="AA35" s="117"/>
      <c r="AB35" s="117"/>
      <c r="AC35" s="117"/>
      <c r="AD35" s="118"/>
      <c r="AE35" s="110">
        <f>Table24[[#This Row],[H. จำนวนชิ้น
งานทั้งหมด
ที่ผลิตได้ 
(Total Count)]]/512*1</f>
        <v>37.974609375</v>
      </c>
      <c r="AF35" s="111">
        <f t="shared" si="23"/>
        <v>43.037890625000003</v>
      </c>
      <c r="AG35" s="111">
        <f t="shared" si="24"/>
        <v>22.15185546875</v>
      </c>
      <c r="AH35" s="111">
        <f t="shared" si="25"/>
        <v>23.417675781250001</v>
      </c>
      <c r="AI35" s="111">
        <v>10</v>
      </c>
      <c r="AJ35" s="112">
        <v>5</v>
      </c>
      <c r="AK35" s="113">
        <v>10</v>
      </c>
      <c r="AL35" s="114">
        <f>SUMIFS(Table1[Column1],Table1[Date],'OEE AHV'!$B35,Table1[M/C],'OEE AHV'!$D35,Table1[Case downtime],'OEE AHV'!AL$2)</f>
        <v>0</v>
      </c>
      <c r="AM35" s="114">
        <f>SUMIFS(Table1[Column1],Table1[Date],'OEE AHV'!$B35,Table1[M/C],'OEE AHV'!$D35,Table1[Case downtime],'OEE AHV'!AM$2)</f>
        <v>0</v>
      </c>
      <c r="AN35" s="114">
        <f>SUMIFS(Table1[Column1],Table1[Date],'OEE AHV'!$B35,Table1[M/C],'OEE AHV'!$D35,Table1[Case downtime],'OEE AHV'!AN$2)</f>
        <v>0</v>
      </c>
      <c r="AO35" s="114">
        <f>SUMIFS(Table1[Column1],Table1[Date],'OEE AHV'!$B35,Table1[M/C],'OEE AHV'!$D35,Table1[Case downtime],'OEE AHV'!AO$2)</f>
        <v>0</v>
      </c>
      <c r="AP35" s="114">
        <f>SUMIFS(Table1[Column1],Table1[Date],'OEE AHV'!$B35,Table1[M/C],'OEE AHV'!$D35,Table1[Case downtime],'OEE AHV'!AP$2)</f>
        <v>0</v>
      </c>
      <c r="AQ35" s="114">
        <f>SUMIFS(Table1[Column1],Table1[Date],'OEE AHV'!$B35,Table1[M/C],'OEE AHV'!$D35,Table1[Case downtime],'OEE AHV'!AQ$2)</f>
        <v>0</v>
      </c>
      <c r="AR35" s="114">
        <f>SUMIFS(Table1[Column1],Table1[Date],'OEE AHV'!$B35,Table1[M/C],'OEE AHV'!$D35,Table1[Case downtime],'OEE AHV'!AR$2)</f>
        <v>0</v>
      </c>
      <c r="AS35" s="114">
        <f>SUMIFS(Table1[Column1],Table1[Date],'OEE AHV'!$B35,Table1[M/C],'OEE AHV'!$D35,Table1[Case downtime],'OEE AHV'!AS$2)</f>
        <v>0</v>
      </c>
      <c r="AT35" s="114">
        <f>SUMIFS(Table1[Column1],Table1[Date],'OEE AHV'!$B35,Table1[M/C],'OEE AHV'!$D35,Table1[Case downtime],'OEE AHV'!AT$2)</f>
        <v>0</v>
      </c>
      <c r="AU35" s="114">
        <f>SUMIFS(Table1[Column1],Table1[Date],'OEE AHV'!$B35,Table1[M/C],'OEE AHV'!$D35,Table1[Case downtime],'OEE AHV'!AU$2)</f>
        <v>0</v>
      </c>
      <c r="AV35" s="114">
        <f>SUMIFS(Table1[Column1],Table1[Date],'OEE AHV'!$B35,Table1[M/C],'OEE AHV'!$D35,Table1[Case downtime],'OEE AHV'!AV$2)</f>
        <v>0</v>
      </c>
      <c r="AW35" s="114">
        <f>SUMIFS(Table1[Column1],Table1[Date],'OEE AHV'!$B35,Table1[M/C],'OEE AHV'!$D35,Table1[Case downtime],'OEE AHV'!AW$2)</f>
        <v>0</v>
      </c>
      <c r="AX35" s="183">
        <f>SUMIFS(Table1[Column1],Table1[Date],'OEE AHV'!$B35,Table1[M/C],'OEE AHV'!$D35,Table1[Case downtime],'OEE AHV'!AX$2)</f>
        <v>0</v>
      </c>
    </row>
    <row r="36" spans="2:50" s="115" customFormat="1" ht="30" hidden="1" customHeight="1">
      <c r="B36" s="91">
        <v>46064</v>
      </c>
      <c r="C36" s="92" t="s">
        <v>136</v>
      </c>
      <c r="D36" s="92" t="s">
        <v>121</v>
      </c>
      <c r="E36" s="80">
        <v>4.3</v>
      </c>
      <c r="F36" s="81">
        <v>24</v>
      </c>
      <c r="G36" s="82">
        <f t="shared" si="21"/>
        <v>1440</v>
      </c>
      <c r="H36" s="82">
        <v>0</v>
      </c>
      <c r="I36" s="82">
        <f t="shared" si="22"/>
        <v>1440</v>
      </c>
      <c r="J36" s="82">
        <f t="shared" si="26"/>
        <v>113.580078125</v>
      </c>
      <c r="K36" s="83">
        <f t="shared" si="27"/>
        <v>0</v>
      </c>
      <c r="L36" s="82">
        <f t="shared" si="4"/>
        <v>113.580078125</v>
      </c>
      <c r="M36" s="84">
        <f t="shared" si="5"/>
        <v>1326.419921875</v>
      </c>
      <c r="N36" s="85">
        <v>9724</v>
      </c>
      <c r="O36" s="82"/>
      <c r="P36" s="84">
        <v>9713</v>
      </c>
      <c r="Q36" s="135">
        <f t="shared" si="6"/>
        <v>19437</v>
      </c>
      <c r="R36" s="83">
        <f t="shared" si="7"/>
        <v>0</v>
      </c>
      <c r="S36" s="87">
        <f t="shared" si="8"/>
        <v>19437</v>
      </c>
      <c r="T36" s="88">
        <f t="shared" si="9"/>
        <v>18508.184956395351</v>
      </c>
      <c r="U36" s="89">
        <f t="shared" si="10"/>
        <v>0.92112494574652781</v>
      </c>
      <c r="V36" s="89">
        <f t="shared" si="11"/>
        <v>1.0501840156553928</v>
      </c>
      <c r="W36" s="89">
        <f t="shared" si="12"/>
        <v>1</v>
      </c>
      <c r="X36" s="90">
        <f t="shared" si="13"/>
        <v>0.96735069444444433</v>
      </c>
      <c r="Y36" s="106"/>
      <c r="Z36" s="120">
        <v>0</v>
      </c>
      <c r="AA36" s="117"/>
      <c r="AB36" s="117"/>
      <c r="AC36" s="117"/>
      <c r="AD36" s="118"/>
      <c r="AE36" s="110">
        <f>Table24[[#This Row],[H. จำนวนชิ้น
งานทั้งหมด
ที่ผลิตได้ 
(Total Count)]]/512*1</f>
        <v>37.962890625</v>
      </c>
      <c r="AF36" s="111">
        <f t="shared" si="23"/>
        <v>43.024609374999997</v>
      </c>
      <c r="AG36" s="111">
        <f t="shared" si="24"/>
        <v>22.14501953125</v>
      </c>
      <c r="AH36" s="111">
        <f t="shared" si="25"/>
        <v>23.410449218749999</v>
      </c>
      <c r="AI36" s="111">
        <v>10</v>
      </c>
      <c r="AJ36" s="112">
        <v>5</v>
      </c>
      <c r="AK36" s="113">
        <v>10</v>
      </c>
      <c r="AL36" s="114">
        <f>SUMIFS(Table1[Column1],Table1[Date],'OEE AHV'!$B36,Table1[M/C],'OEE AHV'!$D36,Table1[Case downtime],'OEE AHV'!AL$2)</f>
        <v>0</v>
      </c>
      <c r="AM36" s="114">
        <f>SUMIFS(Table1[Column1],Table1[Date],'OEE AHV'!$B36,Table1[M/C],'OEE AHV'!$D36,Table1[Case downtime],'OEE AHV'!AM$2)</f>
        <v>0</v>
      </c>
      <c r="AN36" s="114">
        <f>SUMIFS(Table1[Column1],Table1[Date],'OEE AHV'!$B36,Table1[M/C],'OEE AHV'!$D36,Table1[Case downtime],'OEE AHV'!AN$2)</f>
        <v>0</v>
      </c>
      <c r="AO36" s="114">
        <f>SUMIFS(Table1[Column1],Table1[Date],'OEE AHV'!$B36,Table1[M/C],'OEE AHV'!$D36,Table1[Case downtime],'OEE AHV'!AO$2)</f>
        <v>0</v>
      </c>
      <c r="AP36" s="114">
        <f>SUMIFS(Table1[Column1],Table1[Date],'OEE AHV'!$B36,Table1[M/C],'OEE AHV'!$D36,Table1[Case downtime],'OEE AHV'!AP$2)</f>
        <v>0</v>
      </c>
      <c r="AQ36" s="114">
        <f>SUMIFS(Table1[Column1],Table1[Date],'OEE AHV'!$B36,Table1[M/C],'OEE AHV'!$D36,Table1[Case downtime],'OEE AHV'!AQ$2)</f>
        <v>0</v>
      </c>
      <c r="AR36" s="114">
        <f>SUMIFS(Table1[Column1],Table1[Date],'OEE AHV'!$B36,Table1[M/C],'OEE AHV'!$D36,Table1[Case downtime],'OEE AHV'!AR$2)</f>
        <v>0</v>
      </c>
      <c r="AS36" s="114">
        <f>SUMIFS(Table1[Column1],Table1[Date],'OEE AHV'!$B36,Table1[M/C],'OEE AHV'!$D36,Table1[Case downtime],'OEE AHV'!AS$2)</f>
        <v>0</v>
      </c>
      <c r="AT36" s="114">
        <f>SUMIFS(Table1[Column1],Table1[Date],'OEE AHV'!$B36,Table1[M/C],'OEE AHV'!$D36,Table1[Case downtime],'OEE AHV'!AT$2)</f>
        <v>0</v>
      </c>
      <c r="AU36" s="114">
        <f>SUMIFS(Table1[Column1],Table1[Date],'OEE AHV'!$B36,Table1[M/C],'OEE AHV'!$D36,Table1[Case downtime],'OEE AHV'!AU$2)</f>
        <v>0</v>
      </c>
      <c r="AV36" s="114">
        <f>SUMIFS(Table1[Column1],Table1[Date],'OEE AHV'!$B36,Table1[M/C],'OEE AHV'!$D36,Table1[Case downtime],'OEE AHV'!AV$2)</f>
        <v>0</v>
      </c>
      <c r="AW36" s="114">
        <f>SUMIFS(Table1[Column1],Table1[Date],'OEE AHV'!$B36,Table1[M/C],'OEE AHV'!$D36,Table1[Case downtime],'OEE AHV'!AW$2)</f>
        <v>0</v>
      </c>
      <c r="AX36" s="183">
        <f>SUMIFS(Table1[Column1],Table1[Date],'OEE AHV'!$B36,Table1[M/C],'OEE AHV'!$D36,Table1[Case downtime],'OEE AHV'!AX$2)</f>
        <v>0</v>
      </c>
    </row>
    <row r="37" spans="2:50" s="115" customFormat="1" ht="30" hidden="1" customHeight="1">
      <c r="B37" s="91">
        <v>46065</v>
      </c>
      <c r="C37" s="92" t="s">
        <v>136</v>
      </c>
      <c r="D37" s="92" t="s">
        <v>121</v>
      </c>
      <c r="E37" s="80">
        <v>4.3</v>
      </c>
      <c r="F37" s="81">
        <v>24</v>
      </c>
      <c r="G37" s="82">
        <f t="shared" si="21"/>
        <v>1440</v>
      </c>
      <c r="H37" s="82">
        <v>0</v>
      </c>
      <c r="I37" s="82">
        <f t="shared" si="22"/>
        <v>1440</v>
      </c>
      <c r="J37" s="82">
        <f t="shared" si="26"/>
        <v>108.92708333333333</v>
      </c>
      <c r="K37" s="83">
        <f t="shared" si="27"/>
        <v>0</v>
      </c>
      <c r="L37" s="82">
        <f t="shared" si="4"/>
        <v>108.92708333333333</v>
      </c>
      <c r="M37" s="84">
        <f t="shared" si="5"/>
        <v>1331.0729166666667</v>
      </c>
      <c r="N37" s="85">
        <v>8696</v>
      </c>
      <c r="O37" s="82"/>
      <c r="P37" s="84">
        <v>9720</v>
      </c>
      <c r="Q37" s="135">
        <f t="shared" si="6"/>
        <v>18416</v>
      </c>
      <c r="R37" s="83">
        <f t="shared" si="7"/>
        <v>5</v>
      </c>
      <c r="S37" s="87">
        <f t="shared" si="8"/>
        <v>18411</v>
      </c>
      <c r="T37" s="88">
        <f t="shared" si="9"/>
        <v>18573.110465116279</v>
      </c>
      <c r="U37" s="89">
        <f t="shared" si="10"/>
        <v>0.92435619212962972</v>
      </c>
      <c r="V37" s="89">
        <f t="shared" si="11"/>
        <v>0.99154097180376111</v>
      </c>
      <c r="W37" s="89">
        <f t="shared" si="12"/>
        <v>0.99972849695916599</v>
      </c>
      <c r="X37" s="90">
        <f t="shared" si="13"/>
        <v>0.91628819444444465</v>
      </c>
      <c r="Y37" s="106"/>
      <c r="Z37" s="120">
        <v>5</v>
      </c>
      <c r="AA37" s="117"/>
      <c r="AB37" s="117"/>
      <c r="AC37" s="117"/>
      <c r="AD37" s="118"/>
      <c r="AE37" s="110">
        <f>Table24[[#This Row],[H. จำนวนชิ้น
งานทั้งหมด
ที่ผลิตได้ 
(Total Count)]]/512*1</f>
        <v>35.96875</v>
      </c>
      <c r="AF37" s="111">
        <f t="shared" si="23"/>
        <v>40.764583333333334</v>
      </c>
      <c r="AG37" s="111">
        <f t="shared" si="24"/>
        <v>20.981770833333332</v>
      </c>
      <c r="AH37" s="111">
        <f t="shared" si="25"/>
        <v>22.180729166666666</v>
      </c>
      <c r="AI37" s="111">
        <v>10</v>
      </c>
      <c r="AJ37" s="112">
        <v>5</v>
      </c>
      <c r="AK37" s="113">
        <v>10</v>
      </c>
      <c r="AL37" s="114">
        <f>SUMIFS(Table1[Column1],Table1[Date],'OEE AHV'!$B37,Table1[M/C],'OEE AHV'!$D37,Table1[Case downtime],'OEE AHV'!AL$2)</f>
        <v>0</v>
      </c>
      <c r="AM37" s="114">
        <f>SUMIFS(Table1[Column1],Table1[Date],'OEE AHV'!$B37,Table1[M/C],'OEE AHV'!$D37,Table1[Case downtime],'OEE AHV'!AM$2)</f>
        <v>0</v>
      </c>
      <c r="AN37" s="114">
        <f>SUMIFS(Table1[Column1],Table1[Date],'OEE AHV'!$B37,Table1[M/C],'OEE AHV'!$D37,Table1[Case downtime],'OEE AHV'!AN$2)</f>
        <v>0</v>
      </c>
      <c r="AO37" s="114">
        <f>SUMIFS(Table1[Column1],Table1[Date],'OEE AHV'!$B37,Table1[M/C],'OEE AHV'!$D37,Table1[Case downtime],'OEE AHV'!AO$2)</f>
        <v>0</v>
      </c>
      <c r="AP37" s="114">
        <f>SUMIFS(Table1[Column1],Table1[Date],'OEE AHV'!$B37,Table1[M/C],'OEE AHV'!$D37,Table1[Case downtime],'OEE AHV'!AP$2)</f>
        <v>0</v>
      </c>
      <c r="AQ37" s="114">
        <f>SUMIFS(Table1[Column1],Table1[Date],'OEE AHV'!$B37,Table1[M/C],'OEE AHV'!$D37,Table1[Case downtime],'OEE AHV'!AQ$2)</f>
        <v>0</v>
      </c>
      <c r="AR37" s="114">
        <f>SUMIFS(Table1[Column1],Table1[Date],'OEE AHV'!$B37,Table1[M/C],'OEE AHV'!$D37,Table1[Case downtime],'OEE AHV'!AR$2)</f>
        <v>0</v>
      </c>
      <c r="AS37" s="114">
        <f>SUMIFS(Table1[Column1],Table1[Date],'OEE AHV'!$B37,Table1[M/C],'OEE AHV'!$D37,Table1[Case downtime],'OEE AHV'!AS$2)</f>
        <v>0</v>
      </c>
      <c r="AT37" s="114">
        <f>SUMIFS(Table1[Column1],Table1[Date],'OEE AHV'!$B37,Table1[M/C],'OEE AHV'!$D37,Table1[Case downtime],'OEE AHV'!AT$2)</f>
        <v>0</v>
      </c>
      <c r="AU37" s="114">
        <f>SUMIFS(Table1[Column1],Table1[Date],'OEE AHV'!$B37,Table1[M/C],'OEE AHV'!$D37,Table1[Case downtime],'OEE AHV'!AU$2)</f>
        <v>0</v>
      </c>
      <c r="AV37" s="114">
        <f>SUMIFS(Table1[Column1],Table1[Date],'OEE AHV'!$B37,Table1[M/C],'OEE AHV'!$D37,Table1[Case downtime],'OEE AHV'!AV$2)</f>
        <v>0</v>
      </c>
      <c r="AW37" s="114">
        <f>SUMIFS(Table1[Column1],Table1[Date],'OEE AHV'!$B37,Table1[M/C],'OEE AHV'!$D37,Table1[Case downtime],'OEE AHV'!AW$2)</f>
        <v>0</v>
      </c>
      <c r="AX37" s="183">
        <f>SUMIFS(Table1[Column1],Table1[Date],'OEE AHV'!$B37,Table1[M/C],'OEE AHV'!$D37,Table1[Case downtime],'OEE AHV'!AX$2)</f>
        <v>0</v>
      </c>
    </row>
    <row r="38" spans="2:50" s="115" customFormat="1" ht="30" hidden="1" customHeight="1">
      <c r="B38" s="91">
        <v>46066</v>
      </c>
      <c r="C38" s="92" t="s">
        <v>136</v>
      </c>
      <c r="D38" s="92" t="s">
        <v>121</v>
      </c>
      <c r="E38" s="80">
        <v>4.3</v>
      </c>
      <c r="F38" s="81">
        <v>24</v>
      </c>
      <c r="G38" s="82">
        <f t="shared" si="21"/>
        <v>1440</v>
      </c>
      <c r="H38" s="82">
        <v>0</v>
      </c>
      <c r="I38" s="82">
        <f t="shared" si="22"/>
        <v>1440</v>
      </c>
      <c r="J38" s="82">
        <f t="shared" si="26"/>
        <v>111.27408854166667</v>
      </c>
      <c r="K38" s="83">
        <f t="shared" si="27"/>
        <v>14</v>
      </c>
      <c r="L38" s="82">
        <f t="shared" si="4"/>
        <v>125.27408854166667</v>
      </c>
      <c r="M38" s="84">
        <f t="shared" si="5"/>
        <v>1314.7259114583333</v>
      </c>
      <c r="N38" s="85">
        <v>9209</v>
      </c>
      <c r="O38" s="82"/>
      <c r="P38" s="84">
        <v>9722</v>
      </c>
      <c r="Q38" s="135">
        <f t="shared" si="6"/>
        <v>18931</v>
      </c>
      <c r="R38" s="83">
        <f t="shared" si="7"/>
        <v>2</v>
      </c>
      <c r="S38" s="87">
        <f t="shared" si="8"/>
        <v>18929</v>
      </c>
      <c r="T38" s="88">
        <f t="shared" si="9"/>
        <v>18345.012718023256</v>
      </c>
      <c r="U38" s="89">
        <f t="shared" si="10"/>
        <v>0.91300410517939812</v>
      </c>
      <c r="V38" s="89">
        <f t="shared" si="11"/>
        <v>1.0319425933894848</v>
      </c>
      <c r="W38" s="89">
        <f t="shared" si="12"/>
        <v>0.99989435317732822</v>
      </c>
      <c r="X38" s="90">
        <f t="shared" si="13"/>
        <v>0.94206828703703704</v>
      </c>
      <c r="Y38" s="106"/>
      <c r="Z38" s="120">
        <v>2</v>
      </c>
      <c r="AA38" s="117"/>
      <c r="AB38" s="117"/>
      <c r="AC38" s="117"/>
      <c r="AD38" s="118"/>
      <c r="AE38" s="110">
        <f>Table24[[#This Row],[H. จำนวนชิ้น
งานทั้งหมด
ที่ผลิตได้ 
(Total Count)]]/512*1</f>
        <v>36.974609375</v>
      </c>
      <c r="AF38" s="111">
        <f t="shared" si="23"/>
        <v>41.90455729166667</v>
      </c>
      <c r="AG38" s="111">
        <f t="shared" si="24"/>
        <v>21.568522135416668</v>
      </c>
      <c r="AH38" s="111">
        <f t="shared" si="25"/>
        <v>22.801009114583334</v>
      </c>
      <c r="AI38" s="111">
        <v>10</v>
      </c>
      <c r="AJ38" s="112">
        <v>5</v>
      </c>
      <c r="AK38" s="113">
        <v>10</v>
      </c>
      <c r="AL38" s="114">
        <f>SUMIFS(Table1[Column1],Table1[Date],'OEE AHV'!$B38,Table1[M/C],'OEE AHV'!$D38,Table1[Case downtime],'OEE AHV'!AL$2)</f>
        <v>14</v>
      </c>
      <c r="AM38" s="114">
        <f>SUMIFS(Table1[Column1],Table1[Date],'OEE AHV'!$B38,Table1[M/C],'OEE AHV'!$D38,Table1[Case downtime],'OEE AHV'!AM$2)</f>
        <v>0</v>
      </c>
      <c r="AN38" s="114">
        <f>SUMIFS(Table1[Column1],Table1[Date],'OEE AHV'!$B38,Table1[M/C],'OEE AHV'!$D38,Table1[Case downtime],'OEE AHV'!AN$2)</f>
        <v>0</v>
      </c>
      <c r="AO38" s="114">
        <f>SUMIFS(Table1[Column1],Table1[Date],'OEE AHV'!$B38,Table1[M/C],'OEE AHV'!$D38,Table1[Case downtime],'OEE AHV'!AO$2)</f>
        <v>0</v>
      </c>
      <c r="AP38" s="114">
        <f>SUMIFS(Table1[Column1],Table1[Date],'OEE AHV'!$B38,Table1[M/C],'OEE AHV'!$D38,Table1[Case downtime],'OEE AHV'!AP$2)</f>
        <v>0</v>
      </c>
      <c r="AQ38" s="114">
        <f>SUMIFS(Table1[Column1],Table1[Date],'OEE AHV'!$B38,Table1[M/C],'OEE AHV'!$D38,Table1[Case downtime],'OEE AHV'!AQ$2)</f>
        <v>0</v>
      </c>
      <c r="AR38" s="114">
        <f>SUMIFS(Table1[Column1],Table1[Date],'OEE AHV'!$B38,Table1[M/C],'OEE AHV'!$D38,Table1[Case downtime],'OEE AHV'!AR$2)</f>
        <v>0</v>
      </c>
      <c r="AS38" s="114">
        <f>SUMIFS(Table1[Column1],Table1[Date],'OEE AHV'!$B38,Table1[M/C],'OEE AHV'!$D38,Table1[Case downtime],'OEE AHV'!AS$2)</f>
        <v>0</v>
      </c>
      <c r="AT38" s="114">
        <f>SUMIFS(Table1[Column1],Table1[Date],'OEE AHV'!$B38,Table1[M/C],'OEE AHV'!$D38,Table1[Case downtime],'OEE AHV'!AT$2)</f>
        <v>0</v>
      </c>
      <c r="AU38" s="114">
        <f>SUMIFS(Table1[Column1],Table1[Date],'OEE AHV'!$B38,Table1[M/C],'OEE AHV'!$D38,Table1[Case downtime],'OEE AHV'!AU$2)</f>
        <v>0</v>
      </c>
      <c r="AV38" s="114">
        <f>SUMIFS(Table1[Column1],Table1[Date],'OEE AHV'!$B38,Table1[M/C],'OEE AHV'!$D38,Table1[Case downtime],'OEE AHV'!AV$2)</f>
        <v>0</v>
      </c>
      <c r="AW38" s="114">
        <f>SUMIFS(Table1[Column1],Table1[Date],'OEE AHV'!$B38,Table1[M/C],'OEE AHV'!$D38,Table1[Case downtime],'OEE AHV'!AW$2)</f>
        <v>0</v>
      </c>
      <c r="AX38" s="183">
        <f>SUMIFS(Table1[Column1],Table1[Date],'OEE AHV'!$B38,Table1[M/C],'OEE AHV'!$D38,Table1[Case downtime],'OEE AHV'!AX$2)</f>
        <v>0</v>
      </c>
    </row>
    <row r="39" spans="2:50" s="115" customFormat="1" ht="30" hidden="1" customHeight="1">
      <c r="B39" s="122">
        <v>46067</v>
      </c>
      <c r="C39" s="123" t="s">
        <v>136</v>
      </c>
      <c r="D39" s="123" t="s">
        <v>121</v>
      </c>
      <c r="E39" s="124">
        <v>4.1500000000000004</v>
      </c>
      <c r="F39" s="81">
        <v>24</v>
      </c>
      <c r="G39" s="100">
        <f t="shared" si="21"/>
        <v>1440</v>
      </c>
      <c r="H39" s="82">
        <v>0</v>
      </c>
      <c r="I39" s="82">
        <f t="shared" si="22"/>
        <v>1440</v>
      </c>
      <c r="J39" s="100">
        <f t="shared" si="26"/>
        <v>111.310546875</v>
      </c>
      <c r="K39" s="130">
        <f t="shared" si="27"/>
        <v>19</v>
      </c>
      <c r="L39" s="100">
        <f t="shared" si="4"/>
        <v>130.310546875</v>
      </c>
      <c r="M39" s="126">
        <f t="shared" si="5"/>
        <v>1309.689453125</v>
      </c>
      <c r="N39" s="99">
        <v>9211</v>
      </c>
      <c r="O39" s="100"/>
      <c r="P39" s="126">
        <v>9728</v>
      </c>
      <c r="Q39" s="136">
        <f t="shared" si="6"/>
        <v>18939</v>
      </c>
      <c r="R39" s="130">
        <f t="shared" si="7"/>
        <v>14</v>
      </c>
      <c r="S39" s="131">
        <f t="shared" si="8"/>
        <v>18925</v>
      </c>
      <c r="T39" s="88">
        <f t="shared" si="9"/>
        <v>18935.269201807227</v>
      </c>
      <c r="U39" s="132">
        <f t="shared" si="10"/>
        <v>0.90950656467013891</v>
      </c>
      <c r="V39" s="132">
        <f t="shared" si="11"/>
        <v>1.0001970290547766</v>
      </c>
      <c r="W39" s="132">
        <f t="shared" si="12"/>
        <v>0.99926078462432022</v>
      </c>
      <c r="X39" s="133">
        <f t="shared" si="13"/>
        <v>0.90901331018518527</v>
      </c>
      <c r="Y39" s="106"/>
      <c r="Z39" s="120">
        <v>14</v>
      </c>
      <c r="AA39" s="117"/>
      <c r="AB39" s="117"/>
      <c r="AC39" s="117"/>
      <c r="AD39" s="118"/>
      <c r="AE39" s="110">
        <f>Table24[[#This Row],[H. จำนวนชิ้น
งานทั้งหมด
ที่ผลิตได้ 
(Total Count)]]/512*1</f>
        <v>36.990234375</v>
      </c>
      <c r="AF39" s="111">
        <f t="shared" si="23"/>
        <v>41.922265625000001</v>
      </c>
      <c r="AG39" s="111">
        <f t="shared" si="24"/>
        <v>21.57763671875</v>
      </c>
      <c r="AH39" s="111">
        <f t="shared" si="25"/>
        <v>22.810644531249999</v>
      </c>
      <c r="AI39" s="111">
        <v>10</v>
      </c>
      <c r="AJ39" s="112">
        <v>5</v>
      </c>
      <c r="AK39" s="113">
        <v>10</v>
      </c>
      <c r="AL39" s="114">
        <f>SUMIFS(Table1[Column1],Table1[Date],'OEE AHV'!$B39,Table1[M/C],'OEE AHV'!$D39,Table1[Case downtime],'OEE AHV'!AL$2)</f>
        <v>19</v>
      </c>
      <c r="AM39" s="114">
        <f>SUMIFS(Table1[Column1],Table1[Date],'OEE AHV'!$B39,Table1[M/C],'OEE AHV'!$D39,Table1[Case downtime],'OEE AHV'!AM$2)</f>
        <v>0</v>
      </c>
      <c r="AN39" s="114">
        <f>SUMIFS(Table1[Column1],Table1[Date],'OEE AHV'!$B39,Table1[M/C],'OEE AHV'!$D39,Table1[Case downtime],'OEE AHV'!AN$2)</f>
        <v>0</v>
      </c>
      <c r="AO39" s="114">
        <f>SUMIFS(Table1[Column1],Table1[Date],'OEE AHV'!$B39,Table1[M/C],'OEE AHV'!$D39,Table1[Case downtime],'OEE AHV'!AO$2)</f>
        <v>0</v>
      </c>
      <c r="AP39" s="114">
        <f>SUMIFS(Table1[Column1],Table1[Date],'OEE AHV'!$B39,Table1[M/C],'OEE AHV'!$D39,Table1[Case downtime],'OEE AHV'!AP$2)</f>
        <v>0</v>
      </c>
      <c r="AQ39" s="114">
        <f>SUMIFS(Table1[Column1],Table1[Date],'OEE AHV'!$B39,Table1[M/C],'OEE AHV'!$D39,Table1[Case downtime],'OEE AHV'!AQ$2)</f>
        <v>0</v>
      </c>
      <c r="AR39" s="114">
        <f>SUMIFS(Table1[Column1],Table1[Date],'OEE AHV'!$B39,Table1[M/C],'OEE AHV'!$D39,Table1[Case downtime],'OEE AHV'!AR$2)</f>
        <v>0</v>
      </c>
      <c r="AS39" s="114">
        <f>SUMIFS(Table1[Column1],Table1[Date],'OEE AHV'!$B39,Table1[M/C],'OEE AHV'!$D39,Table1[Case downtime],'OEE AHV'!AS$2)</f>
        <v>0</v>
      </c>
      <c r="AT39" s="114">
        <f>SUMIFS(Table1[Column1],Table1[Date],'OEE AHV'!$B39,Table1[M/C],'OEE AHV'!$D39,Table1[Case downtime],'OEE AHV'!AT$2)</f>
        <v>0</v>
      </c>
      <c r="AU39" s="114">
        <f>SUMIFS(Table1[Column1],Table1[Date],'OEE AHV'!$B39,Table1[M/C],'OEE AHV'!$D39,Table1[Case downtime],'OEE AHV'!AU$2)</f>
        <v>0</v>
      </c>
      <c r="AV39" s="114">
        <f>SUMIFS(Table1[Column1],Table1[Date],'OEE AHV'!$B39,Table1[M/C],'OEE AHV'!$D39,Table1[Case downtime],'OEE AHV'!AV$2)</f>
        <v>0</v>
      </c>
      <c r="AW39" s="114">
        <f>SUMIFS(Table1[Column1],Table1[Date],'OEE AHV'!$B39,Table1[M/C],'OEE AHV'!$D39,Table1[Case downtime],'OEE AHV'!AW$2)</f>
        <v>0</v>
      </c>
      <c r="AX39" s="183">
        <f>SUMIFS(Table1[Column1],Table1[Date],'OEE AHV'!$B39,Table1[M/C],'OEE AHV'!$D39,Table1[Case downtime],'OEE AHV'!AX$2)</f>
        <v>0</v>
      </c>
    </row>
    <row r="40" spans="2:50" s="115" customFormat="1" ht="30" hidden="1" customHeight="1">
      <c r="B40" s="91">
        <v>46069</v>
      </c>
      <c r="C40" s="92" t="s">
        <v>136</v>
      </c>
      <c r="D40" s="92" t="s">
        <v>121</v>
      </c>
      <c r="E40" s="80">
        <v>4.3</v>
      </c>
      <c r="F40" s="81">
        <v>24</v>
      </c>
      <c r="G40" s="82">
        <f t="shared" si="21"/>
        <v>1440</v>
      </c>
      <c r="H40" s="82">
        <v>0</v>
      </c>
      <c r="I40" s="82">
        <f t="shared" si="22"/>
        <v>1440</v>
      </c>
      <c r="J40" s="82">
        <f t="shared" si="26"/>
        <v>111.28776041666667</v>
      </c>
      <c r="K40" s="83">
        <f t="shared" si="27"/>
        <v>0</v>
      </c>
      <c r="L40" s="82">
        <f t="shared" si="4"/>
        <v>111.28776041666667</v>
      </c>
      <c r="M40" s="84">
        <f t="shared" si="5"/>
        <v>1328.7122395833333</v>
      </c>
      <c r="N40" s="85">
        <v>9210</v>
      </c>
      <c r="O40" s="82"/>
      <c r="P40" s="84">
        <v>9724</v>
      </c>
      <c r="Q40" s="135">
        <f t="shared" si="6"/>
        <v>18934</v>
      </c>
      <c r="R40" s="83">
        <f t="shared" si="7"/>
        <v>4</v>
      </c>
      <c r="S40" s="87">
        <f t="shared" si="8"/>
        <v>18930</v>
      </c>
      <c r="T40" s="88">
        <f t="shared" si="9"/>
        <v>18540.170784883721</v>
      </c>
      <c r="U40" s="89">
        <f t="shared" si="10"/>
        <v>0.92271683304398144</v>
      </c>
      <c r="V40" s="89">
        <f t="shared" si="11"/>
        <v>1.0212419410633142</v>
      </c>
      <c r="W40" s="89">
        <f t="shared" si="12"/>
        <v>0.99978873983310446</v>
      </c>
      <c r="X40" s="90">
        <f t="shared" si="13"/>
        <v>0.94211805555555561</v>
      </c>
      <c r="Y40" s="106"/>
      <c r="Z40" s="120">
        <v>4</v>
      </c>
      <c r="AA40" s="117"/>
      <c r="AB40" s="117"/>
      <c r="AC40" s="117"/>
      <c r="AD40" s="118"/>
      <c r="AE40" s="110">
        <f>Table24[[#This Row],[H. จำนวนชิ้น
งานทั้งหมด
ที่ผลิตได้ 
(Total Count)]]/512*1</f>
        <v>36.98046875</v>
      </c>
      <c r="AF40" s="111">
        <f t="shared" si="23"/>
        <v>41.911197916666666</v>
      </c>
      <c r="AG40" s="111">
        <f t="shared" si="24"/>
        <v>21.571940104166668</v>
      </c>
      <c r="AH40" s="111">
        <f t="shared" si="25"/>
        <v>22.804622395833334</v>
      </c>
      <c r="AI40" s="111">
        <v>10</v>
      </c>
      <c r="AJ40" s="112">
        <v>5</v>
      </c>
      <c r="AK40" s="113">
        <v>10</v>
      </c>
      <c r="AL40" s="114">
        <f>SUMIFS(Table1[Column1],Table1[Date],'OEE AHV'!$B40,Table1[M/C],'OEE AHV'!$D40,Table1[Case downtime],'OEE AHV'!AL$2)</f>
        <v>0</v>
      </c>
      <c r="AM40" s="114">
        <f>SUMIFS(Table1[Column1],Table1[Date],'OEE AHV'!$B40,Table1[M/C],'OEE AHV'!$D40,Table1[Case downtime],'OEE AHV'!AM$2)</f>
        <v>0</v>
      </c>
      <c r="AN40" s="114">
        <f>SUMIFS(Table1[Column1],Table1[Date],'OEE AHV'!$B40,Table1[M/C],'OEE AHV'!$D40,Table1[Case downtime],'OEE AHV'!AN$2)</f>
        <v>0</v>
      </c>
      <c r="AO40" s="114">
        <f>SUMIFS(Table1[Column1],Table1[Date],'OEE AHV'!$B40,Table1[M/C],'OEE AHV'!$D40,Table1[Case downtime],'OEE AHV'!AO$2)</f>
        <v>0</v>
      </c>
      <c r="AP40" s="114">
        <f>SUMIFS(Table1[Column1],Table1[Date],'OEE AHV'!$B40,Table1[M/C],'OEE AHV'!$D40,Table1[Case downtime],'OEE AHV'!AP$2)</f>
        <v>0</v>
      </c>
      <c r="AQ40" s="114">
        <f>SUMIFS(Table1[Column1],Table1[Date],'OEE AHV'!$B40,Table1[M/C],'OEE AHV'!$D40,Table1[Case downtime],'OEE AHV'!AQ$2)</f>
        <v>0</v>
      </c>
      <c r="AR40" s="114">
        <f>SUMIFS(Table1[Column1],Table1[Date],'OEE AHV'!$B40,Table1[M/C],'OEE AHV'!$D40,Table1[Case downtime],'OEE AHV'!AR$2)</f>
        <v>0</v>
      </c>
      <c r="AS40" s="114">
        <f>SUMIFS(Table1[Column1],Table1[Date],'OEE AHV'!$B40,Table1[M/C],'OEE AHV'!$D40,Table1[Case downtime],'OEE AHV'!AS$2)</f>
        <v>0</v>
      </c>
      <c r="AT40" s="114">
        <f>SUMIFS(Table1[Column1],Table1[Date],'OEE AHV'!$B40,Table1[M/C],'OEE AHV'!$D40,Table1[Case downtime],'OEE AHV'!AT$2)</f>
        <v>0</v>
      </c>
      <c r="AU40" s="114">
        <f>SUMIFS(Table1[Column1],Table1[Date],'OEE AHV'!$B40,Table1[M/C],'OEE AHV'!$D40,Table1[Case downtime],'OEE AHV'!AU$2)</f>
        <v>0</v>
      </c>
      <c r="AV40" s="114">
        <f>SUMIFS(Table1[Column1],Table1[Date],'OEE AHV'!$B40,Table1[M/C],'OEE AHV'!$D40,Table1[Case downtime],'OEE AHV'!AV$2)</f>
        <v>0</v>
      </c>
      <c r="AW40" s="114">
        <f>SUMIFS(Table1[Column1],Table1[Date],'OEE AHV'!$B40,Table1[M/C],'OEE AHV'!$D40,Table1[Case downtime],'OEE AHV'!AW$2)</f>
        <v>0</v>
      </c>
      <c r="AX40" s="183">
        <f>SUMIFS(Table1[Column1],Table1[Date],'OEE AHV'!$B40,Table1[M/C],'OEE AHV'!$D40,Table1[Case downtime],'OEE AHV'!AX$2)</f>
        <v>0</v>
      </c>
    </row>
    <row r="41" spans="2:50" s="115" customFormat="1" ht="30" hidden="1" customHeight="1">
      <c r="B41" s="91">
        <v>46070</v>
      </c>
      <c r="C41" s="92" t="s">
        <v>136</v>
      </c>
      <c r="D41" s="92" t="s">
        <v>121</v>
      </c>
      <c r="E41" s="80">
        <v>4.3</v>
      </c>
      <c r="F41" s="81">
        <v>24</v>
      </c>
      <c r="G41" s="82">
        <f t="shared" ref="G41:G58" si="28">F41*60</f>
        <v>1440</v>
      </c>
      <c r="H41" s="82">
        <v>0</v>
      </c>
      <c r="I41" s="82">
        <f t="shared" si="22"/>
        <v>1440</v>
      </c>
      <c r="J41" s="82">
        <f t="shared" si="26"/>
        <v>113.6484375</v>
      </c>
      <c r="K41" s="83">
        <f t="shared" si="27"/>
        <v>0</v>
      </c>
      <c r="L41" s="82">
        <f t="shared" si="4"/>
        <v>113.6484375</v>
      </c>
      <c r="M41" s="84">
        <f t="shared" si="5"/>
        <v>1326.3515625</v>
      </c>
      <c r="N41" s="85">
        <v>9724</v>
      </c>
      <c r="O41" s="82"/>
      <c r="P41" s="84">
        <v>9728</v>
      </c>
      <c r="Q41" s="135">
        <f t="shared" si="6"/>
        <v>19452</v>
      </c>
      <c r="R41" s="83">
        <f t="shared" si="7"/>
        <v>4</v>
      </c>
      <c r="S41" s="87">
        <f t="shared" si="8"/>
        <v>19448</v>
      </c>
      <c r="T41" s="88">
        <f t="shared" si="9"/>
        <v>18507.231104651164</v>
      </c>
      <c r="U41" s="89">
        <f t="shared" si="10"/>
        <v>0.92107747395833328</v>
      </c>
      <c r="V41" s="89">
        <f t="shared" si="11"/>
        <v>1.0510486355309736</v>
      </c>
      <c r="W41" s="89">
        <f t="shared" si="12"/>
        <v>0.99979436561793134</v>
      </c>
      <c r="X41" s="90">
        <f t="shared" si="13"/>
        <v>0.96789814814814801</v>
      </c>
      <c r="Y41" s="106"/>
      <c r="Z41" s="120">
        <v>4</v>
      </c>
      <c r="AA41" s="117"/>
      <c r="AB41" s="117"/>
      <c r="AC41" s="117"/>
      <c r="AD41" s="118"/>
      <c r="AE41" s="110">
        <f>Table24[[#This Row],[H. จำนวนชิ้น
งานทั้งหมด
ที่ผลิตได้ 
(Total Count)]]/512*1</f>
        <v>37.9921875</v>
      </c>
      <c r="AF41" s="111">
        <f t="shared" ref="AF41:AF103" si="29">(Q41/512*68/60)</f>
        <v>43.057812499999997</v>
      </c>
      <c r="AG41" s="111">
        <f t="shared" ref="AG41:AG103" si="30">(Q41/512*35/60)</f>
        <v>22.162109375</v>
      </c>
      <c r="AH41" s="111">
        <f t="shared" ref="AH41:AH103" si="31">(Q41/512*37/60)</f>
        <v>23.428515624999999</v>
      </c>
      <c r="AI41" s="111">
        <v>10</v>
      </c>
      <c r="AJ41" s="112">
        <v>5</v>
      </c>
      <c r="AK41" s="113">
        <v>10</v>
      </c>
      <c r="AL41" s="114">
        <f>SUMIFS(Table1[Column1],Table1[Date],'OEE AHV'!$B41,Table1[M/C],'OEE AHV'!$D41,Table1[Case downtime],'OEE AHV'!AL$2)</f>
        <v>0</v>
      </c>
      <c r="AM41" s="114">
        <f>SUMIFS(Table1[Column1],Table1[Date],'OEE AHV'!$B41,Table1[M/C],'OEE AHV'!$D41,Table1[Case downtime],'OEE AHV'!AM$2)</f>
        <v>0</v>
      </c>
      <c r="AN41" s="114">
        <f>SUMIFS(Table1[Column1],Table1[Date],'OEE AHV'!$B41,Table1[M/C],'OEE AHV'!$D41,Table1[Case downtime],'OEE AHV'!AN$2)</f>
        <v>0</v>
      </c>
      <c r="AO41" s="114">
        <f>SUMIFS(Table1[Column1],Table1[Date],'OEE AHV'!$B41,Table1[M/C],'OEE AHV'!$D41,Table1[Case downtime],'OEE AHV'!AO$2)</f>
        <v>0</v>
      </c>
      <c r="AP41" s="114">
        <f>SUMIFS(Table1[Column1],Table1[Date],'OEE AHV'!$B41,Table1[M/C],'OEE AHV'!$D41,Table1[Case downtime],'OEE AHV'!AP$2)</f>
        <v>0</v>
      </c>
      <c r="AQ41" s="114">
        <f>SUMIFS(Table1[Column1],Table1[Date],'OEE AHV'!$B41,Table1[M/C],'OEE AHV'!$D41,Table1[Case downtime],'OEE AHV'!AQ$2)</f>
        <v>0</v>
      </c>
      <c r="AR41" s="114">
        <f>SUMIFS(Table1[Column1],Table1[Date],'OEE AHV'!$B41,Table1[M/C],'OEE AHV'!$D41,Table1[Case downtime],'OEE AHV'!AR$2)</f>
        <v>0</v>
      </c>
      <c r="AS41" s="114">
        <f>SUMIFS(Table1[Column1],Table1[Date],'OEE AHV'!$B41,Table1[M/C],'OEE AHV'!$D41,Table1[Case downtime],'OEE AHV'!AS$2)</f>
        <v>0</v>
      </c>
      <c r="AT41" s="114">
        <f>SUMIFS(Table1[Column1],Table1[Date],'OEE AHV'!$B41,Table1[M/C],'OEE AHV'!$D41,Table1[Case downtime],'OEE AHV'!AT$2)</f>
        <v>0</v>
      </c>
      <c r="AU41" s="114">
        <f>SUMIFS(Table1[Column1],Table1[Date],'OEE AHV'!$B41,Table1[M/C],'OEE AHV'!$D41,Table1[Case downtime],'OEE AHV'!AU$2)</f>
        <v>0</v>
      </c>
      <c r="AV41" s="114">
        <f>SUMIFS(Table1[Column1],Table1[Date],'OEE AHV'!$B41,Table1[M/C],'OEE AHV'!$D41,Table1[Case downtime],'OEE AHV'!AV$2)</f>
        <v>0</v>
      </c>
      <c r="AW41" s="114">
        <f>SUMIFS(Table1[Column1],Table1[Date],'OEE AHV'!$B41,Table1[M/C],'OEE AHV'!$D41,Table1[Case downtime],'OEE AHV'!AW$2)</f>
        <v>0</v>
      </c>
      <c r="AX41" s="183">
        <f>SUMIFS(Table1[Column1],Table1[Date],'OEE AHV'!$B41,Table1[M/C],'OEE AHV'!$D41,Table1[Case downtime],'OEE AHV'!AX$2)</f>
        <v>0</v>
      </c>
    </row>
    <row r="42" spans="2:50" s="115" customFormat="1" ht="30" hidden="1" customHeight="1">
      <c r="B42" s="91">
        <v>46071</v>
      </c>
      <c r="C42" s="92" t="s">
        <v>136</v>
      </c>
      <c r="D42" s="92" t="s">
        <v>121</v>
      </c>
      <c r="E42" s="80">
        <v>4.3</v>
      </c>
      <c r="F42" s="81">
        <v>24</v>
      </c>
      <c r="G42" s="82">
        <f t="shared" si="28"/>
        <v>1440</v>
      </c>
      <c r="H42" s="82">
        <v>0</v>
      </c>
      <c r="I42" s="82">
        <f t="shared" si="22"/>
        <v>1440</v>
      </c>
      <c r="J42" s="82">
        <f t="shared" si="26"/>
        <v>113.58463541666666</v>
      </c>
      <c r="K42" s="83">
        <f t="shared" si="27"/>
        <v>0</v>
      </c>
      <c r="L42" s="82">
        <f t="shared" si="4"/>
        <v>113.58463541666666</v>
      </c>
      <c r="M42" s="84">
        <f t="shared" si="5"/>
        <v>1326.4153645833333</v>
      </c>
      <c r="N42" s="85">
        <v>9716</v>
      </c>
      <c r="O42" s="82"/>
      <c r="P42" s="84">
        <v>9722</v>
      </c>
      <c r="Q42" s="135">
        <f t="shared" si="6"/>
        <v>19438</v>
      </c>
      <c r="R42" s="83">
        <f t="shared" si="7"/>
        <v>0</v>
      </c>
      <c r="S42" s="87">
        <f t="shared" si="8"/>
        <v>19438</v>
      </c>
      <c r="T42" s="88">
        <f t="shared" si="9"/>
        <v>18508.121366279069</v>
      </c>
      <c r="U42" s="89">
        <f t="shared" si="10"/>
        <v>0.92112178096064812</v>
      </c>
      <c r="V42" s="89">
        <f t="shared" si="11"/>
        <v>1.0502416542078186</v>
      </c>
      <c r="W42" s="89">
        <f t="shared" si="12"/>
        <v>1</v>
      </c>
      <c r="X42" s="90">
        <f t="shared" si="13"/>
        <v>0.967400462962963</v>
      </c>
      <c r="Y42" s="106"/>
      <c r="Z42" s="120">
        <v>0</v>
      </c>
      <c r="AA42" s="117"/>
      <c r="AB42" s="117"/>
      <c r="AC42" s="117"/>
      <c r="AD42" s="118"/>
      <c r="AE42" s="110">
        <f>Table24[[#This Row],[H. จำนวนชิ้น
งานทั้งหมด
ที่ผลิตได้ 
(Total Count)]]/512*1</f>
        <v>37.96484375</v>
      </c>
      <c r="AF42" s="111">
        <f t="shared" si="29"/>
        <v>43.026822916666667</v>
      </c>
      <c r="AG42" s="111">
        <f t="shared" si="30"/>
        <v>22.146158854166668</v>
      </c>
      <c r="AH42" s="111">
        <f t="shared" si="31"/>
        <v>23.411653645833333</v>
      </c>
      <c r="AI42" s="111">
        <v>10</v>
      </c>
      <c r="AJ42" s="112">
        <v>5</v>
      </c>
      <c r="AK42" s="113">
        <v>10</v>
      </c>
      <c r="AL42" s="114">
        <f>SUMIFS(Table1[Column1],Table1[Date],'OEE AHV'!$B42,Table1[M/C],'OEE AHV'!$D42,Table1[Case downtime],'OEE AHV'!AL$2)</f>
        <v>0</v>
      </c>
      <c r="AM42" s="114">
        <f>SUMIFS(Table1[Column1],Table1[Date],'OEE AHV'!$B42,Table1[M/C],'OEE AHV'!$D42,Table1[Case downtime],'OEE AHV'!AM$2)</f>
        <v>0</v>
      </c>
      <c r="AN42" s="114">
        <f>SUMIFS(Table1[Column1],Table1[Date],'OEE AHV'!$B42,Table1[M/C],'OEE AHV'!$D42,Table1[Case downtime],'OEE AHV'!AN$2)</f>
        <v>0</v>
      </c>
      <c r="AO42" s="114">
        <f>SUMIFS(Table1[Column1],Table1[Date],'OEE AHV'!$B42,Table1[M/C],'OEE AHV'!$D42,Table1[Case downtime],'OEE AHV'!AO$2)</f>
        <v>0</v>
      </c>
      <c r="AP42" s="114">
        <f>SUMIFS(Table1[Column1],Table1[Date],'OEE AHV'!$B42,Table1[M/C],'OEE AHV'!$D42,Table1[Case downtime],'OEE AHV'!AP$2)</f>
        <v>0</v>
      </c>
      <c r="AQ42" s="114">
        <f>SUMIFS(Table1[Column1],Table1[Date],'OEE AHV'!$B42,Table1[M/C],'OEE AHV'!$D42,Table1[Case downtime],'OEE AHV'!AQ$2)</f>
        <v>0</v>
      </c>
      <c r="AR42" s="114">
        <f>SUMIFS(Table1[Column1],Table1[Date],'OEE AHV'!$B42,Table1[M/C],'OEE AHV'!$D42,Table1[Case downtime],'OEE AHV'!AR$2)</f>
        <v>0</v>
      </c>
      <c r="AS42" s="114">
        <f>SUMIFS(Table1[Column1],Table1[Date],'OEE AHV'!$B42,Table1[M/C],'OEE AHV'!$D42,Table1[Case downtime],'OEE AHV'!AS$2)</f>
        <v>0</v>
      </c>
      <c r="AT42" s="114">
        <f>SUMIFS(Table1[Column1],Table1[Date],'OEE AHV'!$B42,Table1[M/C],'OEE AHV'!$D42,Table1[Case downtime],'OEE AHV'!AT$2)</f>
        <v>0</v>
      </c>
      <c r="AU42" s="114">
        <f>SUMIFS(Table1[Column1],Table1[Date],'OEE AHV'!$B42,Table1[M/C],'OEE AHV'!$D42,Table1[Case downtime],'OEE AHV'!AU$2)</f>
        <v>0</v>
      </c>
      <c r="AV42" s="114">
        <f>SUMIFS(Table1[Column1],Table1[Date],'OEE AHV'!$B42,Table1[M/C],'OEE AHV'!$D42,Table1[Case downtime],'OEE AHV'!AV$2)</f>
        <v>0</v>
      </c>
      <c r="AW42" s="114">
        <f>SUMIFS(Table1[Column1],Table1[Date],'OEE AHV'!$B42,Table1[M/C],'OEE AHV'!$D42,Table1[Case downtime],'OEE AHV'!AW$2)</f>
        <v>0</v>
      </c>
      <c r="AX42" s="183">
        <f>SUMIFS(Table1[Column1],Table1[Date],'OEE AHV'!$B42,Table1[M/C],'OEE AHV'!$D42,Table1[Case downtime],'OEE AHV'!AX$2)</f>
        <v>0</v>
      </c>
    </row>
    <row r="43" spans="2:50" s="115" customFormat="1" ht="30" hidden="1" customHeight="1">
      <c r="B43" s="91">
        <v>46072</v>
      </c>
      <c r="C43" s="92" t="s">
        <v>136</v>
      </c>
      <c r="D43" s="92" t="s">
        <v>121</v>
      </c>
      <c r="E43" s="80">
        <v>4.3</v>
      </c>
      <c r="F43" s="81">
        <v>24</v>
      </c>
      <c r="G43" s="82">
        <f t="shared" si="28"/>
        <v>1440</v>
      </c>
      <c r="H43" s="82">
        <v>0</v>
      </c>
      <c r="I43" s="82">
        <f t="shared" si="22"/>
        <v>1440</v>
      </c>
      <c r="J43" s="82">
        <f t="shared" si="26"/>
        <v>113.662109375</v>
      </c>
      <c r="K43" s="83">
        <f t="shared" si="27"/>
        <v>0</v>
      </c>
      <c r="L43" s="82">
        <f t="shared" si="4"/>
        <v>113.662109375</v>
      </c>
      <c r="M43" s="84">
        <f t="shared" si="5"/>
        <v>1326.337890625</v>
      </c>
      <c r="N43" s="85">
        <v>9728</v>
      </c>
      <c r="O43" s="82"/>
      <c r="P43" s="84">
        <v>9727</v>
      </c>
      <c r="Q43" s="135">
        <f t="shared" si="6"/>
        <v>19455</v>
      </c>
      <c r="R43" s="83">
        <f t="shared" si="7"/>
        <v>2</v>
      </c>
      <c r="S43" s="87">
        <f t="shared" si="8"/>
        <v>19453</v>
      </c>
      <c r="T43" s="88">
        <f t="shared" si="9"/>
        <v>18507.040334302328</v>
      </c>
      <c r="U43" s="89">
        <f t="shared" si="10"/>
        <v>0.92106797960069442</v>
      </c>
      <c r="V43" s="89">
        <f t="shared" si="11"/>
        <v>1.0512215702010792</v>
      </c>
      <c r="W43" s="89">
        <f t="shared" si="12"/>
        <v>0.99989719866358262</v>
      </c>
      <c r="X43" s="90">
        <f t="shared" si="13"/>
        <v>0.96814699074074051</v>
      </c>
      <c r="Y43" s="106"/>
      <c r="Z43" s="120">
        <v>2</v>
      </c>
      <c r="AA43" s="117"/>
      <c r="AB43" s="117"/>
      <c r="AC43" s="117"/>
      <c r="AD43" s="118"/>
      <c r="AE43" s="110">
        <f>Table24[[#This Row],[H. จำนวนชิ้น
งานทั้งหมด
ที่ผลิตได้ 
(Total Count)]]/512*1</f>
        <v>37.998046875</v>
      </c>
      <c r="AF43" s="111">
        <f t="shared" si="29"/>
        <v>43.064453125</v>
      </c>
      <c r="AG43" s="111">
        <f t="shared" si="30"/>
        <v>22.16552734375</v>
      </c>
      <c r="AH43" s="111">
        <f t="shared" si="31"/>
        <v>23.43212890625</v>
      </c>
      <c r="AI43" s="111">
        <v>10</v>
      </c>
      <c r="AJ43" s="112">
        <v>5</v>
      </c>
      <c r="AK43" s="113">
        <v>10</v>
      </c>
      <c r="AL43" s="114">
        <f>SUMIFS(Table1[Column1],Table1[Date],'OEE AHV'!$B43,Table1[M/C],'OEE AHV'!$D43,Table1[Case downtime],'OEE AHV'!AL$2)</f>
        <v>0</v>
      </c>
      <c r="AM43" s="114">
        <f>SUMIFS(Table1[Column1],Table1[Date],'OEE AHV'!$B43,Table1[M/C],'OEE AHV'!$D43,Table1[Case downtime],'OEE AHV'!AM$2)</f>
        <v>0</v>
      </c>
      <c r="AN43" s="114">
        <f>SUMIFS(Table1[Column1],Table1[Date],'OEE AHV'!$B43,Table1[M/C],'OEE AHV'!$D43,Table1[Case downtime],'OEE AHV'!AN$2)</f>
        <v>0</v>
      </c>
      <c r="AO43" s="114">
        <f>SUMIFS(Table1[Column1],Table1[Date],'OEE AHV'!$B43,Table1[M/C],'OEE AHV'!$D43,Table1[Case downtime],'OEE AHV'!AO$2)</f>
        <v>0</v>
      </c>
      <c r="AP43" s="114">
        <f>SUMIFS(Table1[Column1],Table1[Date],'OEE AHV'!$B43,Table1[M/C],'OEE AHV'!$D43,Table1[Case downtime],'OEE AHV'!AP$2)</f>
        <v>0</v>
      </c>
      <c r="AQ43" s="114">
        <f>SUMIFS(Table1[Column1],Table1[Date],'OEE AHV'!$B43,Table1[M/C],'OEE AHV'!$D43,Table1[Case downtime],'OEE AHV'!AQ$2)</f>
        <v>0</v>
      </c>
      <c r="AR43" s="114">
        <f>SUMIFS(Table1[Column1],Table1[Date],'OEE AHV'!$B43,Table1[M/C],'OEE AHV'!$D43,Table1[Case downtime],'OEE AHV'!AR$2)</f>
        <v>0</v>
      </c>
      <c r="AS43" s="114">
        <f>SUMIFS(Table1[Column1],Table1[Date],'OEE AHV'!$B43,Table1[M/C],'OEE AHV'!$D43,Table1[Case downtime],'OEE AHV'!AS$2)</f>
        <v>0</v>
      </c>
      <c r="AT43" s="114">
        <f>SUMIFS(Table1[Column1],Table1[Date],'OEE AHV'!$B43,Table1[M/C],'OEE AHV'!$D43,Table1[Case downtime],'OEE AHV'!AT$2)</f>
        <v>0</v>
      </c>
      <c r="AU43" s="114">
        <f>SUMIFS(Table1[Column1],Table1[Date],'OEE AHV'!$B43,Table1[M/C],'OEE AHV'!$D43,Table1[Case downtime],'OEE AHV'!AU$2)</f>
        <v>0</v>
      </c>
      <c r="AV43" s="114">
        <f>SUMIFS(Table1[Column1],Table1[Date],'OEE AHV'!$B43,Table1[M/C],'OEE AHV'!$D43,Table1[Case downtime],'OEE AHV'!AV$2)</f>
        <v>0</v>
      </c>
      <c r="AW43" s="114">
        <f>SUMIFS(Table1[Column1],Table1[Date],'OEE AHV'!$B43,Table1[M/C],'OEE AHV'!$D43,Table1[Case downtime],'OEE AHV'!AW$2)</f>
        <v>0</v>
      </c>
      <c r="AX43" s="183">
        <f>SUMIFS(Table1[Column1],Table1[Date],'OEE AHV'!$B43,Table1[M/C],'OEE AHV'!$D43,Table1[Case downtime],'OEE AHV'!AX$2)</f>
        <v>0</v>
      </c>
    </row>
    <row r="44" spans="2:50" s="115" customFormat="1" ht="30" hidden="1" customHeight="1">
      <c r="B44" s="91">
        <v>46073</v>
      </c>
      <c r="C44" s="92" t="s">
        <v>136</v>
      </c>
      <c r="D44" s="92" t="s">
        <v>121</v>
      </c>
      <c r="E44" s="80">
        <v>4.3</v>
      </c>
      <c r="F44" s="81">
        <v>24</v>
      </c>
      <c r="G44" s="82">
        <f t="shared" si="28"/>
        <v>1440</v>
      </c>
      <c r="H44" s="82">
        <v>0</v>
      </c>
      <c r="I44" s="82">
        <f t="shared" si="22"/>
        <v>1440</v>
      </c>
      <c r="J44" s="82">
        <f t="shared" si="26"/>
        <v>108.92708333333333</v>
      </c>
      <c r="K44" s="83">
        <f t="shared" si="27"/>
        <v>104</v>
      </c>
      <c r="L44" s="82">
        <f t="shared" si="4"/>
        <v>212.92708333333331</v>
      </c>
      <c r="M44" s="84">
        <f t="shared" si="5"/>
        <v>1227.0729166666667</v>
      </c>
      <c r="N44" s="85">
        <v>9716</v>
      </c>
      <c r="O44" s="82"/>
      <c r="P44" s="84">
        <v>8700</v>
      </c>
      <c r="Q44" s="135">
        <f t="shared" si="6"/>
        <v>18416</v>
      </c>
      <c r="R44" s="83">
        <f t="shared" si="7"/>
        <v>9</v>
      </c>
      <c r="S44" s="87">
        <f t="shared" si="8"/>
        <v>18407</v>
      </c>
      <c r="T44" s="88">
        <f t="shared" si="9"/>
        <v>17121.947674418607</v>
      </c>
      <c r="U44" s="89">
        <f t="shared" si="10"/>
        <v>0.85213396990740742</v>
      </c>
      <c r="V44" s="89">
        <f t="shared" si="11"/>
        <v>1.0755785702764877</v>
      </c>
      <c r="W44" s="89">
        <f t="shared" si="12"/>
        <v>0.99951129452649867</v>
      </c>
      <c r="X44" s="90">
        <f t="shared" si="13"/>
        <v>0.91608912037037027</v>
      </c>
      <c r="Y44" s="106"/>
      <c r="Z44" s="120">
        <v>9</v>
      </c>
      <c r="AA44" s="117"/>
      <c r="AB44" s="117"/>
      <c r="AC44" s="117"/>
      <c r="AD44" s="118"/>
      <c r="AE44" s="110">
        <f>Table24[[#This Row],[H. จำนวนชิ้น
งานทั้งหมด
ที่ผลิตได้ 
(Total Count)]]/512*1</f>
        <v>35.96875</v>
      </c>
      <c r="AF44" s="111">
        <f t="shared" si="29"/>
        <v>40.764583333333334</v>
      </c>
      <c r="AG44" s="111">
        <f t="shared" si="30"/>
        <v>20.981770833333332</v>
      </c>
      <c r="AH44" s="111">
        <f t="shared" si="31"/>
        <v>22.180729166666666</v>
      </c>
      <c r="AI44" s="111">
        <v>10</v>
      </c>
      <c r="AJ44" s="112">
        <v>5</v>
      </c>
      <c r="AK44" s="113">
        <v>10</v>
      </c>
      <c r="AL44" s="114">
        <f>SUMIFS(Table1[Column1],Table1[Date],'OEE AHV'!$B44,Table1[M/C],'OEE AHV'!$D44,Table1[Case downtime],'OEE AHV'!AL$2)</f>
        <v>0</v>
      </c>
      <c r="AM44" s="114">
        <f>SUMIFS(Table1[Column1],Table1[Date],'OEE AHV'!$B44,Table1[M/C],'OEE AHV'!$D44,Table1[Case downtime],'OEE AHV'!AM$2)</f>
        <v>0</v>
      </c>
      <c r="AN44" s="114">
        <f>SUMIFS(Table1[Column1],Table1[Date],'OEE AHV'!$B44,Table1[M/C],'OEE AHV'!$D44,Table1[Case downtime],'OEE AHV'!AN$2)</f>
        <v>0</v>
      </c>
      <c r="AO44" s="114">
        <f>SUMIFS(Table1[Column1],Table1[Date],'OEE AHV'!$B44,Table1[M/C],'OEE AHV'!$D44,Table1[Case downtime],'OEE AHV'!AO$2)</f>
        <v>0</v>
      </c>
      <c r="AP44" s="114">
        <f>SUMIFS(Table1[Column1],Table1[Date],'OEE AHV'!$B44,Table1[M/C],'OEE AHV'!$D44,Table1[Case downtime],'OEE AHV'!AP$2)</f>
        <v>0</v>
      </c>
      <c r="AQ44" s="114">
        <f>SUMIFS(Table1[Column1],Table1[Date],'OEE AHV'!$B44,Table1[M/C],'OEE AHV'!$D44,Table1[Case downtime],'OEE AHV'!AQ$2)</f>
        <v>0</v>
      </c>
      <c r="AR44" s="114">
        <f>SUMIFS(Table1[Column1],Table1[Date],'OEE AHV'!$B44,Table1[M/C],'OEE AHV'!$D44,Table1[Case downtime],'OEE AHV'!AR$2)</f>
        <v>14</v>
      </c>
      <c r="AS44" s="114">
        <f>SUMIFS(Table1[Column1],Table1[Date],'OEE AHV'!$B44,Table1[M/C],'OEE AHV'!$D44,Table1[Case downtime],'OEE AHV'!AS$2)</f>
        <v>0</v>
      </c>
      <c r="AT44" s="114">
        <f>SUMIFS(Table1[Column1],Table1[Date],'OEE AHV'!$B44,Table1[M/C],'OEE AHV'!$D44,Table1[Case downtime],'OEE AHV'!AT$2)</f>
        <v>0</v>
      </c>
      <c r="AU44" s="114">
        <f>SUMIFS(Table1[Column1],Table1[Date],'OEE AHV'!$B44,Table1[M/C],'OEE AHV'!$D44,Table1[Case downtime],'OEE AHV'!AU$2)</f>
        <v>0</v>
      </c>
      <c r="AV44" s="114">
        <f>SUMIFS(Table1[Column1],Table1[Date],'OEE AHV'!$B44,Table1[M/C],'OEE AHV'!$D44,Table1[Case downtime],'OEE AHV'!AV$2)</f>
        <v>90</v>
      </c>
      <c r="AW44" s="114">
        <f>SUMIFS(Table1[Column1],Table1[Date],'OEE AHV'!$B44,Table1[M/C],'OEE AHV'!$D44,Table1[Case downtime],'OEE AHV'!AW$2)</f>
        <v>0</v>
      </c>
      <c r="AX44" s="183">
        <f>SUMIFS(Table1[Column1],Table1[Date],'OEE AHV'!$B44,Table1[M/C],'OEE AHV'!$D44,Table1[Case downtime],'OEE AHV'!AX$2)</f>
        <v>0</v>
      </c>
    </row>
    <row r="45" spans="2:50" s="115" customFormat="1" ht="30" hidden="1" customHeight="1">
      <c r="B45" s="91">
        <v>46074</v>
      </c>
      <c r="C45" s="92" t="s">
        <v>136</v>
      </c>
      <c r="D45" s="92" t="s">
        <v>121</v>
      </c>
      <c r="E45" s="80">
        <v>4.3</v>
      </c>
      <c r="F45" s="81">
        <v>24</v>
      </c>
      <c r="G45" s="82">
        <f t="shared" si="28"/>
        <v>1440</v>
      </c>
      <c r="H45" s="82">
        <v>0</v>
      </c>
      <c r="I45" s="82">
        <f t="shared" si="22"/>
        <v>1440</v>
      </c>
      <c r="J45" s="82">
        <f t="shared" si="26"/>
        <v>111.27864583333334</v>
      </c>
      <c r="K45" s="83">
        <f t="shared" si="27"/>
        <v>49</v>
      </c>
      <c r="L45" s="82">
        <f t="shared" si="4"/>
        <v>160.27864583333334</v>
      </c>
      <c r="M45" s="84">
        <f t="shared" si="5"/>
        <v>1279.7213541666667</v>
      </c>
      <c r="N45" s="85">
        <v>9208</v>
      </c>
      <c r="O45" s="82"/>
      <c r="P45" s="84">
        <v>9724</v>
      </c>
      <c r="Q45" s="135">
        <f t="shared" si="6"/>
        <v>18932</v>
      </c>
      <c r="R45" s="83">
        <f t="shared" si="7"/>
        <v>6</v>
      </c>
      <c r="S45" s="87">
        <f t="shared" si="8"/>
        <v>18926</v>
      </c>
      <c r="T45" s="88">
        <f t="shared" si="9"/>
        <v>17856.577034883721</v>
      </c>
      <c r="U45" s="89">
        <f t="shared" si="10"/>
        <v>0.88869538483796306</v>
      </c>
      <c r="V45" s="89">
        <f t="shared" si="11"/>
        <v>1.0602255943574956</v>
      </c>
      <c r="W45" s="89">
        <f t="shared" si="12"/>
        <v>0.99968307627297692</v>
      </c>
      <c r="X45" s="90">
        <f t="shared" si="13"/>
        <v>0.94191898148148157</v>
      </c>
      <c r="Y45" s="106"/>
      <c r="Z45" s="120">
        <v>6</v>
      </c>
      <c r="AA45" s="117"/>
      <c r="AB45" s="117"/>
      <c r="AC45" s="117"/>
      <c r="AD45" s="118"/>
      <c r="AE45" s="110">
        <f>Table24[[#This Row],[H. จำนวนชิ้น
งานทั้งหมด
ที่ผลิตได้ 
(Total Count)]]/512*1</f>
        <v>36.9765625</v>
      </c>
      <c r="AF45" s="111">
        <f t="shared" si="29"/>
        <v>41.906770833333333</v>
      </c>
      <c r="AG45" s="111">
        <f t="shared" si="30"/>
        <v>21.569661458333332</v>
      </c>
      <c r="AH45" s="111">
        <f t="shared" si="31"/>
        <v>22.802213541666667</v>
      </c>
      <c r="AI45" s="111">
        <v>10</v>
      </c>
      <c r="AJ45" s="112">
        <v>5</v>
      </c>
      <c r="AK45" s="113">
        <v>10</v>
      </c>
      <c r="AL45" s="114">
        <f>SUMIFS(Table1[Column1],Table1[Date],'OEE AHV'!$B45,Table1[M/C],'OEE AHV'!$D45,Table1[Case downtime],'OEE AHV'!AL$2)</f>
        <v>49</v>
      </c>
      <c r="AM45" s="114">
        <f>SUMIFS(Table1[Column1],Table1[Date],'OEE AHV'!$B45,Table1[M/C],'OEE AHV'!$D45,Table1[Case downtime],'OEE AHV'!AM$2)</f>
        <v>0</v>
      </c>
      <c r="AN45" s="114">
        <f>SUMIFS(Table1[Column1],Table1[Date],'OEE AHV'!$B45,Table1[M/C],'OEE AHV'!$D45,Table1[Case downtime],'OEE AHV'!AN$2)</f>
        <v>0</v>
      </c>
      <c r="AO45" s="114">
        <f>SUMIFS(Table1[Column1],Table1[Date],'OEE AHV'!$B45,Table1[M/C],'OEE AHV'!$D45,Table1[Case downtime],'OEE AHV'!AO$2)</f>
        <v>0</v>
      </c>
      <c r="AP45" s="114">
        <f>SUMIFS(Table1[Column1],Table1[Date],'OEE AHV'!$B45,Table1[M/C],'OEE AHV'!$D45,Table1[Case downtime],'OEE AHV'!AP$2)</f>
        <v>0</v>
      </c>
      <c r="AQ45" s="114">
        <f>SUMIFS(Table1[Column1],Table1[Date],'OEE AHV'!$B45,Table1[M/C],'OEE AHV'!$D45,Table1[Case downtime],'OEE AHV'!AQ$2)</f>
        <v>0</v>
      </c>
      <c r="AR45" s="114">
        <f>SUMIFS(Table1[Column1],Table1[Date],'OEE AHV'!$B45,Table1[M/C],'OEE AHV'!$D45,Table1[Case downtime],'OEE AHV'!AR$2)</f>
        <v>0</v>
      </c>
      <c r="AS45" s="114">
        <f>SUMIFS(Table1[Column1],Table1[Date],'OEE AHV'!$B45,Table1[M/C],'OEE AHV'!$D45,Table1[Case downtime],'OEE AHV'!AS$2)</f>
        <v>0</v>
      </c>
      <c r="AT45" s="114">
        <f>SUMIFS(Table1[Column1],Table1[Date],'OEE AHV'!$B45,Table1[M/C],'OEE AHV'!$D45,Table1[Case downtime],'OEE AHV'!AT$2)</f>
        <v>0</v>
      </c>
      <c r="AU45" s="114">
        <f>SUMIFS(Table1[Column1],Table1[Date],'OEE AHV'!$B45,Table1[M/C],'OEE AHV'!$D45,Table1[Case downtime],'OEE AHV'!AU$2)</f>
        <v>0</v>
      </c>
      <c r="AV45" s="114">
        <f>SUMIFS(Table1[Column1],Table1[Date],'OEE AHV'!$B45,Table1[M/C],'OEE AHV'!$D45,Table1[Case downtime],'OEE AHV'!AV$2)</f>
        <v>0</v>
      </c>
      <c r="AW45" s="114">
        <f>SUMIFS(Table1[Column1],Table1[Date],'OEE AHV'!$B45,Table1[M/C],'OEE AHV'!$D45,Table1[Case downtime],'OEE AHV'!AW$2)</f>
        <v>0</v>
      </c>
      <c r="AX45" s="183">
        <f>SUMIFS(Table1[Column1],Table1[Date],'OEE AHV'!$B45,Table1[M/C],'OEE AHV'!$D45,Table1[Case downtime],'OEE AHV'!AX$2)</f>
        <v>0</v>
      </c>
    </row>
    <row r="46" spans="2:50" s="115" customFormat="1" ht="30" customHeight="1">
      <c r="B46" s="91">
        <v>46076</v>
      </c>
      <c r="C46" s="92" t="s">
        <v>136</v>
      </c>
      <c r="D46" s="92" t="s">
        <v>121</v>
      </c>
      <c r="E46" s="80">
        <v>4.3</v>
      </c>
      <c r="F46" s="81">
        <v>24</v>
      </c>
      <c r="G46" s="82">
        <f t="shared" si="28"/>
        <v>1440</v>
      </c>
      <c r="H46" s="82">
        <v>0</v>
      </c>
      <c r="I46" s="82">
        <f t="shared" si="22"/>
        <v>1440</v>
      </c>
      <c r="J46" s="82">
        <f t="shared" si="26"/>
        <v>92.625651041666671</v>
      </c>
      <c r="K46" s="83">
        <f t="shared" si="27"/>
        <v>346</v>
      </c>
      <c r="L46" s="82">
        <f t="shared" si="4"/>
        <v>438.62565104166669</v>
      </c>
      <c r="M46" s="84">
        <f t="shared" si="5"/>
        <v>1001.3743489583333</v>
      </c>
      <c r="N46" s="85">
        <v>6652</v>
      </c>
      <c r="O46" s="82"/>
      <c r="P46" s="84">
        <v>8187</v>
      </c>
      <c r="Q46" s="135">
        <f t="shared" si="6"/>
        <v>14839</v>
      </c>
      <c r="R46" s="83">
        <f t="shared" si="7"/>
        <v>4</v>
      </c>
      <c r="S46" s="87">
        <f t="shared" si="8"/>
        <v>14835</v>
      </c>
      <c r="T46" s="88">
        <f t="shared" si="9"/>
        <v>13972.665334302324</v>
      </c>
      <c r="U46" s="89">
        <f t="shared" si="10"/>
        <v>0.695398853443287</v>
      </c>
      <c r="V46" s="89">
        <f t="shared" si="11"/>
        <v>1.0620021051796653</v>
      </c>
      <c r="W46" s="89">
        <f t="shared" si="12"/>
        <v>0.99973044005660761</v>
      </c>
      <c r="X46" s="90">
        <f t="shared" si="13"/>
        <v>0.73831597222222234</v>
      </c>
      <c r="Y46" s="106"/>
      <c r="Z46" s="120">
        <v>4</v>
      </c>
      <c r="AA46" s="117"/>
      <c r="AB46" s="117"/>
      <c r="AC46" s="117"/>
      <c r="AD46" s="118"/>
      <c r="AE46" s="110">
        <f>Table24[[#This Row],[H. จำนวนชิ้น
งานทั้งหมด
ที่ผลิตได้ 
(Total Count)]]/512*1</f>
        <v>28.982421875</v>
      </c>
      <c r="AF46" s="111">
        <f t="shared" si="29"/>
        <v>32.846744791666666</v>
      </c>
      <c r="AG46" s="111">
        <f t="shared" si="30"/>
        <v>16.906412760416668</v>
      </c>
      <c r="AH46" s="111">
        <f t="shared" si="31"/>
        <v>17.872493489583334</v>
      </c>
      <c r="AI46" s="111">
        <v>10</v>
      </c>
      <c r="AJ46" s="112">
        <v>5</v>
      </c>
      <c r="AK46" s="113">
        <v>10</v>
      </c>
      <c r="AL46" s="114">
        <f>SUMIFS(Table1[Column1],Table1[Date],'OEE AHV'!$B46,Table1[M/C],'OEE AHV'!$D46,Table1[Case downtime],'OEE AHV'!AL$2)</f>
        <v>0</v>
      </c>
      <c r="AM46" s="114">
        <f>SUMIFS(Table1[Column1],Table1[Date],'OEE AHV'!$B46,Table1[M/C],'OEE AHV'!$D46,Table1[Case downtime],'OEE AHV'!AM$2)</f>
        <v>0</v>
      </c>
      <c r="AN46" s="114">
        <f>SUMIFS(Table1[Column1],Table1[Date],'OEE AHV'!$B46,Table1[M/C],'OEE AHV'!$D46,Table1[Case downtime],'OEE AHV'!AN$2)</f>
        <v>0</v>
      </c>
      <c r="AO46" s="114">
        <f>SUMIFS(Table1[Column1],Table1[Date],'OEE AHV'!$B46,Table1[M/C],'OEE AHV'!$D46,Table1[Case downtime],'OEE AHV'!AO$2)</f>
        <v>0</v>
      </c>
      <c r="AP46" s="114">
        <f>SUMIFS(Table1[Column1],Table1[Date],'OEE AHV'!$B46,Table1[M/C],'OEE AHV'!$D46,Table1[Case downtime],'OEE AHV'!AP$2)</f>
        <v>0</v>
      </c>
      <c r="AQ46" s="114">
        <f>SUMIFS(Table1[Column1],Table1[Date],'OEE AHV'!$B46,Table1[M/C],'OEE AHV'!$D46,Table1[Case downtime],'OEE AHV'!AQ$2)</f>
        <v>0</v>
      </c>
      <c r="AR46" s="114">
        <f>SUMIFS(Table1[Column1],Table1[Date],'OEE AHV'!$B46,Table1[M/C],'OEE AHV'!$D46,Table1[Case downtime],'OEE AHV'!AR$2)</f>
        <v>0</v>
      </c>
      <c r="AS46" s="114">
        <f>SUMIFS(Table1[Column1],Table1[Date],'OEE AHV'!$B46,Table1[M/C],'OEE AHV'!$D46,Table1[Case downtime],'OEE AHV'!AS$2)</f>
        <v>0</v>
      </c>
      <c r="AT46" s="114">
        <f>SUMIFS(Table1[Column1],Table1[Date],'OEE AHV'!$B46,Table1[M/C],'OEE AHV'!$D46,Table1[Case downtime],'OEE AHV'!AT$2)</f>
        <v>0</v>
      </c>
      <c r="AU46" s="114">
        <f>SUMIFS(Table1[Column1],Table1[Date],'OEE AHV'!$B46,Table1[M/C],'OEE AHV'!$D46,Table1[Case downtime],'OEE AHV'!AU$2)</f>
        <v>0</v>
      </c>
      <c r="AV46" s="114">
        <f>SUMIFS(Table1[Column1],Table1[Date],'OEE AHV'!$B46,Table1[M/C],'OEE AHV'!$D46,Table1[Case downtime],'OEE AHV'!AV$2)</f>
        <v>346</v>
      </c>
      <c r="AW46" s="114">
        <f>SUMIFS(Table1[Column1],Table1[Date],'OEE AHV'!$B46,Table1[M/C],'OEE AHV'!$D46,Table1[Case downtime],'OEE AHV'!AW$2)</f>
        <v>0</v>
      </c>
      <c r="AX46" s="183">
        <f>SUMIFS(Table1[Column1],Table1[Date],'OEE AHV'!$B46,Table1[M/C],'OEE AHV'!$D46,Table1[Case downtime],'OEE AHV'!AX$2)</f>
        <v>0</v>
      </c>
    </row>
    <row r="47" spans="2:50" s="115" customFormat="1" ht="30" customHeight="1">
      <c r="B47" s="91">
        <v>46077</v>
      </c>
      <c r="C47" s="92" t="s">
        <v>136</v>
      </c>
      <c r="D47" s="92" t="s">
        <v>121</v>
      </c>
      <c r="E47" s="80">
        <v>4.3</v>
      </c>
      <c r="F47" s="81">
        <v>24</v>
      </c>
      <c r="G47" s="82">
        <f t="shared" si="28"/>
        <v>1440</v>
      </c>
      <c r="H47" s="82">
        <v>0</v>
      </c>
      <c r="I47" s="82">
        <f t="shared" si="22"/>
        <v>1440</v>
      </c>
      <c r="J47" s="82">
        <f t="shared" si="26"/>
        <v>99.607421875</v>
      </c>
      <c r="K47" s="83">
        <f t="shared" si="27"/>
        <v>193</v>
      </c>
      <c r="L47" s="82">
        <f t="shared" si="4"/>
        <v>292.607421875</v>
      </c>
      <c r="M47" s="84">
        <f t="shared" si="5"/>
        <v>1147.392578125</v>
      </c>
      <c r="N47" s="85">
        <v>8695</v>
      </c>
      <c r="O47" s="82"/>
      <c r="P47" s="84">
        <v>7676</v>
      </c>
      <c r="Q47" s="135">
        <f t="shared" si="6"/>
        <v>16371</v>
      </c>
      <c r="R47" s="83">
        <f t="shared" si="7"/>
        <v>11</v>
      </c>
      <c r="S47" s="87">
        <f t="shared" si="8"/>
        <v>16360</v>
      </c>
      <c r="T47" s="88">
        <f t="shared" si="9"/>
        <v>16010.128997093025</v>
      </c>
      <c r="U47" s="89">
        <f t="shared" si="10"/>
        <v>0.79680040147569442</v>
      </c>
      <c r="V47" s="89">
        <f t="shared" si="11"/>
        <v>1.0225401683504549</v>
      </c>
      <c r="W47" s="89">
        <f t="shared" si="12"/>
        <v>0.99932808014171404</v>
      </c>
      <c r="X47" s="90">
        <f t="shared" si="13"/>
        <v>0.81421296296296297</v>
      </c>
      <c r="Y47" s="106"/>
      <c r="Z47" s="120">
        <v>11</v>
      </c>
      <c r="AA47" s="117"/>
      <c r="AB47" s="117"/>
      <c r="AC47" s="117"/>
      <c r="AD47" s="118"/>
      <c r="AE47" s="110">
        <f>Table24[[#This Row],[H. จำนวนชิ้น
งานทั้งหมด
ที่ผลิตได้ 
(Total Count)]]/512*1</f>
        <v>31.974609375</v>
      </c>
      <c r="AF47" s="111">
        <f t="shared" si="29"/>
        <v>36.237890624999999</v>
      </c>
      <c r="AG47" s="111">
        <f t="shared" si="30"/>
        <v>18.65185546875</v>
      </c>
      <c r="AH47" s="111">
        <f t="shared" si="31"/>
        <v>19.717675781250001</v>
      </c>
      <c r="AI47" s="111">
        <v>10</v>
      </c>
      <c r="AJ47" s="112">
        <v>5</v>
      </c>
      <c r="AK47" s="113">
        <v>10</v>
      </c>
      <c r="AL47" s="114">
        <f>SUMIFS(Table1[Column1],Table1[Date],'OEE AHV'!$B47,Table1[M/C],'OEE AHV'!$D47,Table1[Case downtime],'OEE AHV'!AL$2)</f>
        <v>0</v>
      </c>
      <c r="AM47" s="114">
        <f>SUMIFS(Table1[Column1],Table1[Date],'OEE AHV'!$B47,Table1[M/C],'OEE AHV'!$D47,Table1[Case downtime],'OEE AHV'!AM$2)</f>
        <v>0</v>
      </c>
      <c r="AN47" s="114">
        <f>SUMIFS(Table1[Column1],Table1[Date],'OEE AHV'!$B47,Table1[M/C],'OEE AHV'!$D47,Table1[Case downtime],'OEE AHV'!AN$2)</f>
        <v>0</v>
      </c>
      <c r="AO47" s="114">
        <f>SUMIFS(Table1[Column1],Table1[Date],'OEE AHV'!$B47,Table1[M/C],'OEE AHV'!$D47,Table1[Case downtime],'OEE AHV'!AO$2)</f>
        <v>0</v>
      </c>
      <c r="AP47" s="114">
        <f>SUMIFS(Table1[Column1],Table1[Date],'OEE AHV'!$B47,Table1[M/C],'OEE AHV'!$D47,Table1[Case downtime],'OEE AHV'!AP$2)</f>
        <v>0</v>
      </c>
      <c r="AQ47" s="114">
        <f>SUMIFS(Table1[Column1],Table1[Date],'OEE AHV'!$B47,Table1[M/C],'OEE AHV'!$D47,Table1[Case downtime],'OEE AHV'!AQ$2)</f>
        <v>0</v>
      </c>
      <c r="AR47" s="114">
        <f>SUMIFS(Table1[Column1],Table1[Date],'OEE AHV'!$B47,Table1[M/C],'OEE AHV'!$D47,Table1[Case downtime],'OEE AHV'!AR$2)</f>
        <v>3</v>
      </c>
      <c r="AS47" s="114">
        <f>SUMIFS(Table1[Column1],Table1[Date],'OEE AHV'!$B47,Table1[M/C],'OEE AHV'!$D47,Table1[Case downtime],'OEE AHV'!AS$2)</f>
        <v>0</v>
      </c>
      <c r="AT47" s="114">
        <f>SUMIFS(Table1[Column1],Table1[Date],'OEE AHV'!$B47,Table1[M/C],'OEE AHV'!$D47,Table1[Case downtime],'OEE AHV'!AT$2)</f>
        <v>0</v>
      </c>
      <c r="AU47" s="114">
        <f>SUMIFS(Table1[Column1],Table1[Date],'OEE AHV'!$B47,Table1[M/C],'OEE AHV'!$D47,Table1[Case downtime],'OEE AHV'!AU$2)</f>
        <v>0</v>
      </c>
      <c r="AV47" s="114">
        <f>SUMIFS(Table1[Column1],Table1[Date],'OEE AHV'!$B47,Table1[M/C],'OEE AHV'!$D47,Table1[Case downtime],'OEE AHV'!AV$2)</f>
        <v>190</v>
      </c>
      <c r="AW47" s="114">
        <f>SUMIFS(Table1[Column1],Table1[Date],'OEE AHV'!$B47,Table1[M/C],'OEE AHV'!$D47,Table1[Case downtime],'OEE AHV'!AW$2)</f>
        <v>0</v>
      </c>
      <c r="AX47" s="183">
        <f>SUMIFS(Table1[Column1],Table1[Date],'OEE AHV'!$B47,Table1[M/C],'OEE AHV'!$D47,Table1[Case downtime],'OEE AHV'!AX$2)</f>
        <v>0</v>
      </c>
    </row>
    <row r="48" spans="2:50" s="115" customFormat="1" ht="30" customHeight="1">
      <c r="B48" s="91">
        <v>46078</v>
      </c>
      <c r="C48" s="92" t="s">
        <v>136</v>
      </c>
      <c r="D48" s="92" t="s">
        <v>121</v>
      </c>
      <c r="E48" s="80">
        <v>4.3</v>
      </c>
      <c r="F48" s="81">
        <v>24</v>
      </c>
      <c r="G48" s="82">
        <f t="shared" si="28"/>
        <v>1440</v>
      </c>
      <c r="H48" s="82">
        <v>0</v>
      </c>
      <c r="I48" s="82">
        <f t="shared" si="22"/>
        <v>1440</v>
      </c>
      <c r="J48" s="82">
        <f t="shared" si="26"/>
        <v>113.62109375</v>
      </c>
      <c r="K48" s="83">
        <f t="shared" si="27"/>
        <v>0</v>
      </c>
      <c r="L48" s="82">
        <f t="shared" si="4"/>
        <v>113.62109375</v>
      </c>
      <c r="M48" s="84">
        <f t="shared" si="5"/>
        <v>1326.37890625</v>
      </c>
      <c r="N48" s="85">
        <v>9722</v>
      </c>
      <c r="O48" s="82"/>
      <c r="P48" s="84">
        <v>9724</v>
      </c>
      <c r="Q48" s="135">
        <f t="shared" si="6"/>
        <v>19446</v>
      </c>
      <c r="R48" s="83">
        <f t="shared" si="7"/>
        <v>3</v>
      </c>
      <c r="S48" s="87">
        <f t="shared" si="8"/>
        <v>19443</v>
      </c>
      <c r="T48" s="88">
        <f t="shared" si="9"/>
        <v>18507.61264534884</v>
      </c>
      <c r="U48" s="89">
        <f t="shared" si="10"/>
        <v>0.92109646267361112</v>
      </c>
      <c r="V48" s="89">
        <f t="shared" si="11"/>
        <v>1.0507027768860824</v>
      </c>
      <c r="W48" s="89">
        <f t="shared" si="12"/>
        <v>0.99984572662758409</v>
      </c>
      <c r="X48" s="90">
        <f t="shared" si="13"/>
        <v>0.96764930555555528</v>
      </c>
      <c r="Y48" s="106"/>
      <c r="Z48" s="120">
        <v>3</v>
      </c>
      <c r="AA48" s="117"/>
      <c r="AB48" s="117"/>
      <c r="AC48" s="117"/>
      <c r="AD48" s="118"/>
      <c r="AE48" s="110">
        <f>Table24[[#This Row],[H. จำนวนชิ้น
งานทั้งหมด
ที่ผลิตได้ 
(Total Count)]]/512*1</f>
        <v>37.98046875</v>
      </c>
      <c r="AF48" s="111">
        <f t="shared" si="29"/>
        <v>43.044531249999999</v>
      </c>
      <c r="AG48" s="111">
        <f t="shared" si="30"/>
        <v>22.1552734375</v>
      </c>
      <c r="AH48" s="111">
        <f t="shared" si="31"/>
        <v>23.421289062500001</v>
      </c>
      <c r="AI48" s="111">
        <v>10</v>
      </c>
      <c r="AJ48" s="112">
        <v>5</v>
      </c>
      <c r="AK48" s="113">
        <v>10</v>
      </c>
      <c r="AL48" s="114">
        <f>SUMIFS(Table1[Column1],Table1[Date],'OEE AHV'!$B48,Table1[M/C],'OEE AHV'!$D48,Table1[Case downtime],'OEE AHV'!AL$2)</f>
        <v>0</v>
      </c>
      <c r="AM48" s="114">
        <f>SUMIFS(Table1[Column1],Table1[Date],'OEE AHV'!$B48,Table1[M/C],'OEE AHV'!$D48,Table1[Case downtime],'OEE AHV'!AM$2)</f>
        <v>0</v>
      </c>
      <c r="AN48" s="114">
        <f>SUMIFS(Table1[Column1],Table1[Date],'OEE AHV'!$B48,Table1[M/C],'OEE AHV'!$D48,Table1[Case downtime],'OEE AHV'!AN$2)</f>
        <v>0</v>
      </c>
      <c r="AO48" s="114">
        <f>SUMIFS(Table1[Column1],Table1[Date],'OEE AHV'!$B48,Table1[M/C],'OEE AHV'!$D48,Table1[Case downtime],'OEE AHV'!AO$2)</f>
        <v>0</v>
      </c>
      <c r="AP48" s="114">
        <f>SUMIFS(Table1[Column1],Table1[Date],'OEE AHV'!$B48,Table1[M/C],'OEE AHV'!$D48,Table1[Case downtime],'OEE AHV'!AP$2)</f>
        <v>0</v>
      </c>
      <c r="AQ48" s="114">
        <f>SUMIFS(Table1[Column1],Table1[Date],'OEE AHV'!$B48,Table1[M/C],'OEE AHV'!$D48,Table1[Case downtime],'OEE AHV'!AQ$2)</f>
        <v>0</v>
      </c>
      <c r="AR48" s="114">
        <f>SUMIFS(Table1[Column1],Table1[Date],'OEE AHV'!$B48,Table1[M/C],'OEE AHV'!$D48,Table1[Case downtime],'OEE AHV'!AR$2)</f>
        <v>0</v>
      </c>
      <c r="AS48" s="114">
        <f>SUMIFS(Table1[Column1],Table1[Date],'OEE AHV'!$B48,Table1[M/C],'OEE AHV'!$D48,Table1[Case downtime],'OEE AHV'!AS$2)</f>
        <v>0</v>
      </c>
      <c r="AT48" s="114">
        <f>SUMIFS(Table1[Column1],Table1[Date],'OEE AHV'!$B48,Table1[M/C],'OEE AHV'!$D48,Table1[Case downtime],'OEE AHV'!AT$2)</f>
        <v>0</v>
      </c>
      <c r="AU48" s="114">
        <f>SUMIFS(Table1[Column1],Table1[Date],'OEE AHV'!$B48,Table1[M/C],'OEE AHV'!$D48,Table1[Case downtime],'OEE AHV'!AU$2)</f>
        <v>0</v>
      </c>
      <c r="AV48" s="114">
        <f>SUMIFS(Table1[Column1],Table1[Date],'OEE AHV'!$B48,Table1[M/C],'OEE AHV'!$D48,Table1[Case downtime],'OEE AHV'!AV$2)</f>
        <v>0</v>
      </c>
      <c r="AW48" s="114">
        <f>SUMIFS(Table1[Column1],Table1[Date],'OEE AHV'!$B48,Table1[M/C],'OEE AHV'!$D48,Table1[Case downtime],'OEE AHV'!AW$2)</f>
        <v>0</v>
      </c>
      <c r="AX48" s="183">
        <f>SUMIFS(Table1[Column1],Table1[Date],'OEE AHV'!$B48,Table1[M/C],'OEE AHV'!$D48,Table1[Case downtime],'OEE AHV'!AX$2)</f>
        <v>0</v>
      </c>
    </row>
    <row r="49" spans="2:50" s="115" customFormat="1" ht="30" customHeight="1">
      <c r="B49" s="91">
        <v>46079</v>
      </c>
      <c r="C49" s="92" t="s">
        <v>136</v>
      </c>
      <c r="D49" s="92" t="s">
        <v>121</v>
      </c>
      <c r="E49" s="80">
        <v>4.3</v>
      </c>
      <c r="F49" s="81">
        <v>24</v>
      </c>
      <c r="G49" s="82">
        <f t="shared" si="28"/>
        <v>1440</v>
      </c>
      <c r="H49" s="82">
        <v>0</v>
      </c>
      <c r="I49" s="82">
        <f t="shared" si="22"/>
        <v>1440</v>
      </c>
      <c r="J49" s="82">
        <f t="shared" si="26"/>
        <v>97.283203125</v>
      </c>
      <c r="K49" s="83">
        <f t="shared" si="27"/>
        <v>401</v>
      </c>
      <c r="L49" s="82">
        <f t="shared" si="4"/>
        <v>498.283203125</v>
      </c>
      <c r="M49" s="84">
        <f t="shared" si="5"/>
        <v>941.716796875</v>
      </c>
      <c r="N49" s="85">
        <v>6655</v>
      </c>
      <c r="O49" s="82"/>
      <c r="P49" s="84">
        <v>9206</v>
      </c>
      <c r="Q49" s="135">
        <f t="shared" si="6"/>
        <v>15861</v>
      </c>
      <c r="R49" s="83">
        <f t="shared" si="7"/>
        <v>8</v>
      </c>
      <c r="S49" s="87">
        <f t="shared" si="8"/>
        <v>15853</v>
      </c>
      <c r="T49" s="88">
        <f t="shared" si="9"/>
        <v>13140.234375</v>
      </c>
      <c r="U49" s="89">
        <f t="shared" si="10"/>
        <v>0.65396999782986109</v>
      </c>
      <c r="V49" s="89">
        <f t="shared" si="11"/>
        <v>1.2070560956033176</v>
      </c>
      <c r="W49" s="89">
        <f t="shared" si="12"/>
        <v>0.99949561818296451</v>
      </c>
      <c r="X49" s="90">
        <f t="shared" si="13"/>
        <v>0.78898032407407415</v>
      </c>
      <c r="Y49" s="106"/>
      <c r="Z49" s="120">
        <v>8</v>
      </c>
      <c r="AA49" s="117"/>
      <c r="AB49" s="117"/>
      <c r="AC49" s="117"/>
      <c r="AD49" s="118"/>
      <c r="AE49" s="110">
        <f>Table24[[#This Row],[H. จำนวนชิ้น
งานทั้งหมด
ที่ผลิตได้ 
(Total Count)]]/512*1</f>
        <v>30.978515625</v>
      </c>
      <c r="AF49" s="111">
        <f t="shared" si="29"/>
        <v>35.108984374999999</v>
      </c>
      <c r="AG49" s="111">
        <f t="shared" si="30"/>
        <v>18.07080078125</v>
      </c>
      <c r="AH49" s="111">
        <f t="shared" si="31"/>
        <v>19.103417968750001</v>
      </c>
      <c r="AI49" s="111">
        <v>10</v>
      </c>
      <c r="AJ49" s="112">
        <v>5</v>
      </c>
      <c r="AK49" s="113">
        <v>10</v>
      </c>
      <c r="AL49" s="114">
        <f>SUMIFS(Table1[Column1],Table1[Date],'OEE AHV'!$B49,Table1[M/C],'OEE AHV'!$D49,Table1[Case downtime],'OEE AHV'!AL$2)</f>
        <v>188</v>
      </c>
      <c r="AM49" s="114">
        <f>SUMIFS(Table1[Column1],Table1[Date],'OEE AHV'!$B49,Table1[M/C],'OEE AHV'!$D49,Table1[Case downtime],'OEE AHV'!AM$2)</f>
        <v>0</v>
      </c>
      <c r="AN49" s="114">
        <f>SUMIFS(Table1[Column1],Table1[Date],'OEE AHV'!$B49,Table1[M/C],'OEE AHV'!$D49,Table1[Case downtime],'OEE AHV'!AN$2)</f>
        <v>0</v>
      </c>
      <c r="AO49" s="114">
        <f>SUMIFS(Table1[Column1],Table1[Date],'OEE AHV'!$B49,Table1[M/C],'OEE AHV'!$D49,Table1[Case downtime],'OEE AHV'!AO$2)</f>
        <v>0</v>
      </c>
      <c r="AP49" s="114">
        <f>SUMIFS(Table1[Column1],Table1[Date],'OEE AHV'!$B49,Table1[M/C],'OEE AHV'!$D49,Table1[Case downtime],'OEE AHV'!AP$2)</f>
        <v>0</v>
      </c>
      <c r="AQ49" s="114">
        <f>SUMIFS(Table1[Column1],Table1[Date],'OEE AHV'!$B49,Table1[M/C],'OEE AHV'!$D49,Table1[Case downtime],'OEE AHV'!AQ$2)</f>
        <v>0</v>
      </c>
      <c r="AR49" s="114">
        <f>SUMIFS(Table1[Column1],Table1[Date],'OEE AHV'!$B49,Table1[M/C],'OEE AHV'!$D49,Table1[Case downtime],'OEE AHV'!AR$2)</f>
        <v>0</v>
      </c>
      <c r="AS49" s="114">
        <f>SUMIFS(Table1[Column1],Table1[Date],'OEE AHV'!$B49,Table1[M/C],'OEE AHV'!$D49,Table1[Case downtime],'OEE AHV'!AS$2)</f>
        <v>0</v>
      </c>
      <c r="AT49" s="114">
        <f>SUMIFS(Table1[Column1],Table1[Date],'OEE AHV'!$B49,Table1[M/C],'OEE AHV'!$D49,Table1[Case downtime],'OEE AHV'!AT$2)</f>
        <v>0</v>
      </c>
      <c r="AU49" s="114">
        <f>SUMIFS(Table1[Column1],Table1[Date],'OEE AHV'!$B49,Table1[M/C],'OEE AHV'!$D49,Table1[Case downtime],'OEE AHV'!AU$2)</f>
        <v>0</v>
      </c>
      <c r="AV49" s="114">
        <f>SUMIFS(Table1[Column1],Table1[Date],'OEE AHV'!$B49,Table1[M/C],'OEE AHV'!$D49,Table1[Case downtime],'OEE AHV'!AV$2)</f>
        <v>213</v>
      </c>
      <c r="AW49" s="114">
        <f>SUMIFS(Table1[Column1],Table1[Date],'OEE AHV'!$B49,Table1[M/C],'OEE AHV'!$D49,Table1[Case downtime],'OEE AHV'!AW$2)</f>
        <v>0</v>
      </c>
      <c r="AX49" s="183">
        <f>SUMIFS(Table1[Column1],Table1[Date],'OEE AHV'!$B49,Table1[M/C],'OEE AHV'!$D49,Table1[Case downtime],'OEE AHV'!AX$2)</f>
        <v>0</v>
      </c>
    </row>
    <row r="50" spans="2:50" s="115" customFormat="1" ht="30" customHeight="1">
      <c r="B50" s="91">
        <v>46080</v>
      </c>
      <c r="C50" s="92" t="s">
        <v>136</v>
      </c>
      <c r="D50" s="92" t="s">
        <v>121</v>
      </c>
      <c r="E50" s="80">
        <v>4.3</v>
      </c>
      <c r="F50" s="81">
        <v>24</v>
      </c>
      <c r="G50" s="82">
        <f t="shared" si="28"/>
        <v>1440</v>
      </c>
      <c r="H50" s="82">
        <v>0</v>
      </c>
      <c r="I50" s="82">
        <f t="shared" si="22"/>
        <v>1440</v>
      </c>
      <c r="J50" s="82">
        <f t="shared" si="26"/>
        <v>104.26041666666667</v>
      </c>
      <c r="K50" s="83">
        <f t="shared" si="27"/>
        <v>138</v>
      </c>
      <c r="L50" s="82">
        <f t="shared" si="4"/>
        <v>242.26041666666669</v>
      </c>
      <c r="M50" s="84">
        <f t="shared" si="5"/>
        <v>1197.7395833333333</v>
      </c>
      <c r="N50" s="85">
        <v>9724</v>
      </c>
      <c r="O50" s="82"/>
      <c r="P50" s="84">
        <v>7668</v>
      </c>
      <c r="Q50" s="135">
        <f t="shared" si="6"/>
        <v>17392</v>
      </c>
      <c r="R50" s="83">
        <f t="shared" si="7"/>
        <v>2</v>
      </c>
      <c r="S50" s="87">
        <f t="shared" si="8"/>
        <v>17390</v>
      </c>
      <c r="T50" s="88">
        <f t="shared" si="9"/>
        <v>16712.64534883721</v>
      </c>
      <c r="U50" s="89">
        <f t="shared" si="10"/>
        <v>0.83176359953703694</v>
      </c>
      <c r="V50" s="89">
        <f t="shared" si="11"/>
        <v>1.0406491394380037</v>
      </c>
      <c r="W50" s="89">
        <f t="shared" si="12"/>
        <v>0.999885004599816</v>
      </c>
      <c r="X50" s="90">
        <f t="shared" si="13"/>
        <v>0.86547453703703681</v>
      </c>
      <c r="Y50" s="106"/>
      <c r="Z50" s="120">
        <v>2</v>
      </c>
      <c r="AA50" s="117"/>
      <c r="AB50" s="117"/>
      <c r="AC50" s="117"/>
      <c r="AD50" s="118"/>
      <c r="AE50" s="110">
        <f>Table24[[#This Row],[H. จำนวนชิ้น
งานทั้งหมด
ที่ผลิตได้ 
(Total Count)]]/512*1</f>
        <v>33.96875</v>
      </c>
      <c r="AF50" s="111">
        <f t="shared" si="29"/>
        <v>38.497916666666669</v>
      </c>
      <c r="AG50" s="111">
        <f t="shared" si="30"/>
        <v>19.815104166666668</v>
      </c>
      <c r="AH50" s="111">
        <f t="shared" si="31"/>
        <v>20.947395833333335</v>
      </c>
      <c r="AI50" s="111">
        <v>10</v>
      </c>
      <c r="AJ50" s="112">
        <v>5</v>
      </c>
      <c r="AK50" s="113">
        <v>10</v>
      </c>
      <c r="AL50" s="114">
        <f>SUMIFS(Table1[Column1],Table1[Date],'OEE AHV'!$B50,Table1[M/C],'OEE AHV'!$D50,Table1[Case downtime],'OEE AHV'!AL$2)</f>
        <v>3</v>
      </c>
      <c r="AM50" s="114">
        <f>SUMIFS(Table1[Column1],Table1[Date],'OEE AHV'!$B50,Table1[M/C],'OEE AHV'!$D50,Table1[Case downtime],'OEE AHV'!AM$2)</f>
        <v>0</v>
      </c>
      <c r="AN50" s="114">
        <f>SUMIFS(Table1[Column1],Table1[Date],'OEE AHV'!$B50,Table1[M/C],'OEE AHV'!$D50,Table1[Case downtime],'OEE AHV'!AN$2)</f>
        <v>0</v>
      </c>
      <c r="AO50" s="114">
        <f>SUMIFS(Table1[Column1],Table1[Date],'OEE AHV'!$B50,Table1[M/C],'OEE AHV'!$D50,Table1[Case downtime],'OEE AHV'!AO$2)</f>
        <v>0</v>
      </c>
      <c r="AP50" s="114">
        <f>SUMIFS(Table1[Column1],Table1[Date],'OEE AHV'!$B50,Table1[M/C],'OEE AHV'!$D50,Table1[Case downtime],'OEE AHV'!AP$2)</f>
        <v>0</v>
      </c>
      <c r="AQ50" s="114">
        <f>SUMIFS(Table1[Column1],Table1[Date],'OEE AHV'!$B50,Table1[M/C],'OEE AHV'!$D50,Table1[Case downtime],'OEE AHV'!AQ$2)</f>
        <v>0</v>
      </c>
      <c r="AR50" s="114">
        <f>SUMIFS(Table1[Column1],Table1[Date],'OEE AHV'!$B50,Table1[M/C],'OEE AHV'!$D50,Table1[Case downtime],'OEE AHV'!AR$2)</f>
        <v>0</v>
      </c>
      <c r="AS50" s="114">
        <f>SUMIFS(Table1[Column1],Table1[Date],'OEE AHV'!$B50,Table1[M/C],'OEE AHV'!$D50,Table1[Case downtime],'OEE AHV'!AS$2)</f>
        <v>0</v>
      </c>
      <c r="AT50" s="114">
        <f>SUMIFS(Table1[Column1],Table1[Date],'OEE AHV'!$B50,Table1[M/C],'OEE AHV'!$D50,Table1[Case downtime],'OEE AHV'!AT$2)</f>
        <v>0</v>
      </c>
      <c r="AU50" s="114">
        <f>SUMIFS(Table1[Column1],Table1[Date],'OEE AHV'!$B50,Table1[M/C],'OEE AHV'!$D50,Table1[Case downtime],'OEE AHV'!AU$2)</f>
        <v>0</v>
      </c>
      <c r="AV50" s="114">
        <f>SUMIFS(Table1[Column1],Table1[Date],'OEE AHV'!$B50,Table1[M/C],'OEE AHV'!$D50,Table1[Case downtime],'OEE AHV'!AV$2)</f>
        <v>135</v>
      </c>
      <c r="AW50" s="114">
        <f>SUMIFS(Table1[Column1],Table1[Date],'OEE AHV'!$B50,Table1[M/C],'OEE AHV'!$D50,Table1[Case downtime],'OEE AHV'!AW$2)</f>
        <v>0</v>
      </c>
      <c r="AX50" s="183">
        <f>SUMIFS(Table1[Column1],Table1[Date],'OEE AHV'!$B50,Table1[M/C],'OEE AHV'!$D50,Table1[Case downtime],'OEE AHV'!AX$2)</f>
        <v>0</v>
      </c>
    </row>
    <row r="51" spans="2:50" s="115" customFormat="1" ht="30" hidden="1" customHeight="1">
      <c r="B51" s="91">
        <v>46055</v>
      </c>
      <c r="C51" s="92" t="s">
        <v>136</v>
      </c>
      <c r="D51" s="92" t="s">
        <v>122</v>
      </c>
      <c r="E51" s="80">
        <v>4.3</v>
      </c>
      <c r="F51" s="81">
        <v>24</v>
      </c>
      <c r="G51" s="82">
        <f t="shared" si="28"/>
        <v>1440</v>
      </c>
      <c r="H51" s="82">
        <v>0</v>
      </c>
      <c r="I51" s="82">
        <f t="shared" si="22"/>
        <v>1440</v>
      </c>
      <c r="J51" s="82">
        <f t="shared" si="26"/>
        <v>106.60286458333333</v>
      </c>
      <c r="K51" s="83">
        <f t="shared" si="27"/>
        <v>70</v>
      </c>
      <c r="L51" s="82">
        <f t="shared" si="4"/>
        <v>176.60286458333331</v>
      </c>
      <c r="M51" s="84">
        <f t="shared" si="5"/>
        <v>1263.3971354166667</v>
      </c>
      <c r="N51" s="85">
        <v>8187</v>
      </c>
      <c r="O51" s="82"/>
      <c r="P51" s="84">
        <v>9719</v>
      </c>
      <c r="Q51" s="135">
        <f t="shared" si="6"/>
        <v>17906</v>
      </c>
      <c r="R51" s="83">
        <f t="shared" si="7"/>
        <v>2</v>
      </c>
      <c r="S51" s="87">
        <f t="shared" si="8"/>
        <v>17904</v>
      </c>
      <c r="T51" s="88">
        <f t="shared" si="9"/>
        <v>17628.797238372095</v>
      </c>
      <c r="U51" s="89">
        <f t="shared" si="10"/>
        <v>0.87735912181712972</v>
      </c>
      <c r="V51" s="89">
        <f t="shared" si="11"/>
        <v>1.0157244284950153</v>
      </c>
      <c r="W51" s="89">
        <f t="shared" si="12"/>
        <v>0.99988830559588959</v>
      </c>
      <c r="X51" s="90">
        <f t="shared" si="13"/>
        <v>0.89105555555555549</v>
      </c>
      <c r="Y51" s="106"/>
      <c r="Z51" s="120">
        <v>2</v>
      </c>
      <c r="AA51" s="117"/>
      <c r="AB51" s="117"/>
      <c r="AC51" s="117"/>
      <c r="AD51" s="118"/>
      <c r="AE51" s="110">
        <f>Table24[[#This Row],[H. จำนวนชิ้น
งานทั้งหมด
ที่ผลิตได้ 
(Total Count)]]/512*1</f>
        <v>34.97265625</v>
      </c>
      <c r="AF51" s="111">
        <f t="shared" si="29"/>
        <v>39.635677083333334</v>
      </c>
      <c r="AG51" s="111">
        <f t="shared" si="30"/>
        <v>20.400716145833332</v>
      </c>
      <c r="AH51" s="111">
        <f t="shared" si="31"/>
        <v>21.566471354166666</v>
      </c>
      <c r="AI51" s="111">
        <v>10</v>
      </c>
      <c r="AJ51" s="112">
        <v>5</v>
      </c>
      <c r="AK51" s="113">
        <v>10</v>
      </c>
      <c r="AL51" s="114">
        <f>SUMIFS(Table1[Column1],Table1[Date],'OEE AHV'!$B51,Table1[M/C],'OEE AHV'!$D51,Table1[Case downtime],'OEE AHV'!AL$2)</f>
        <v>0</v>
      </c>
      <c r="AM51" s="114">
        <f>SUMIFS(Table1[Column1],Table1[Date],'OEE AHV'!$B51,Table1[M/C],'OEE AHV'!$D51,Table1[Case downtime],'OEE AHV'!AM$2)</f>
        <v>0</v>
      </c>
      <c r="AN51" s="114">
        <f>SUMIFS(Table1[Column1],Table1[Date],'OEE AHV'!$B51,Table1[M/C],'OEE AHV'!$D51,Table1[Case downtime],'OEE AHV'!AN$2)</f>
        <v>4</v>
      </c>
      <c r="AO51" s="114">
        <f>SUMIFS(Table1[Column1],Table1[Date],'OEE AHV'!$B51,Table1[M/C],'OEE AHV'!$D51,Table1[Case downtime],'OEE AHV'!AO$2)</f>
        <v>0</v>
      </c>
      <c r="AP51" s="114">
        <f>SUMIFS(Table1[Column1],Table1[Date],'OEE AHV'!$B51,Table1[M/C],'OEE AHV'!$D51,Table1[Case downtime],'OEE AHV'!AP$2)</f>
        <v>0</v>
      </c>
      <c r="AQ51" s="114">
        <f>SUMIFS(Table1[Column1],Table1[Date],'OEE AHV'!$B51,Table1[M/C],'OEE AHV'!$D51,Table1[Case downtime],'OEE AHV'!AQ$2)</f>
        <v>0</v>
      </c>
      <c r="AR51" s="114">
        <f>SUMIFS(Table1[Column1],Table1[Date],'OEE AHV'!$B51,Table1[M/C],'OEE AHV'!$D51,Table1[Case downtime],'OEE AHV'!AR$2)</f>
        <v>0</v>
      </c>
      <c r="AS51" s="114">
        <f>SUMIFS(Table1[Column1],Table1[Date],'OEE AHV'!$B51,Table1[M/C],'OEE AHV'!$D51,Table1[Case downtime],'OEE AHV'!AS$2)</f>
        <v>0</v>
      </c>
      <c r="AT51" s="114">
        <f>SUMIFS(Table1[Column1],Table1[Date],'OEE AHV'!$B51,Table1[M/C],'OEE AHV'!$D51,Table1[Case downtime],'OEE AHV'!AT$2)</f>
        <v>0</v>
      </c>
      <c r="AU51" s="114">
        <f>SUMIFS(Table1[Column1],Table1[Date],'OEE AHV'!$B51,Table1[M/C],'OEE AHV'!$D51,Table1[Case downtime],'OEE AHV'!AU$2)</f>
        <v>0</v>
      </c>
      <c r="AV51" s="114">
        <f>SUMIFS(Table1[Column1],Table1[Date],'OEE AHV'!$B51,Table1[M/C],'OEE AHV'!$D51,Table1[Case downtime],'OEE AHV'!AV$2)</f>
        <v>66</v>
      </c>
      <c r="AW51" s="114">
        <f>SUMIFS(Table1[Column1],Table1[Date],'OEE AHV'!$B51,Table1[M/C],'OEE AHV'!$D51,Table1[Case downtime],'OEE AHV'!AW$2)</f>
        <v>0</v>
      </c>
      <c r="AX51" s="183">
        <f>SUMIFS(Table1[Column1],Table1[Date],'OEE AHV'!$B51,Table1[M/C],'OEE AHV'!$D51,Table1[Case downtime],'OEE AHV'!AX$2)</f>
        <v>0</v>
      </c>
    </row>
    <row r="52" spans="2:50" s="115" customFormat="1" ht="30" hidden="1" customHeight="1">
      <c r="B52" s="91">
        <v>46056</v>
      </c>
      <c r="C52" s="92" t="s">
        <v>136</v>
      </c>
      <c r="D52" s="92" t="s">
        <v>122</v>
      </c>
      <c r="E52" s="80">
        <v>4.3</v>
      </c>
      <c r="F52" s="81">
        <v>24</v>
      </c>
      <c r="G52" s="82">
        <f t="shared" si="28"/>
        <v>1440</v>
      </c>
      <c r="H52" s="82">
        <v>0</v>
      </c>
      <c r="I52" s="82">
        <f t="shared" si="22"/>
        <v>1440</v>
      </c>
      <c r="J52" s="82">
        <f t="shared" si="26"/>
        <v>111.283203125</v>
      </c>
      <c r="K52" s="83">
        <f t="shared" si="27"/>
        <v>20</v>
      </c>
      <c r="L52" s="82">
        <f t="shared" si="4"/>
        <v>131.283203125</v>
      </c>
      <c r="M52" s="84">
        <f t="shared" si="5"/>
        <v>1308.716796875</v>
      </c>
      <c r="N52" s="85">
        <v>9212</v>
      </c>
      <c r="O52" s="82"/>
      <c r="P52" s="84">
        <v>9721</v>
      </c>
      <c r="Q52" s="135">
        <f t="shared" si="6"/>
        <v>18933</v>
      </c>
      <c r="R52" s="83">
        <f t="shared" si="7"/>
        <v>1</v>
      </c>
      <c r="S52" s="87">
        <f t="shared" si="8"/>
        <v>18932</v>
      </c>
      <c r="T52" s="88">
        <f t="shared" si="9"/>
        <v>18261.164607558141</v>
      </c>
      <c r="U52" s="89">
        <f t="shared" si="10"/>
        <v>0.90883110894097219</v>
      </c>
      <c r="V52" s="89">
        <f t="shared" si="11"/>
        <v>1.0367903913512608</v>
      </c>
      <c r="W52" s="89">
        <f t="shared" si="12"/>
        <v>0.99994718216870015</v>
      </c>
      <c r="X52" s="90">
        <f t="shared" si="13"/>
        <v>0.9422175925925923</v>
      </c>
      <c r="Y52" s="106"/>
      <c r="Z52" s="120">
        <v>1</v>
      </c>
      <c r="AA52" s="117"/>
      <c r="AB52" s="117"/>
      <c r="AC52" s="117"/>
      <c r="AD52" s="118"/>
      <c r="AE52" s="110">
        <f>Table24[[#This Row],[H. จำนวนชิ้น
งานทั้งหมด
ที่ผลิตได้ 
(Total Count)]]/512*1</f>
        <v>36.978515625</v>
      </c>
      <c r="AF52" s="111">
        <f t="shared" si="29"/>
        <v>41.908984375000003</v>
      </c>
      <c r="AG52" s="111">
        <f t="shared" si="30"/>
        <v>21.57080078125</v>
      </c>
      <c r="AH52" s="111">
        <f t="shared" si="31"/>
        <v>22.803417968750001</v>
      </c>
      <c r="AI52" s="111">
        <v>10</v>
      </c>
      <c r="AJ52" s="112">
        <v>5</v>
      </c>
      <c r="AK52" s="113">
        <v>10</v>
      </c>
      <c r="AL52" s="114">
        <f>SUMIFS(Table1[Column1],Table1[Date],'OEE AHV'!$B52,Table1[M/C],'OEE AHV'!$D52,Table1[Case downtime],'OEE AHV'!AL$2)</f>
        <v>0</v>
      </c>
      <c r="AM52" s="114">
        <f>SUMIFS(Table1[Column1],Table1[Date],'OEE AHV'!$B52,Table1[M/C],'OEE AHV'!$D52,Table1[Case downtime],'OEE AHV'!AM$2)</f>
        <v>0</v>
      </c>
      <c r="AN52" s="114">
        <f>SUMIFS(Table1[Column1],Table1[Date],'OEE AHV'!$B52,Table1[M/C],'OEE AHV'!$D52,Table1[Case downtime],'OEE AHV'!AN$2)</f>
        <v>0</v>
      </c>
      <c r="AO52" s="114">
        <f>SUMIFS(Table1[Column1],Table1[Date],'OEE AHV'!$B52,Table1[M/C],'OEE AHV'!$D52,Table1[Case downtime],'OEE AHV'!AO$2)</f>
        <v>0</v>
      </c>
      <c r="AP52" s="114">
        <f>SUMIFS(Table1[Column1],Table1[Date],'OEE AHV'!$B52,Table1[M/C],'OEE AHV'!$D52,Table1[Case downtime],'OEE AHV'!AP$2)</f>
        <v>0</v>
      </c>
      <c r="AQ52" s="114">
        <f>SUMIFS(Table1[Column1],Table1[Date],'OEE AHV'!$B52,Table1[M/C],'OEE AHV'!$D52,Table1[Case downtime],'OEE AHV'!AQ$2)</f>
        <v>0</v>
      </c>
      <c r="AR52" s="114">
        <f>SUMIFS(Table1[Column1],Table1[Date],'OEE AHV'!$B52,Table1[M/C],'OEE AHV'!$D52,Table1[Case downtime],'OEE AHV'!AR$2)</f>
        <v>0</v>
      </c>
      <c r="AS52" s="114">
        <f>SUMIFS(Table1[Column1],Table1[Date],'OEE AHV'!$B52,Table1[M/C],'OEE AHV'!$D52,Table1[Case downtime],'OEE AHV'!AS$2)</f>
        <v>0</v>
      </c>
      <c r="AT52" s="114">
        <f>SUMIFS(Table1[Column1],Table1[Date],'OEE AHV'!$B52,Table1[M/C],'OEE AHV'!$D52,Table1[Case downtime],'OEE AHV'!AT$2)</f>
        <v>0</v>
      </c>
      <c r="AU52" s="114">
        <f>SUMIFS(Table1[Column1],Table1[Date],'OEE AHV'!$B52,Table1[M/C],'OEE AHV'!$D52,Table1[Case downtime],'OEE AHV'!AU$2)</f>
        <v>0</v>
      </c>
      <c r="AV52" s="114">
        <f>SUMIFS(Table1[Column1],Table1[Date],'OEE AHV'!$B52,Table1[M/C],'OEE AHV'!$D52,Table1[Case downtime],'OEE AHV'!AV$2)</f>
        <v>20</v>
      </c>
      <c r="AW52" s="114">
        <f>SUMIFS(Table1[Column1],Table1[Date],'OEE AHV'!$B52,Table1[M/C],'OEE AHV'!$D52,Table1[Case downtime],'OEE AHV'!AW$2)</f>
        <v>0</v>
      </c>
      <c r="AX52" s="183">
        <f>SUMIFS(Table1[Column1],Table1[Date],'OEE AHV'!$B52,Table1[M/C],'OEE AHV'!$D52,Table1[Case downtime],'OEE AHV'!AX$2)</f>
        <v>0</v>
      </c>
    </row>
    <row r="53" spans="2:50" s="115" customFormat="1" ht="30" hidden="1" customHeight="1">
      <c r="B53" s="91">
        <v>46057</v>
      </c>
      <c r="C53" s="92" t="s">
        <v>136</v>
      </c>
      <c r="D53" s="92" t="s">
        <v>122</v>
      </c>
      <c r="E53" s="80">
        <v>4.3</v>
      </c>
      <c r="F53" s="81">
        <v>24</v>
      </c>
      <c r="G53" s="82">
        <f t="shared" si="28"/>
        <v>1440</v>
      </c>
      <c r="H53" s="82">
        <v>0</v>
      </c>
      <c r="I53" s="82">
        <f t="shared" si="22"/>
        <v>1440</v>
      </c>
      <c r="J53" s="82">
        <f t="shared" si="26"/>
        <v>104.28776041666666</v>
      </c>
      <c r="K53" s="83">
        <f t="shared" si="27"/>
        <v>200</v>
      </c>
      <c r="L53" s="82">
        <f t="shared" si="4"/>
        <v>304.28776041666663</v>
      </c>
      <c r="M53" s="84">
        <f t="shared" si="5"/>
        <v>1135.7122395833335</v>
      </c>
      <c r="N53" s="85">
        <v>9212</v>
      </c>
      <c r="O53" s="82"/>
      <c r="P53" s="84">
        <v>8186</v>
      </c>
      <c r="Q53" s="135">
        <f t="shared" si="6"/>
        <v>17398</v>
      </c>
      <c r="R53" s="83">
        <f t="shared" si="7"/>
        <v>0</v>
      </c>
      <c r="S53" s="87">
        <f t="shared" si="8"/>
        <v>17398</v>
      </c>
      <c r="T53" s="88">
        <f t="shared" si="9"/>
        <v>15847.147529069771</v>
      </c>
      <c r="U53" s="89">
        <f t="shared" si="10"/>
        <v>0.78868905526620381</v>
      </c>
      <c r="V53" s="89">
        <f t="shared" si="11"/>
        <v>1.0978631938704029</v>
      </c>
      <c r="W53" s="89">
        <f t="shared" si="12"/>
        <v>1</v>
      </c>
      <c r="X53" s="90">
        <f t="shared" si="13"/>
        <v>0.86587268518518523</v>
      </c>
      <c r="Y53" s="106"/>
      <c r="Z53" s="120">
        <v>0</v>
      </c>
      <c r="AA53" s="117"/>
      <c r="AB53" s="117"/>
      <c r="AC53" s="117"/>
      <c r="AD53" s="118"/>
      <c r="AE53" s="110">
        <f>Table24[[#This Row],[H. จำนวนชิ้น
งานทั้งหมด
ที่ผลิตได้ 
(Total Count)]]/512*1</f>
        <v>33.98046875</v>
      </c>
      <c r="AF53" s="111">
        <f t="shared" si="29"/>
        <v>38.511197916666667</v>
      </c>
      <c r="AG53" s="111">
        <f t="shared" si="30"/>
        <v>19.821940104166668</v>
      </c>
      <c r="AH53" s="111">
        <f t="shared" si="31"/>
        <v>20.954622395833333</v>
      </c>
      <c r="AI53" s="111">
        <v>10</v>
      </c>
      <c r="AJ53" s="112">
        <v>5</v>
      </c>
      <c r="AK53" s="113">
        <v>10</v>
      </c>
      <c r="AL53" s="114">
        <f>SUMIFS(Table1[Column1],Table1[Date],'OEE AHV'!$B53,Table1[M/C],'OEE AHV'!$D53,Table1[Case downtime],'OEE AHV'!AL$2)</f>
        <v>26</v>
      </c>
      <c r="AM53" s="114">
        <f>SUMIFS(Table1[Column1],Table1[Date],'OEE AHV'!$B53,Table1[M/C],'OEE AHV'!$D53,Table1[Case downtime],'OEE AHV'!AM$2)</f>
        <v>0</v>
      </c>
      <c r="AN53" s="114">
        <f>SUMIFS(Table1[Column1],Table1[Date],'OEE AHV'!$B53,Table1[M/C],'OEE AHV'!$D53,Table1[Case downtime],'OEE AHV'!AN$2)</f>
        <v>0</v>
      </c>
      <c r="AO53" s="114">
        <f>SUMIFS(Table1[Column1],Table1[Date],'OEE AHV'!$B53,Table1[M/C],'OEE AHV'!$D53,Table1[Case downtime],'OEE AHV'!AO$2)</f>
        <v>0</v>
      </c>
      <c r="AP53" s="114">
        <f>SUMIFS(Table1[Column1],Table1[Date],'OEE AHV'!$B53,Table1[M/C],'OEE AHV'!$D53,Table1[Case downtime],'OEE AHV'!AP$2)</f>
        <v>0</v>
      </c>
      <c r="AQ53" s="114">
        <f>SUMIFS(Table1[Column1],Table1[Date],'OEE AHV'!$B53,Table1[M/C],'OEE AHV'!$D53,Table1[Case downtime],'OEE AHV'!AQ$2)</f>
        <v>0</v>
      </c>
      <c r="AR53" s="114">
        <f>SUMIFS(Table1[Column1],Table1[Date],'OEE AHV'!$B53,Table1[M/C],'OEE AHV'!$D53,Table1[Case downtime],'OEE AHV'!AR$2)</f>
        <v>0</v>
      </c>
      <c r="AS53" s="114">
        <f>SUMIFS(Table1[Column1],Table1[Date],'OEE AHV'!$B53,Table1[M/C],'OEE AHV'!$D53,Table1[Case downtime],'OEE AHV'!AS$2)</f>
        <v>0</v>
      </c>
      <c r="AT53" s="114">
        <f>SUMIFS(Table1[Column1],Table1[Date],'OEE AHV'!$B53,Table1[M/C],'OEE AHV'!$D53,Table1[Case downtime],'OEE AHV'!AT$2)</f>
        <v>0</v>
      </c>
      <c r="AU53" s="114">
        <f>SUMIFS(Table1[Column1],Table1[Date],'OEE AHV'!$B53,Table1[M/C],'OEE AHV'!$D53,Table1[Case downtime],'OEE AHV'!AU$2)</f>
        <v>0</v>
      </c>
      <c r="AV53" s="114">
        <f>SUMIFS(Table1[Column1],Table1[Date],'OEE AHV'!$B53,Table1[M/C],'OEE AHV'!$D53,Table1[Case downtime],'OEE AHV'!AV$2)</f>
        <v>174</v>
      </c>
      <c r="AW53" s="114">
        <f>SUMIFS(Table1[Column1],Table1[Date],'OEE AHV'!$B53,Table1[M/C],'OEE AHV'!$D53,Table1[Case downtime],'OEE AHV'!AW$2)</f>
        <v>0</v>
      </c>
      <c r="AX53" s="183">
        <f>SUMIFS(Table1[Column1],Table1[Date],'OEE AHV'!$B53,Table1[M/C],'OEE AHV'!$D53,Table1[Case downtime],'OEE AHV'!AX$2)</f>
        <v>0</v>
      </c>
    </row>
    <row r="54" spans="2:50" s="115" customFormat="1" ht="30" hidden="1" customHeight="1">
      <c r="B54" s="91">
        <v>46058</v>
      </c>
      <c r="C54" s="92" t="s">
        <v>136</v>
      </c>
      <c r="D54" s="92" t="s">
        <v>122</v>
      </c>
      <c r="E54" s="80">
        <v>4.3</v>
      </c>
      <c r="F54" s="81">
        <v>24</v>
      </c>
      <c r="G54" s="82">
        <f t="shared" si="28"/>
        <v>1440</v>
      </c>
      <c r="H54" s="82">
        <v>0</v>
      </c>
      <c r="I54" s="82">
        <f t="shared" si="22"/>
        <v>1440</v>
      </c>
      <c r="J54" s="82">
        <f t="shared" si="26"/>
        <v>108.98177083333333</v>
      </c>
      <c r="K54" s="83">
        <f t="shared" si="27"/>
        <v>45</v>
      </c>
      <c r="L54" s="82">
        <f t="shared" si="4"/>
        <v>153.98177083333331</v>
      </c>
      <c r="M54" s="84">
        <f t="shared" si="5"/>
        <v>1286.0182291666667</v>
      </c>
      <c r="N54" s="85">
        <v>9724</v>
      </c>
      <c r="O54" s="82"/>
      <c r="P54" s="84">
        <v>8704</v>
      </c>
      <c r="Q54" s="135">
        <f t="shared" si="6"/>
        <v>18428</v>
      </c>
      <c r="R54" s="83">
        <f t="shared" si="7"/>
        <v>1</v>
      </c>
      <c r="S54" s="87">
        <f t="shared" si="8"/>
        <v>18427</v>
      </c>
      <c r="T54" s="88">
        <f t="shared" si="9"/>
        <v>17944.440406976744</v>
      </c>
      <c r="U54" s="89">
        <f t="shared" si="10"/>
        <v>0.89306821469907416</v>
      </c>
      <c r="V54" s="89">
        <f t="shared" si="11"/>
        <v>1.026947599482414</v>
      </c>
      <c r="W54" s="89">
        <f t="shared" si="12"/>
        <v>0.9999457347514652</v>
      </c>
      <c r="X54" s="90">
        <f t="shared" si="13"/>
        <v>0.91708449074074083</v>
      </c>
      <c r="Y54" s="106"/>
      <c r="Z54" s="120">
        <v>1</v>
      </c>
      <c r="AA54" s="117"/>
      <c r="AB54" s="117"/>
      <c r="AC54" s="117"/>
      <c r="AD54" s="118"/>
      <c r="AE54" s="110">
        <f>Table24[[#This Row],[H. จำนวนชิ้น
งานทั้งหมด
ที่ผลิตได้ 
(Total Count)]]/512*1</f>
        <v>35.9921875</v>
      </c>
      <c r="AF54" s="111">
        <f t="shared" si="29"/>
        <v>40.791145833333331</v>
      </c>
      <c r="AG54" s="111">
        <f t="shared" si="30"/>
        <v>20.995442708333332</v>
      </c>
      <c r="AH54" s="111">
        <f t="shared" si="31"/>
        <v>22.195182291666665</v>
      </c>
      <c r="AI54" s="111">
        <v>10</v>
      </c>
      <c r="AJ54" s="112">
        <v>5</v>
      </c>
      <c r="AK54" s="113">
        <v>10</v>
      </c>
      <c r="AL54" s="114">
        <f>SUMIFS(Table1[Column1],Table1[Date],'OEE AHV'!$B54,Table1[M/C],'OEE AHV'!$D54,Table1[Case downtime],'OEE AHV'!AL$2)</f>
        <v>0</v>
      </c>
      <c r="AM54" s="114">
        <f>SUMIFS(Table1[Column1],Table1[Date],'OEE AHV'!$B54,Table1[M/C],'OEE AHV'!$D54,Table1[Case downtime],'OEE AHV'!AM$2)</f>
        <v>0</v>
      </c>
      <c r="AN54" s="114">
        <f>SUMIFS(Table1[Column1],Table1[Date],'OEE AHV'!$B54,Table1[M/C],'OEE AHV'!$D54,Table1[Case downtime],'OEE AHV'!AN$2)</f>
        <v>5</v>
      </c>
      <c r="AO54" s="114">
        <f>SUMIFS(Table1[Column1],Table1[Date],'OEE AHV'!$B54,Table1[M/C],'OEE AHV'!$D54,Table1[Case downtime],'OEE AHV'!AO$2)</f>
        <v>0</v>
      </c>
      <c r="AP54" s="114">
        <f>SUMIFS(Table1[Column1],Table1[Date],'OEE AHV'!$B54,Table1[M/C],'OEE AHV'!$D54,Table1[Case downtime],'OEE AHV'!AP$2)</f>
        <v>0</v>
      </c>
      <c r="AQ54" s="114">
        <f>SUMIFS(Table1[Column1],Table1[Date],'OEE AHV'!$B54,Table1[M/C],'OEE AHV'!$D54,Table1[Case downtime],'OEE AHV'!AQ$2)</f>
        <v>0</v>
      </c>
      <c r="AR54" s="114">
        <f>SUMIFS(Table1[Column1],Table1[Date],'OEE AHV'!$B54,Table1[M/C],'OEE AHV'!$D54,Table1[Case downtime],'OEE AHV'!AR$2)</f>
        <v>0</v>
      </c>
      <c r="AS54" s="114">
        <f>SUMIFS(Table1[Column1],Table1[Date],'OEE AHV'!$B54,Table1[M/C],'OEE AHV'!$D54,Table1[Case downtime],'OEE AHV'!AS$2)</f>
        <v>0</v>
      </c>
      <c r="AT54" s="114">
        <f>SUMIFS(Table1[Column1],Table1[Date],'OEE AHV'!$B54,Table1[M/C],'OEE AHV'!$D54,Table1[Case downtime],'OEE AHV'!AT$2)</f>
        <v>0</v>
      </c>
      <c r="AU54" s="114">
        <f>SUMIFS(Table1[Column1],Table1[Date],'OEE AHV'!$B54,Table1[M/C],'OEE AHV'!$D54,Table1[Case downtime],'OEE AHV'!AU$2)</f>
        <v>0</v>
      </c>
      <c r="AV54" s="114">
        <f>SUMIFS(Table1[Column1],Table1[Date],'OEE AHV'!$B54,Table1[M/C],'OEE AHV'!$D54,Table1[Case downtime],'OEE AHV'!AV$2)</f>
        <v>40</v>
      </c>
      <c r="AW54" s="114">
        <f>SUMIFS(Table1[Column1],Table1[Date],'OEE AHV'!$B54,Table1[M/C],'OEE AHV'!$D54,Table1[Case downtime],'OEE AHV'!AW$2)</f>
        <v>0</v>
      </c>
      <c r="AX54" s="183">
        <f>SUMIFS(Table1[Column1],Table1[Date],'OEE AHV'!$B54,Table1[M/C],'OEE AHV'!$D54,Table1[Case downtime],'OEE AHV'!AX$2)</f>
        <v>0</v>
      </c>
    </row>
    <row r="55" spans="2:50" s="115" customFormat="1" ht="30" hidden="1" customHeight="1">
      <c r="B55" s="91">
        <v>46059</v>
      </c>
      <c r="C55" s="92" t="s">
        <v>136</v>
      </c>
      <c r="D55" s="92" t="s">
        <v>122</v>
      </c>
      <c r="E55" s="80">
        <v>4.3</v>
      </c>
      <c r="F55" s="81">
        <v>24</v>
      </c>
      <c r="G55" s="82">
        <f t="shared" si="28"/>
        <v>1440</v>
      </c>
      <c r="H55" s="82">
        <v>0</v>
      </c>
      <c r="I55" s="82">
        <f t="shared" si="22"/>
        <v>1440</v>
      </c>
      <c r="J55" s="82">
        <f t="shared" si="26"/>
        <v>108.94986979166667</v>
      </c>
      <c r="K55" s="83">
        <f t="shared" si="27"/>
        <v>0</v>
      </c>
      <c r="L55" s="82">
        <f t="shared" si="4"/>
        <v>108.94986979166667</v>
      </c>
      <c r="M55" s="84">
        <f t="shared" si="5"/>
        <v>1331.0501302083333</v>
      </c>
      <c r="N55" s="85">
        <v>9724</v>
      </c>
      <c r="O55" s="82"/>
      <c r="P55" s="84">
        <v>8697</v>
      </c>
      <c r="Q55" s="135">
        <f t="shared" si="6"/>
        <v>18421</v>
      </c>
      <c r="R55" s="83">
        <f t="shared" si="7"/>
        <v>0</v>
      </c>
      <c r="S55" s="87">
        <f t="shared" si="8"/>
        <v>18421</v>
      </c>
      <c r="T55" s="88">
        <f t="shared" si="9"/>
        <v>18572.792514534885</v>
      </c>
      <c r="U55" s="89">
        <f t="shared" si="10"/>
        <v>0.92434036820023147</v>
      </c>
      <c r="V55" s="89">
        <f t="shared" si="11"/>
        <v>0.9918271571484959</v>
      </c>
      <c r="W55" s="89">
        <f t="shared" si="12"/>
        <v>1</v>
      </c>
      <c r="X55" s="90">
        <f t="shared" si="13"/>
        <v>0.91678587962962954</v>
      </c>
      <c r="Y55" s="106"/>
      <c r="Z55" s="120">
        <v>0</v>
      </c>
      <c r="AA55" s="117"/>
      <c r="AB55" s="117"/>
      <c r="AC55" s="117"/>
      <c r="AD55" s="118"/>
      <c r="AE55" s="110">
        <f>Table24[[#This Row],[H. จำนวนชิ้น
งานทั้งหมด
ที่ผลิตได้ 
(Total Count)]]/512*1</f>
        <v>35.978515625</v>
      </c>
      <c r="AF55" s="111">
        <f t="shared" si="29"/>
        <v>40.77565104166667</v>
      </c>
      <c r="AG55" s="111">
        <f t="shared" si="30"/>
        <v>20.987467447916668</v>
      </c>
      <c r="AH55" s="111">
        <f t="shared" si="31"/>
        <v>22.186751302083334</v>
      </c>
      <c r="AI55" s="111">
        <v>10</v>
      </c>
      <c r="AJ55" s="112">
        <v>5</v>
      </c>
      <c r="AK55" s="113">
        <v>10</v>
      </c>
      <c r="AL55" s="114">
        <f>SUMIFS(Table1[Column1],Table1[Date],'OEE AHV'!$B55,Table1[M/C],'OEE AHV'!$D55,Table1[Case downtime],'OEE AHV'!AL$2)</f>
        <v>0</v>
      </c>
      <c r="AM55" s="114">
        <f>SUMIFS(Table1[Column1],Table1[Date],'OEE AHV'!$B55,Table1[M/C],'OEE AHV'!$D55,Table1[Case downtime],'OEE AHV'!AM$2)</f>
        <v>0</v>
      </c>
      <c r="AN55" s="114">
        <f>SUMIFS(Table1[Column1],Table1[Date],'OEE AHV'!$B55,Table1[M/C],'OEE AHV'!$D55,Table1[Case downtime],'OEE AHV'!AN$2)</f>
        <v>0</v>
      </c>
      <c r="AO55" s="114">
        <f>SUMIFS(Table1[Column1],Table1[Date],'OEE AHV'!$B55,Table1[M/C],'OEE AHV'!$D55,Table1[Case downtime],'OEE AHV'!AO$2)</f>
        <v>0</v>
      </c>
      <c r="AP55" s="114">
        <f>SUMIFS(Table1[Column1],Table1[Date],'OEE AHV'!$B55,Table1[M/C],'OEE AHV'!$D55,Table1[Case downtime],'OEE AHV'!AP$2)</f>
        <v>0</v>
      </c>
      <c r="AQ55" s="114">
        <f>SUMIFS(Table1[Column1],Table1[Date],'OEE AHV'!$B55,Table1[M/C],'OEE AHV'!$D55,Table1[Case downtime],'OEE AHV'!AQ$2)</f>
        <v>0</v>
      </c>
      <c r="AR55" s="114">
        <f>SUMIFS(Table1[Column1],Table1[Date],'OEE AHV'!$B55,Table1[M/C],'OEE AHV'!$D55,Table1[Case downtime],'OEE AHV'!AR$2)</f>
        <v>0</v>
      </c>
      <c r="AS55" s="114">
        <f>SUMIFS(Table1[Column1],Table1[Date],'OEE AHV'!$B55,Table1[M/C],'OEE AHV'!$D55,Table1[Case downtime],'OEE AHV'!AS$2)</f>
        <v>0</v>
      </c>
      <c r="AT55" s="114">
        <f>SUMIFS(Table1[Column1],Table1[Date],'OEE AHV'!$B55,Table1[M/C],'OEE AHV'!$D55,Table1[Case downtime],'OEE AHV'!AT$2)</f>
        <v>0</v>
      </c>
      <c r="AU55" s="114">
        <f>SUMIFS(Table1[Column1],Table1[Date],'OEE AHV'!$B55,Table1[M/C],'OEE AHV'!$D55,Table1[Case downtime],'OEE AHV'!AU$2)</f>
        <v>0</v>
      </c>
      <c r="AV55" s="114">
        <f>SUMIFS(Table1[Column1],Table1[Date],'OEE AHV'!$B55,Table1[M/C],'OEE AHV'!$D55,Table1[Case downtime],'OEE AHV'!AV$2)</f>
        <v>0</v>
      </c>
      <c r="AW55" s="114">
        <f>SUMIFS(Table1[Column1],Table1[Date],'OEE AHV'!$B55,Table1[M/C],'OEE AHV'!$D55,Table1[Case downtime],'OEE AHV'!AW$2)</f>
        <v>0</v>
      </c>
      <c r="AX55" s="183">
        <f>SUMIFS(Table1[Column1],Table1[Date],'OEE AHV'!$B55,Table1[M/C],'OEE AHV'!$D55,Table1[Case downtime],'OEE AHV'!AX$2)</f>
        <v>0</v>
      </c>
    </row>
    <row r="56" spans="2:50" s="115" customFormat="1" ht="30" hidden="1" customHeight="1">
      <c r="B56" s="91">
        <v>46060</v>
      </c>
      <c r="C56" s="92" t="s">
        <v>136</v>
      </c>
      <c r="D56" s="92" t="s">
        <v>122</v>
      </c>
      <c r="E56" s="80">
        <v>4.3</v>
      </c>
      <c r="F56" s="81">
        <v>24</v>
      </c>
      <c r="G56" s="82">
        <f t="shared" si="28"/>
        <v>1440</v>
      </c>
      <c r="H56" s="82">
        <v>0</v>
      </c>
      <c r="I56" s="82">
        <f t="shared" si="22"/>
        <v>1440</v>
      </c>
      <c r="J56" s="82">
        <f t="shared" si="26"/>
        <v>108.97721354166667</v>
      </c>
      <c r="K56" s="83">
        <f t="shared" si="27"/>
        <v>125</v>
      </c>
      <c r="L56" s="82">
        <f t="shared" si="4"/>
        <v>233.97721354166669</v>
      </c>
      <c r="M56" s="84">
        <f t="shared" si="5"/>
        <v>1206.0227864583333</v>
      </c>
      <c r="N56" s="85">
        <v>9724</v>
      </c>
      <c r="O56" s="82"/>
      <c r="P56" s="84">
        <v>8703</v>
      </c>
      <c r="Q56" s="135">
        <f t="shared" si="6"/>
        <v>18427</v>
      </c>
      <c r="R56" s="83">
        <f t="shared" si="7"/>
        <v>0</v>
      </c>
      <c r="S56" s="87">
        <f t="shared" si="8"/>
        <v>18427</v>
      </c>
      <c r="T56" s="88">
        <f t="shared" si="9"/>
        <v>16828.224927325584</v>
      </c>
      <c r="U56" s="89">
        <f t="shared" si="10"/>
        <v>0.83751582392939805</v>
      </c>
      <c r="V56" s="89">
        <f t="shared" si="11"/>
        <v>1.0950055682984325</v>
      </c>
      <c r="W56" s="89">
        <f t="shared" si="12"/>
        <v>1</v>
      </c>
      <c r="X56" s="90">
        <f t="shared" si="13"/>
        <v>0.9170844907407405</v>
      </c>
      <c r="Y56" s="106"/>
      <c r="Z56" s="120">
        <v>0</v>
      </c>
      <c r="AA56" s="117"/>
      <c r="AB56" s="117"/>
      <c r="AC56" s="117"/>
      <c r="AD56" s="118"/>
      <c r="AE56" s="110">
        <f>Table24[[#This Row],[H. จำนวนชิ้น
งานทั้งหมด
ที่ผลิตได้ 
(Total Count)]]/512*1</f>
        <v>35.990234375</v>
      </c>
      <c r="AF56" s="111">
        <f t="shared" si="29"/>
        <v>40.788932291666669</v>
      </c>
      <c r="AG56" s="111">
        <f t="shared" si="30"/>
        <v>20.994303385416668</v>
      </c>
      <c r="AH56" s="111">
        <f t="shared" si="31"/>
        <v>22.193977864583335</v>
      </c>
      <c r="AI56" s="111">
        <v>10</v>
      </c>
      <c r="AJ56" s="112">
        <v>5</v>
      </c>
      <c r="AK56" s="113">
        <v>10</v>
      </c>
      <c r="AL56" s="114">
        <f>SUMIFS(Table1[Column1],Table1[Date],'OEE AHV'!$B56,Table1[M/C],'OEE AHV'!$D56,Table1[Case downtime],'OEE AHV'!AL$2)</f>
        <v>0</v>
      </c>
      <c r="AM56" s="114">
        <f>SUMIFS(Table1[Column1],Table1[Date],'OEE AHV'!$B56,Table1[M/C],'OEE AHV'!$D56,Table1[Case downtime],'OEE AHV'!AM$2)</f>
        <v>15</v>
      </c>
      <c r="AN56" s="114">
        <f>SUMIFS(Table1[Column1],Table1[Date],'OEE AHV'!$B56,Table1[M/C],'OEE AHV'!$D56,Table1[Case downtime],'OEE AHV'!AN$2)</f>
        <v>0</v>
      </c>
      <c r="AO56" s="114">
        <f>SUMIFS(Table1[Column1],Table1[Date],'OEE AHV'!$B56,Table1[M/C],'OEE AHV'!$D56,Table1[Case downtime],'OEE AHV'!AO$2)</f>
        <v>0</v>
      </c>
      <c r="AP56" s="114">
        <f>SUMIFS(Table1[Column1],Table1[Date],'OEE AHV'!$B56,Table1[M/C],'OEE AHV'!$D56,Table1[Case downtime],'OEE AHV'!AP$2)</f>
        <v>0</v>
      </c>
      <c r="AQ56" s="114">
        <f>SUMIFS(Table1[Column1],Table1[Date],'OEE AHV'!$B56,Table1[M/C],'OEE AHV'!$D56,Table1[Case downtime],'OEE AHV'!AQ$2)</f>
        <v>0</v>
      </c>
      <c r="AR56" s="114">
        <f>SUMIFS(Table1[Column1],Table1[Date],'OEE AHV'!$B56,Table1[M/C],'OEE AHV'!$D56,Table1[Case downtime],'OEE AHV'!AR$2)</f>
        <v>30</v>
      </c>
      <c r="AS56" s="114">
        <f>SUMIFS(Table1[Column1],Table1[Date],'OEE AHV'!$B56,Table1[M/C],'OEE AHV'!$D56,Table1[Case downtime],'OEE AHV'!AS$2)</f>
        <v>0</v>
      </c>
      <c r="AT56" s="114">
        <f>SUMIFS(Table1[Column1],Table1[Date],'OEE AHV'!$B56,Table1[M/C],'OEE AHV'!$D56,Table1[Case downtime],'OEE AHV'!AT$2)</f>
        <v>0</v>
      </c>
      <c r="AU56" s="114">
        <f>SUMIFS(Table1[Column1],Table1[Date],'OEE AHV'!$B56,Table1[M/C],'OEE AHV'!$D56,Table1[Case downtime],'OEE AHV'!AU$2)</f>
        <v>0</v>
      </c>
      <c r="AV56" s="114">
        <f>SUMIFS(Table1[Column1],Table1[Date],'OEE AHV'!$B56,Table1[M/C],'OEE AHV'!$D56,Table1[Case downtime],'OEE AHV'!AV$2)</f>
        <v>80</v>
      </c>
      <c r="AW56" s="114">
        <f>SUMIFS(Table1[Column1],Table1[Date],'OEE AHV'!$B56,Table1[M/C],'OEE AHV'!$D56,Table1[Case downtime],'OEE AHV'!AW$2)</f>
        <v>0</v>
      </c>
      <c r="AX56" s="183">
        <f>SUMIFS(Table1[Column1],Table1[Date],'OEE AHV'!$B56,Table1[M/C],'OEE AHV'!$D56,Table1[Case downtime],'OEE AHV'!AX$2)</f>
        <v>0</v>
      </c>
    </row>
    <row r="57" spans="2:50" s="115" customFormat="1" ht="30" hidden="1" customHeight="1">
      <c r="B57" s="91">
        <v>46061</v>
      </c>
      <c r="C57" s="92" t="s">
        <v>136</v>
      </c>
      <c r="D57" s="92" t="s">
        <v>122</v>
      </c>
      <c r="E57" s="80">
        <v>4.3</v>
      </c>
      <c r="F57" s="81">
        <v>12</v>
      </c>
      <c r="G57" s="82">
        <f t="shared" si="28"/>
        <v>720</v>
      </c>
      <c r="H57" s="82">
        <v>0</v>
      </c>
      <c r="I57" s="82">
        <f t="shared" si="22"/>
        <v>720</v>
      </c>
      <c r="J57" s="82">
        <f t="shared" si="26"/>
        <v>59.981770833333336</v>
      </c>
      <c r="K57" s="83">
        <f t="shared" si="27"/>
        <v>0</v>
      </c>
      <c r="L57" s="82">
        <f t="shared" si="4"/>
        <v>59.981770833333336</v>
      </c>
      <c r="M57" s="84">
        <f t="shared" si="5"/>
        <v>660.01822916666663</v>
      </c>
      <c r="N57" s="85">
        <v>0</v>
      </c>
      <c r="O57" s="82"/>
      <c r="P57" s="84">
        <v>7676</v>
      </c>
      <c r="Q57" s="135">
        <f t="shared" si="6"/>
        <v>7676</v>
      </c>
      <c r="R57" s="83">
        <f t="shared" si="7"/>
        <v>1</v>
      </c>
      <c r="S57" s="87">
        <f t="shared" si="8"/>
        <v>7675</v>
      </c>
      <c r="T57" s="88">
        <f t="shared" si="9"/>
        <v>9209.5566860465115</v>
      </c>
      <c r="U57" s="89">
        <f t="shared" si="10"/>
        <v>0.91669198495370363</v>
      </c>
      <c r="V57" s="89">
        <f t="shared" si="11"/>
        <v>0.83348202977348318</v>
      </c>
      <c r="W57" s="89">
        <f t="shared" si="12"/>
        <v>0.99986972381448669</v>
      </c>
      <c r="X57" s="90">
        <f t="shared" si="13"/>
        <v>0.76394675925925914</v>
      </c>
      <c r="Y57" s="106"/>
      <c r="Z57" s="120">
        <v>1</v>
      </c>
      <c r="AA57" s="117"/>
      <c r="AB57" s="117"/>
      <c r="AC57" s="117"/>
      <c r="AD57" s="118"/>
      <c r="AE57" s="110">
        <f>Table24[[#This Row],[H. จำนวนชิ้น
งานทั้งหมด
ที่ผลิตได้ 
(Total Count)]]/512*1</f>
        <v>14.9921875</v>
      </c>
      <c r="AF57" s="111">
        <f t="shared" si="29"/>
        <v>16.991145833333334</v>
      </c>
      <c r="AG57" s="111">
        <f t="shared" si="30"/>
        <v>8.7454427083333339</v>
      </c>
      <c r="AH57" s="111">
        <f t="shared" si="31"/>
        <v>9.2451822916666675</v>
      </c>
      <c r="AI57" s="111">
        <v>10</v>
      </c>
      <c r="AJ57" s="112">
        <v>5</v>
      </c>
      <c r="AK57" s="113">
        <v>10</v>
      </c>
      <c r="AL57" s="114">
        <f>SUMIFS(Table1[Column1],Table1[Date],'OEE AHV'!$B57,Table1[M/C],'OEE AHV'!$D57,Table1[Case downtime],'OEE AHV'!AL$2)</f>
        <v>0</v>
      </c>
      <c r="AM57" s="114">
        <f>SUMIFS(Table1[Column1],Table1[Date],'OEE AHV'!$B57,Table1[M/C],'OEE AHV'!$D57,Table1[Case downtime],'OEE AHV'!AM$2)</f>
        <v>0</v>
      </c>
      <c r="AN57" s="114">
        <f>SUMIFS(Table1[Column1],Table1[Date],'OEE AHV'!$B57,Table1[M/C],'OEE AHV'!$D57,Table1[Case downtime],'OEE AHV'!AN$2)</f>
        <v>0</v>
      </c>
      <c r="AO57" s="114">
        <f>SUMIFS(Table1[Column1],Table1[Date],'OEE AHV'!$B57,Table1[M/C],'OEE AHV'!$D57,Table1[Case downtime],'OEE AHV'!AO$2)</f>
        <v>0</v>
      </c>
      <c r="AP57" s="114">
        <f>SUMIFS(Table1[Column1],Table1[Date],'OEE AHV'!$B57,Table1[M/C],'OEE AHV'!$D57,Table1[Case downtime],'OEE AHV'!AP$2)</f>
        <v>0</v>
      </c>
      <c r="AQ57" s="114">
        <f>SUMIFS(Table1[Column1],Table1[Date],'OEE AHV'!$B57,Table1[M/C],'OEE AHV'!$D57,Table1[Case downtime],'OEE AHV'!AQ$2)</f>
        <v>0</v>
      </c>
      <c r="AR57" s="114">
        <f>SUMIFS(Table1[Column1],Table1[Date],'OEE AHV'!$B57,Table1[M/C],'OEE AHV'!$D57,Table1[Case downtime],'OEE AHV'!AR$2)</f>
        <v>0</v>
      </c>
      <c r="AS57" s="114">
        <f>SUMIFS(Table1[Column1],Table1[Date],'OEE AHV'!$B57,Table1[M/C],'OEE AHV'!$D57,Table1[Case downtime],'OEE AHV'!AS$2)</f>
        <v>0</v>
      </c>
      <c r="AT57" s="114">
        <f>SUMIFS(Table1[Column1],Table1[Date],'OEE AHV'!$B57,Table1[M/C],'OEE AHV'!$D57,Table1[Case downtime],'OEE AHV'!AT$2)</f>
        <v>0</v>
      </c>
      <c r="AU57" s="114">
        <f>SUMIFS(Table1[Column1],Table1[Date],'OEE AHV'!$B57,Table1[M/C],'OEE AHV'!$D57,Table1[Case downtime],'OEE AHV'!AU$2)</f>
        <v>0</v>
      </c>
      <c r="AV57" s="114">
        <f>SUMIFS(Table1[Column1],Table1[Date],'OEE AHV'!$B57,Table1[M/C],'OEE AHV'!$D57,Table1[Case downtime],'OEE AHV'!AV$2)</f>
        <v>0</v>
      </c>
      <c r="AW57" s="114">
        <f>SUMIFS(Table1[Column1],Table1[Date],'OEE AHV'!$B57,Table1[M/C],'OEE AHV'!$D57,Table1[Case downtime],'OEE AHV'!AW$2)</f>
        <v>0</v>
      </c>
      <c r="AX57" s="183">
        <f>SUMIFS(Table1[Column1],Table1[Date],'OEE AHV'!$B57,Table1[M/C],'OEE AHV'!$D57,Table1[Case downtime],'OEE AHV'!AX$2)</f>
        <v>0</v>
      </c>
    </row>
    <row r="58" spans="2:50" s="115" customFormat="1" ht="30" hidden="1" customHeight="1">
      <c r="B58" s="91">
        <v>46062</v>
      </c>
      <c r="C58" s="92" t="s">
        <v>136</v>
      </c>
      <c r="D58" s="92" t="s">
        <v>122</v>
      </c>
      <c r="E58" s="80">
        <v>4.3</v>
      </c>
      <c r="F58" s="81">
        <v>24</v>
      </c>
      <c r="G58" s="82">
        <f t="shared" si="28"/>
        <v>1440</v>
      </c>
      <c r="H58" s="82">
        <v>0</v>
      </c>
      <c r="I58" s="82">
        <f t="shared" si="22"/>
        <v>1440</v>
      </c>
      <c r="J58" s="82">
        <f t="shared" si="26"/>
        <v>104.27408854166666</v>
      </c>
      <c r="K58" s="83">
        <f t="shared" si="27"/>
        <v>125</v>
      </c>
      <c r="L58" s="82">
        <f t="shared" si="4"/>
        <v>229.27408854166666</v>
      </c>
      <c r="M58" s="84">
        <f t="shared" si="5"/>
        <v>1210.7259114583333</v>
      </c>
      <c r="N58" s="85">
        <v>7675</v>
      </c>
      <c r="O58" s="82"/>
      <c r="P58" s="84">
        <v>9720</v>
      </c>
      <c r="Q58" s="135">
        <f t="shared" si="6"/>
        <v>17395</v>
      </c>
      <c r="R58" s="83">
        <f t="shared" si="7"/>
        <v>3</v>
      </c>
      <c r="S58" s="87">
        <f t="shared" si="8"/>
        <v>17392</v>
      </c>
      <c r="T58" s="88">
        <f t="shared" si="9"/>
        <v>16893.849927325584</v>
      </c>
      <c r="U58" s="89">
        <f t="shared" si="10"/>
        <v>0.84078188295717582</v>
      </c>
      <c r="V58" s="89">
        <f t="shared" si="11"/>
        <v>1.0296646457042224</v>
      </c>
      <c r="W58" s="89">
        <f t="shared" si="12"/>
        <v>0.99982753664846225</v>
      </c>
      <c r="X58" s="90">
        <f t="shared" si="13"/>
        <v>0.86557407407407394</v>
      </c>
      <c r="Y58" s="106"/>
      <c r="Z58" s="120">
        <v>3</v>
      </c>
      <c r="AA58" s="117"/>
      <c r="AB58" s="117"/>
      <c r="AC58" s="117"/>
      <c r="AD58" s="118"/>
      <c r="AE58" s="110">
        <f>Table24[[#This Row],[H. จำนวนชิ้น
งานทั้งหมด
ที่ผลิตได้ 
(Total Count)]]/512*1</f>
        <v>33.974609375</v>
      </c>
      <c r="AF58" s="111">
        <f t="shared" si="29"/>
        <v>38.504557291666664</v>
      </c>
      <c r="AG58" s="111">
        <f t="shared" si="30"/>
        <v>19.818522135416668</v>
      </c>
      <c r="AH58" s="111">
        <f t="shared" si="31"/>
        <v>20.951009114583332</v>
      </c>
      <c r="AI58" s="111">
        <v>10</v>
      </c>
      <c r="AJ58" s="112">
        <v>5</v>
      </c>
      <c r="AK58" s="113">
        <v>10</v>
      </c>
      <c r="AL58" s="114">
        <f>SUMIFS(Table1[Column1],Table1[Date],'OEE AHV'!$B58,Table1[M/C],'OEE AHV'!$D58,Table1[Case downtime],'OEE AHV'!AL$2)</f>
        <v>125</v>
      </c>
      <c r="AM58" s="114">
        <f>SUMIFS(Table1[Column1],Table1[Date],'OEE AHV'!$B58,Table1[M/C],'OEE AHV'!$D58,Table1[Case downtime],'OEE AHV'!AM$2)</f>
        <v>0</v>
      </c>
      <c r="AN58" s="114">
        <f>SUMIFS(Table1[Column1],Table1[Date],'OEE AHV'!$B58,Table1[M/C],'OEE AHV'!$D58,Table1[Case downtime],'OEE AHV'!AN$2)</f>
        <v>0</v>
      </c>
      <c r="AO58" s="114">
        <f>SUMIFS(Table1[Column1],Table1[Date],'OEE AHV'!$B58,Table1[M/C],'OEE AHV'!$D58,Table1[Case downtime],'OEE AHV'!AO$2)</f>
        <v>0</v>
      </c>
      <c r="AP58" s="114">
        <f>SUMIFS(Table1[Column1],Table1[Date],'OEE AHV'!$B58,Table1[M/C],'OEE AHV'!$D58,Table1[Case downtime],'OEE AHV'!AP$2)</f>
        <v>0</v>
      </c>
      <c r="AQ58" s="114">
        <f>SUMIFS(Table1[Column1],Table1[Date],'OEE AHV'!$B58,Table1[M/C],'OEE AHV'!$D58,Table1[Case downtime],'OEE AHV'!AQ$2)</f>
        <v>0</v>
      </c>
      <c r="AR58" s="114">
        <f>SUMIFS(Table1[Column1],Table1[Date],'OEE AHV'!$B58,Table1[M/C],'OEE AHV'!$D58,Table1[Case downtime],'OEE AHV'!AR$2)</f>
        <v>0</v>
      </c>
      <c r="AS58" s="114">
        <f>SUMIFS(Table1[Column1],Table1[Date],'OEE AHV'!$B58,Table1[M/C],'OEE AHV'!$D58,Table1[Case downtime],'OEE AHV'!AS$2)</f>
        <v>0</v>
      </c>
      <c r="AT58" s="114">
        <f>SUMIFS(Table1[Column1],Table1[Date],'OEE AHV'!$B58,Table1[M/C],'OEE AHV'!$D58,Table1[Case downtime],'OEE AHV'!AT$2)</f>
        <v>0</v>
      </c>
      <c r="AU58" s="114">
        <f>SUMIFS(Table1[Column1],Table1[Date],'OEE AHV'!$B58,Table1[M/C],'OEE AHV'!$D58,Table1[Case downtime],'OEE AHV'!AU$2)</f>
        <v>0</v>
      </c>
      <c r="AV58" s="114">
        <f>SUMIFS(Table1[Column1],Table1[Date],'OEE AHV'!$B58,Table1[M/C],'OEE AHV'!$D58,Table1[Case downtime],'OEE AHV'!AV$2)</f>
        <v>0</v>
      </c>
      <c r="AW58" s="114">
        <f>SUMIFS(Table1[Column1],Table1[Date],'OEE AHV'!$B58,Table1[M/C],'OEE AHV'!$D58,Table1[Case downtime],'OEE AHV'!AW$2)</f>
        <v>0</v>
      </c>
      <c r="AX58" s="183">
        <f>SUMIFS(Table1[Column1],Table1[Date],'OEE AHV'!$B58,Table1[M/C],'OEE AHV'!$D58,Table1[Case downtime],'OEE AHV'!AX$2)</f>
        <v>0</v>
      </c>
    </row>
    <row r="59" spans="2:50" s="115" customFormat="1" ht="30" hidden="1" customHeight="1">
      <c r="B59" s="91">
        <v>46063</v>
      </c>
      <c r="C59" s="92" t="s">
        <v>136</v>
      </c>
      <c r="D59" s="92" t="s">
        <v>122</v>
      </c>
      <c r="E59" s="80">
        <v>4.3</v>
      </c>
      <c r="F59" s="81">
        <v>24</v>
      </c>
      <c r="G59" s="82">
        <f t="shared" ref="G59" si="32">F59*60</f>
        <v>1440</v>
      </c>
      <c r="H59" s="82">
        <v>0</v>
      </c>
      <c r="I59" s="82">
        <f t="shared" si="22"/>
        <v>1440</v>
      </c>
      <c r="J59" s="82">
        <f t="shared" si="26"/>
        <v>99.580078125</v>
      </c>
      <c r="K59" s="83">
        <f t="shared" si="27"/>
        <v>205</v>
      </c>
      <c r="L59" s="82">
        <f t="shared" si="4"/>
        <v>304.580078125</v>
      </c>
      <c r="M59" s="84">
        <f t="shared" si="5"/>
        <v>1135.419921875</v>
      </c>
      <c r="N59" s="85">
        <v>6647</v>
      </c>
      <c r="O59" s="82"/>
      <c r="P59" s="84">
        <v>9718</v>
      </c>
      <c r="Q59" s="135">
        <f t="shared" si="6"/>
        <v>16365</v>
      </c>
      <c r="R59" s="83">
        <f t="shared" si="7"/>
        <v>3</v>
      </c>
      <c r="S59" s="87">
        <f t="shared" si="8"/>
        <v>16362</v>
      </c>
      <c r="T59" s="88">
        <f t="shared" si="9"/>
        <v>15843.068677325582</v>
      </c>
      <c r="U59" s="89">
        <f t="shared" si="10"/>
        <v>0.78848605685763884</v>
      </c>
      <c r="V59" s="89">
        <f t="shared" si="11"/>
        <v>1.0329438275693017</v>
      </c>
      <c r="W59" s="89">
        <f t="shared" si="12"/>
        <v>0.99981668194317141</v>
      </c>
      <c r="X59" s="90">
        <f t="shared" si="13"/>
        <v>0.81431249999999988</v>
      </c>
      <c r="Y59" s="106"/>
      <c r="Z59" s="120">
        <v>3</v>
      </c>
      <c r="AA59" s="117"/>
      <c r="AB59" s="117"/>
      <c r="AC59" s="117"/>
      <c r="AD59" s="118"/>
      <c r="AE59" s="110">
        <f>Table24[[#This Row],[H. จำนวนชิ้น
งานทั้งหมด
ที่ผลิตได้ 
(Total Count)]]/512*1</f>
        <v>31.962890625</v>
      </c>
      <c r="AF59" s="111">
        <f t="shared" si="29"/>
        <v>36.224609375</v>
      </c>
      <c r="AG59" s="111">
        <f t="shared" si="30"/>
        <v>18.64501953125</v>
      </c>
      <c r="AH59" s="111">
        <f t="shared" si="31"/>
        <v>19.71044921875</v>
      </c>
      <c r="AI59" s="111">
        <v>10</v>
      </c>
      <c r="AJ59" s="112">
        <v>5</v>
      </c>
      <c r="AK59" s="113">
        <v>10</v>
      </c>
      <c r="AL59" s="114">
        <f>SUMIFS(Table1[Column1],Table1[Date],'OEE AHV'!$B59,Table1[M/C],'OEE AHV'!$D59,Table1[Case downtime],'OEE AHV'!AL$2)</f>
        <v>185</v>
      </c>
      <c r="AM59" s="114">
        <f>SUMIFS(Table1[Column1],Table1[Date],'OEE AHV'!$B59,Table1[M/C],'OEE AHV'!$D59,Table1[Case downtime],'OEE AHV'!AM$2)</f>
        <v>0</v>
      </c>
      <c r="AN59" s="114">
        <f>SUMIFS(Table1[Column1],Table1[Date],'OEE AHV'!$B59,Table1[M/C],'OEE AHV'!$D59,Table1[Case downtime],'OEE AHV'!AN$2)</f>
        <v>0</v>
      </c>
      <c r="AO59" s="114">
        <f>SUMIFS(Table1[Column1],Table1[Date],'OEE AHV'!$B59,Table1[M/C],'OEE AHV'!$D59,Table1[Case downtime],'OEE AHV'!AO$2)</f>
        <v>0</v>
      </c>
      <c r="AP59" s="114">
        <f>SUMIFS(Table1[Column1],Table1[Date],'OEE AHV'!$B59,Table1[M/C],'OEE AHV'!$D59,Table1[Case downtime],'OEE AHV'!AP$2)</f>
        <v>0</v>
      </c>
      <c r="AQ59" s="114">
        <f>SUMIFS(Table1[Column1],Table1[Date],'OEE AHV'!$B59,Table1[M/C],'OEE AHV'!$D59,Table1[Case downtime],'OEE AHV'!AQ$2)</f>
        <v>0</v>
      </c>
      <c r="AR59" s="114">
        <f>SUMIFS(Table1[Column1],Table1[Date],'OEE AHV'!$B59,Table1[M/C],'OEE AHV'!$D59,Table1[Case downtime],'OEE AHV'!AR$2)</f>
        <v>0</v>
      </c>
      <c r="AS59" s="114">
        <f>SUMIFS(Table1[Column1],Table1[Date],'OEE AHV'!$B59,Table1[M/C],'OEE AHV'!$D59,Table1[Case downtime],'OEE AHV'!AS$2)</f>
        <v>0</v>
      </c>
      <c r="AT59" s="114">
        <f>SUMIFS(Table1[Column1],Table1[Date],'OEE AHV'!$B59,Table1[M/C],'OEE AHV'!$D59,Table1[Case downtime],'OEE AHV'!AT$2)</f>
        <v>0</v>
      </c>
      <c r="AU59" s="114">
        <f>SUMIFS(Table1[Column1],Table1[Date],'OEE AHV'!$B59,Table1[M/C],'OEE AHV'!$D59,Table1[Case downtime],'OEE AHV'!AU$2)</f>
        <v>0</v>
      </c>
      <c r="AV59" s="114">
        <f>SUMIFS(Table1[Column1],Table1[Date],'OEE AHV'!$B59,Table1[M/C],'OEE AHV'!$D59,Table1[Case downtime],'OEE AHV'!AV$2)</f>
        <v>20</v>
      </c>
      <c r="AW59" s="114">
        <f>SUMIFS(Table1[Column1],Table1[Date],'OEE AHV'!$B59,Table1[M/C],'OEE AHV'!$D59,Table1[Case downtime],'OEE AHV'!AW$2)</f>
        <v>0</v>
      </c>
      <c r="AX59" s="183">
        <f>SUMIFS(Table1[Column1],Table1[Date],'OEE AHV'!$B59,Table1[M/C],'OEE AHV'!$D59,Table1[Case downtime],'OEE AHV'!AX$2)</f>
        <v>0</v>
      </c>
    </row>
    <row r="60" spans="2:50" s="115" customFormat="1" ht="30" hidden="1" customHeight="1">
      <c r="B60" s="91">
        <v>46064</v>
      </c>
      <c r="C60" s="92" t="s">
        <v>136</v>
      </c>
      <c r="D60" s="92" t="s">
        <v>122</v>
      </c>
      <c r="E60" s="80">
        <v>4.3</v>
      </c>
      <c r="F60" s="81">
        <v>24</v>
      </c>
      <c r="G60" s="82">
        <f t="shared" ref="G60:G63" si="33">F60*60</f>
        <v>1440</v>
      </c>
      <c r="H60" s="82">
        <v>0</v>
      </c>
      <c r="I60" s="82">
        <f t="shared" si="22"/>
        <v>1440</v>
      </c>
      <c r="J60" s="82">
        <f t="shared" si="26"/>
        <v>104.15559895833333</v>
      </c>
      <c r="K60" s="83">
        <f t="shared" si="27"/>
        <v>0</v>
      </c>
      <c r="L60" s="82">
        <f t="shared" si="4"/>
        <v>104.15559895833333</v>
      </c>
      <c r="M60" s="84">
        <f t="shared" si="5"/>
        <v>1335.8444010416667</v>
      </c>
      <c r="N60" s="85">
        <v>7665</v>
      </c>
      <c r="O60" s="82"/>
      <c r="P60" s="84">
        <v>9704</v>
      </c>
      <c r="Q60" s="135">
        <f t="shared" si="6"/>
        <v>17369</v>
      </c>
      <c r="R60" s="83">
        <f t="shared" si="7"/>
        <v>2</v>
      </c>
      <c r="S60" s="87">
        <f t="shared" si="8"/>
        <v>17367</v>
      </c>
      <c r="T60" s="88">
        <f t="shared" si="9"/>
        <v>18639.689316860466</v>
      </c>
      <c r="U60" s="89">
        <f t="shared" si="10"/>
        <v>0.9276697229456019</v>
      </c>
      <c r="V60" s="89">
        <f t="shared" si="11"/>
        <v>0.93182883602512256</v>
      </c>
      <c r="W60" s="89">
        <f t="shared" si="12"/>
        <v>0.99988485232310442</v>
      </c>
      <c r="X60" s="90">
        <f t="shared" si="13"/>
        <v>0.8643298611111111</v>
      </c>
      <c r="Y60" s="106"/>
      <c r="Z60" s="120">
        <v>2</v>
      </c>
      <c r="AA60" s="117"/>
      <c r="AB60" s="117"/>
      <c r="AC60" s="117"/>
      <c r="AD60" s="118"/>
      <c r="AE60" s="110">
        <f>Table24[[#This Row],[H. จำนวนชิ้น
งานทั้งหมด
ที่ผลิตได้ 
(Total Count)]]/512*1</f>
        <v>33.923828125</v>
      </c>
      <c r="AF60" s="111">
        <f t="shared" si="29"/>
        <v>38.44700520833333</v>
      </c>
      <c r="AG60" s="111">
        <f t="shared" si="30"/>
        <v>19.788899739583332</v>
      </c>
      <c r="AH60" s="111">
        <f t="shared" si="31"/>
        <v>20.919694010416666</v>
      </c>
      <c r="AI60" s="111">
        <v>10</v>
      </c>
      <c r="AJ60" s="112">
        <v>5</v>
      </c>
      <c r="AK60" s="113">
        <v>10</v>
      </c>
      <c r="AL60" s="114">
        <f>SUMIFS(Table1[Column1],Table1[Date],'OEE AHV'!$B60,Table1[M/C],'OEE AHV'!$D60,Table1[Case downtime],'OEE AHV'!AL$2)</f>
        <v>0</v>
      </c>
      <c r="AM60" s="114">
        <f>SUMIFS(Table1[Column1],Table1[Date],'OEE AHV'!$B60,Table1[M/C],'OEE AHV'!$D60,Table1[Case downtime],'OEE AHV'!AM$2)</f>
        <v>0</v>
      </c>
      <c r="AN60" s="114">
        <f>SUMIFS(Table1[Column1],Table1[Date],'OEE AHV'!$B60,Table1[M/C],'OEE AHV'!$D60,Table1[Case downtime],'OEE AHV'!AN$2)</f>
        <v>0</v>
      </c>
      <c r="AO60" s="114">
        <f>SUMIFS(Table1[Column1],Table1[Date],'OEE AHV'!$B60,Table1[M/C],'OEE AHV'!$D60,Table1[Case downtime],'OEE AHV'!AO$2)</f>
        <v>0</v>
      </c>
      <c r="AP60" s="114">
        <f>SUMIFS(Table1[Column1],Table1[Date],'OEE AHV'!$B60,Table1[M/C],'OEE AHV'!$D60,Table1[Case downtime],'OEE AHV'!AP$2)</f>
        <v>0</v>
      </c>
      <c r="AQ60" s="114">
        <f>SUMIFS(Table1[Column1],Table1[Date],'OEE AHV'!$B60,Table1[M/C],'OEE AHV'!$D60,Table1[Case downtime],'OEE AHV'!AQ$2)</f>
        <v>0</v>
      </c>
      <c r="AR60" s="114">
        <f>SUMIFS(Table1[Column1],Table1[Date],'OEE AHV'!$B60,Table1[M/C],'OEE AHV'!$D60,Table1[Case downtime],'OEE AHV'!AR$2)</f>
        <v>0</v>
      </c>
      <c r="AS60" s="114">
        <f>SUMIFS(Table1[Column1],Table1[Date],'OEE AHV'!$B60,Table1[M/C],'OEE AHV'!$D60,Table1[Case downtime],'OEE AHV'!AS$2)</f>
        <v>0</v>
      </c>
      <c r="AT60" s="114">
        <f>SUMIFS(Table1[Column1],Table1[Date],'OEE AHV'!$B60,Table1[M/C],'OEE AHV'!$D60,Table1[Case downtime],'OEE AHV'!AT$2)</f>
        <v>0</v>
      </c>
      <c r="AU60" s="114">
        <f>SUMIFS(Table1[Column1],Table1[Date],'OEE AHV'!$B60,Table1[M/C],'OEE AHV'!$D60,Table1[Case downtime],'OEE AHV'!AU$2)</f>
        <v>0</v>
      </c>
      <c r="AV60" s="114">
        <f>SUMIFS(Table1[Column1],Table1[Date],'OEE AHV'!$B60,Table1[M/C],'OEE AHV'!$D60,Table1[Case downtime],'OEE AHV'!AV$2)</f>
        <v>0</v>
      </c>
      <c r="AW60" s="114">
        <f>SUMIFS(Table1[Column1],Table1[Date],'OEE AHV'!$B60,Table1[M/C],'OEE AHV'!$D60,Table1[Case downtime],'OEE AHV'!AW$2)</f>
        <v>0</v>
      </c>
      <c r="AX60" s="183">
        <f>SUMIFS(Table1[Column1],Table1[Date],'OEE AHV'!$B60,Table1[M/C],'OEE AHV'!$D60,Table1[Case downtime],'OEE AHV'!AX$2)</f>
        <v>0</v>
      </c>
    </row>
    <row r="61" spans="2:50" s="115" customFormat="1" ht="30" hidden="1" customHeight="1">
      <c r="B61" s="91">
        <v>46065</v>
      </c>
      <c r="C61" s="92" t="s">
        <v>136</v>
      </c>
      <c r="D61" s="92" t="s">
        <v>122</v>
      </c>
      <c r="E61" s="80">
        <v>4.3</v>
      </c>
      <c r="F61" s="81">
        <v>24</v>
      </c>
      <c r="G61" s="82">
        <f t="shared" si="33"/>
        <v>1440</v>
      </c>
      <c r="H61" s="82">
        <v>0</v>
      </c>
      <c r="I61" s="82">
        <f t="shared" si="22"/>
        <v>1440</v>
      </c>
      <c r="J61" s="82">
        <f t="shared" si="26"/>
        <v>101.91796875</v>
      </c>
      <c r="K61" s="83">
        <f t="shared" si="27"/>
        <v>0</v>
      </c>
      <c r="L61" s="82">
        <f t="shared" si="4"/>
        <v>101.91796875</v>
      </c>
      <c r="M61" s="84">
        <f t="shared" si="5"/>
        <v>1338.08203125</v>
      </c>
      <c r="N61" s="85">
        <v>8184</v>
      </c>
      <c r="O61" s="82"/>
      <c r="P61" s="84">
        <v>8694</v>
      </c>
      <c r="Q61" s="135">
        <f t="shared" si="6"/>
        <v>16878</v>
      </c>
      <c r="R61" s="83">
        <f t="shared" si="7"/>
        <v>3</v>
      </c>
      <c r="S61" s="87">
        <f t="shared" si="8"/>
        <v>16875</v>
      </c>
      <c r="T61" s="88">
        <f t="shared" si="9"/>
        <v>18670.912063953489</v>
      </c>
      <c r="U61" s="89">
        <f t="shared" si="10"/>
        <v>0.92922363281249998</v>
      </c>
      <c r="V61" s="89">
        <f t="shared" si="11"/>
        <v>0.90397297904825291</v>
      </c>
      <c r="W61" s="89">
        <f t="shared" si="12"/>
        <v>0.99982225382154288</v>
      </c>
      <c r="X61" s="90">
        <f t="shared" si="13"/>
        <v>0.83984375</v>
      </c>
      <c r="Y61" s="106"/>
      <c r="Z61" s="120">
        <v>3</v>
      </c>
      <c r="AA61" s="117"/>
      <c r="AB61" s="117"/>
      <c r="AC61" s="117"/>
      <c r="AD61" s="118"/>
      <c r="AE61" s="110">
        <f>Table24[[#This Row],[H. จำนวนชิ้น
งานทั้งหมด
ที่ผลิตได้ 
(Total Count)]]/512*1</f>
        <v>32.96484375</v>
      </c>
      <c r="AF61" s="111">
        <f t="shared" si="29"/>
        <v>37.360156250000003</v>
      </c>
      <c r="AG61" s="111">
        <f t="shared" si="30"/>
        <v>19.2294921875</v>
      </c>
      <c r="AH61" s="111">
        <f t="shared" si="31"/>
        <v>20.328320312500001</v>
      </c>
      <c r="AI61" s="111">
        <v>10</v>
      </c>
      <c r="AJ61" s="112">
        <v>5</v>
      </c>
      <c r="AK61" s="113">
        <v>10</v>
      </c>
      <c r="AL61" s="114">
        <f>SUMIFS(Table1[Column1],Table1[Date],'OEE AHV'!$B61,Table1[M/C],'OEE AHV'!$D61,Table1[Case downtime],'OEE AHV'!AL$2)</f>
        <v>0</v>
      </c>
      <c r="AM61" s="114">
        <f>SUMIFS(Table1[Column1],Table1[Date],'OEE AHV'!$B61,Table1[M/C],'OEE AHV'!$D61,Table1[Case downtime],'OEE AHV'!AM$2)</f>
        <v>0</v>
      </c>
      <c r="AN61" s="114">
        <f>SUMIFS(Table1[Column1],Table1[Date],'OEE AHV'!$B61,Table1[M/C],'OEE AHV'!$D61,Table1[Case downtime],'OEE AHV'!AN$2)</f>
        <v>0</v>
      </c>
      <c r="AO61" s="114">
        <f>SUMIFS(Table1[Column1],Table1[Date],'OEE AHV'!$B61,Table1[M/C],'OEE AHV'!$D61,Table1[Case downtime],'OEE AHV'!AO$2)</f>
        <v>0</v>
      </c>
      <c r="AP61" s="114">
        <f>SUMIFS(Table1[Column1],Table1[Date],'OEE AHV'!$B61,Table1[M/C],'OEE AHV'!$D61,Table1[Case downtime],'OEE AHV'!AP$2)</f>
        <v>0</v>
      </c>
      <c r="AQ61" s="114">
        <f>SUMIFS(Table1[Column1],Table1[Date],'OEE AHV'!$B61,Table1[M/C],'OEE AHV'!$D61,Table1[Case downtime],'OEE AHV'!AQ$2)</f>
        <v>0</v>
      </c>
      <c r="AR61" s="114">
        <f>SUMIFS(Table1[Column1],Table1[Date],'OEE AHV'!$B61,Table1[M/C],'OEE AHV'!$D61,Table1[Case downtime],'OEE AHV'!AR$2)</f>
        <v>0</v>
      </c>
      <c r="AS61" s="114">
        <f>SUMIFS(Table1[Column1],Table1[Date],'OEE AHV'!$B61,Table1[M/C],'OEE AHV'!$D61,Table1[Case downtime],'OEE AHV'!AS$2)</f>
        <v>0</v>
      </c>
      <c r="AT61" s="114">
        <f>SUMIFS(Table1[Column1],Table1[Date],'OEE AHV'!$B61,Table1[M/C],'OEE AHV'!$D61,Table1[Case downtime],'OEE AHV'!AT$2)</f>
        <v>0</v>
      </c>
      <c r="AU61" s="114">
        <f>SUMIFS(Table1[Column1],Table1[Date],'OEE AHV'!$B61,Table1[M/C],'OEE AHV'!$D61,Table1[Case downtime],'OEE AHV'!AU$2)</f>
        <v>0</v>
      </c>
      <c r="AV61" s="114">
        <f>SUMIFS(Table1[Column1],Table1[Date],'OEE AHV'!$B61,Table1[M/C],'OEE AHV'!$D61,Table1[Case downtime],'OEE AHV'!AV$2)</f>
        <v>0</v>
      </c>
      <c r="AW61" s="114">
        <f>SUMIFS(Table1[Column1],Table1[Date],'OEE AHV'!$B61,Table1[M/C],'OEE AHV'!$D61,Table1[Case downtime],'OEE AHV'!AW$2)</f>
        <v>0</v>
      </c>
      <c r="AX61" s="183">
        <f>SUMIFS(Table1[Column1],Table1[Date],'OEE AHV'!$B61,Table1[M/C],'OEE AHV'!$D61,Table1[Case downtime],'OEE AHV'!AX$2)</f>
        <v>0</v>
      </c>
    </row>
    <row r="62" spans="2:50" s="115" customFormat="1" ht="30" hidden="1" customHeight="1">
      <c r="B62" s="91">
        <v>46066</v>
      </c>
      <c r="C62" s="92" t="s">
        <v>136</v>
      </c>
      <c r="D62" s="92" t="s">
        <v>122</v>
      </c>
      <c r="E62" s="80">
        <v>4.3</v>
      </c>
      <c r="F62" s="81">
        <v>24</v>
      </c>
      <c r="G62" s="82">
        <f t="shared" si="33"/>
        <v>1440</v>
      </c>
      <c r="H62" s="82">
        <v>0</v>
      </c>
      <c r="I62" s="82">
        <f t="shared" si="22"/>
        <v>1440</v>
      </c>
      <c r="J62" s="82">
        <f t="shared" si="26"/>
        <v>111.28776041666667</v>
      </c>
      <c r="K62" s="83">
        <f t="shared" si="27"/>
        <v>38</v>
      </c>
      <c r="L62" s="82">
        <f t="shared" si="4"/>
        <v>149.28776041666669</v>
      </c>
      <c r="M62" s="84">
        <f t="shared" si="5"/>
        <v>1290.7122395833333</v>
      </c>
      <c r="N62" s="85">
        <v>9210</v>
      </c>
      <c r="O62" s="82"/>
      <c r="P62" s="84">
        <v>9724</v>
      </c>
      <c r="Q62" s="135">
        <f t="shared" si="6"/>
        <v>18934</v>
      </c>
      <c r="R62" s="83">
        <f t="shared" si="7"/>
        <v>8</v>
      </c>
      <c r="S62" s="87">
        <f t="shared" si="8"/>
        <v>18926</v>
      </c>
      <c r="T62" s="88">
        <f t="shared" si="9"/>
        <v>18009.938226744187</v>
      </c>
      <c r="U62" s="89">
        <f t="shared" si="10"/>
        <v>0.89632794415509254</v>
      </c>
      <c r="V62" s="89">
        <f t="shared" si="11"/>
        <v>1.0513084365766237</v>
      </c>
      <c r="W62" s="89">
        <f t="shared" si="12"/>
        <v>0.99957747966620891</v>
      </c>
      <c r="X62" s="90">
        <f t="shared" si="13"/>
        <v>0.94191898148148134</v>
      </c>
      <c r="Y62" s="106"/>
      <c r="Z62" s="120">
        <v>8</v>
      </c>
      <c r="AA62" s="117"/>
      <c r="AB62" s="117"/>
      <c r="AC62" s="117"/>
      <c r="AD62" s="118"/>
      <c r="AE62" s="110">
        <f>Table24[[#This Row],[H. จำนวนชิ้น
งานทั้งหมด
ที่ผลิตได้ 
(Total Count)]]/512*1</f>
        <v>36.98046875</v>
      </c>
      <c r="AF62" s="111">
        <f t="shared" si="29"/>
        <v>41.911197916666666</v>
      </c>
      <c r="AG62" s="111">
        <f t="shared" si="30"/>
        <v>21.571940104166668</v>
      </c>
      <c r="AH62" s="111">
        <f t="shared" si="31"/>
        <v>22.804622395833334</v>
      </c>
      <c r="AI62" s="111">
        <v>10</v>
      </c>
      <c r="AJ62" s="112">
        <v>5</v>
      </c>
      <c r="AK62" s="113">
        <v>10</v>
      </c>
      <c r="AL62" s="114">
        <f>SUMIFS(Table1[Column1],Table1[Date],'OEE AHV'!$B62,Table1[M/C],'OEE AHV'!$D62,Table1[Case downtime],'OEE AHV'!AL$2)</f>
        <v>24</v>
      </c>
      <c r="AM62" s="114">
        <f>SUMIFS(Table1[Column1],Table1[Date],'OEE AHV'!$B62,Table1[M/C],'OEE AHV'!$D62,Table1[Case downtime],'OEE AHV'!AM$2)</f>
        <v>14</v>
      </c>
      <c r="AN62" s="114">
        <f>SUMIFS(Table1[Column1],Table1[Date],'OEE AHV'!$B62,Table1[M/C],'OEE AHV'!$D62,Table1[Case downtime],'OEE AHV'!AN$2)</f>
        <v>0</v>
      </c>
      <c r="AO62" s="114">
        <f>SUMIFS(Table1[Column1],Table1[Date],'OEE AHV'!$B62,Table1[M/C],'OEE AHV'!$D62,Table1[Case downtime],'OEE AHV'!AO$2)</f>
        <v>0</v>
      </c>
      <c r="AP62" s="114">
        <f>SUMIFS(Table1[Column1],Table1[Date],'OEE AHV'!$B62,Table1[M/C],'OEE AHV'!$D62,Table1[Case downtime],'OEE AHV'!AP$2)</f>
        <v>0</v>
      </c>
      <c r="AQ62" s="114">
        <f>SUMIFS(Table1[Column1],Table1[Date],'OEE AHV'!$B62,Table1[M/C],'OEE AHV'!$D62,Table1[Case downtime],'OEE AHV'!AQ$2)</f>
        <v>0</v>
      </c>
      <c r="AR62" s="114">
        <f>SUMIFS(Table1[Column1],Table1[Date],'OEE AHV'!$B62,Table1[M/C],'OEE AHV'!$D62,Table1[Case downtime],'OEE AHV'!AR$2)</f>
        <v>0</v>
      </c>
      <c r="AS62" s="114">
        <f>SUMIFS(Table1[Column1],Table1[Date],'OEE AHV'!$B62,Table1[M/C],'OEE AHV'!$D62,Table1[Case downtime],'OEE AHV'!AS$2)</f>
        <v>0</v>
      </c>
      <c r="AT62" s="114">
        <f>SUMIFS(Table1[Column1],Table1[Date],'OEE AHV'!$B62,Table1[M/C],'OEE AHV'!$D62,Table1[Case downtime],'OEE AHV'!AT$2)</f>
        <v>0</v>
      </c>
      <c r="AU62" s="114">
        <f>SUMIFS(Table1[Column1],Table1[Date],'OEE AHV'!$B62,Table1[M/C],'OEE AHV'!$D62,Table1[Case downtime],'OEE AHV'!AU$2)</f>
        <v>0</v>
      </c>
      <c r="AV62" s="114">
        <f>SUMIFS(Table1[Column1],Table1[Date],'OEE AHV'!$B62,Table1[M/C],'OEE AHV'!$D62,Table1[Case downtime],'OEE AHV'!AV$2)</f>
        <v>0</v>
      </c>
      <c r="AW62" s="114">
        <f>SUMIFS(Table1[Column1],Table1[Date],'OEE AHV'!$B62,Table1[M/C],'OEE AHV'!$D62,Table1[Case downtime],'OEE AHV'!AW$2)</f>
        <v>0</v>
      </c>
      <c r="AX62" s="183">
        <f>SUMIFS(Table1[Column1],Table1[Date],'OEE AHV'!$B62,Table1[M/C],'OEE AHV'!$D62,Table1[Case downtime],'OEE AHV'!AX$2)</f>
        <v>0</v>
      </c>
    </row>
    <row r="63" spans="2:50" s="115" customFormat="1" ht="30" hidden="1" customHeight="1">
      <c r="B63" s="91">
        <v>46067</v>
      </c>
      <c r="C63" s="92" t="s">
        <v>136</v>
      </c>
      <c r="D63" s="92" t="s">
        <v>122</v>
      </c>
      <c r="E63" s="80">
        <v>4.3</v>
      </c>
      <c r="F63" s="81">
        <v>24</v>
      </c>
      <c r="G63" s="82">
        <f t="shared" si="33"/>
        <v>1440</v>
      </c>
      <c r="H63" s="82">
        <v>0</v>
      </c>
      <c r="I63" s="82">
        <f t="shared" si="22"/>
        <v>1440</v>
      </c>
      <c r="J63" s="82">
        <f t="shared" si="26"/>
        <v>71.557291666666671</v>
      </c>
      <c r="K63" s="83">
        <f t="shared" si="27"/>
        <v>713</v>
      </c>
      <c r="L63" s="82">
        <f t="shared" si="4"/>
        <v>784.55729166666663</v>
      </c>
      <c r="M63" s="84">
        <f t="shared" si="5"/>
        <v>655.44270833333337</v>
      </c>
      <c r="N63" s="85">
        <v>4589</v>
      </c>
      <c r="O63" s="82"/>
      <c r="P63" s="84">
        <v>5627</v>
      </c>
      <c r="Q63" s="135">
        <f t="shared" si="6"/>
        <v>10216</v>
      </c>
      <c r="R63" s="83">
        <f t="shared" si="7"/>
        <v>1</v>
      </c>
      <c r="S63" s="87">
        <f t="shared" si="8"/>
        <v>10215</v>
      </c>
      <c r="T63" s="88">
        <f t="shared" si="9"/>
        <v>9145.7122093023263</v>
      </c>
      <c r="U63" s="89">
        <f t="shared" si="10"/>
        <v>0.45516854745370372</v>
      </c>
      <c r="V63" s="89">
        <f t="shared" si="11"/>
        <v>1.1170261830029002</v>
      </c>
      <c r="W63" s="89">
        <f t="shared" si="12"/>
        <v>0.99990211433046206</v>
      </c>
      <c r="X63" s="90">
        <f t="shared" si="13"/>
        <v>0.5083854166666667</v>
      </c>
      <c r="Y63" s="106"/>
      <c r="Z63" s="120">
        <v>1</v>
      </c>
      <c r="AA63" s="117"/>
      <c r="AB63" s="117"/>
      <c r="AC63" s="117"/>
      <c r="AD63" s="118"/>
      <c r="AE63" s="110">
        <f>Table24[[#This Row],[H. จำนวนชิ้น
งานทั้งหมด
ที่ผลิตได้ 
(Total Count)]]/512*1</f>
        <v>19.953125</v>
      </c>
      <c r="AF63" s="111">
        <f t="shared" si="29"/>
        <v>22.613541666666666</v>
      </c>
      <c r="AG63" s="111">
        <f t="shared" si="30"/>
        <v>11.639322916666666</v>
      </c>
      <c r="AH63" s="111">
        <f t="shared" si="31"/>
        <v>12.304427083333334</v>
      </c>
      <c r="AI63" s="111">
        <v>10</v>
      </c>
      <c r="AJ63" s="112">
        <v>5</v>
      </c>
      <c r="AK63" s="113">
        <v>10</v>
      </c>
      <c r="AL63" s="114">
        <f>SUMIFS(Table1[Column1],Table1[Date],'OEE AHV'!$B63,Table1[M/C],'OEE AHV'!$D63,Table1[Case downtime],'OEE AHV'!AL$2)</f>
        <v>689</v>
      </c>
      <c r="AM63" s="114">
        <f>SUMIFS(Table1[Column1],Table1[Date],'OEE AHV'!$B63,Table1[M/C],'OEE AHV'!$D63,Table1[Case downtime],'OEE AHV'!AM$2)</f>
        <v>24</v>
      </c>
      <c r="AN63" s="114">
        <f>SUMIFS(Table1[Column1],Table1[Date],'OEE AHV'!$B63,Table1[M/C],'OEE AHV'!$D63,Table1[Case downtime],'OEE AHV'!AN$2)</f>
        <v>0</v>
      </c>
      <c r="AO63" s="114">
        <f>SUMIFS(Table1[Column1],Table1[Date],'OEE AHV'!$B63,Table1[M/C],'OEE AHV'!$D63,Table1[Case downtime],'OEE AHV'!AO$2)</f>
        <v>0</v>
      </c>
      <c r="AP63" s="114">
        <f>SUMIFS(Table1[Column1],Table1[Date],'OEE AHV'!$B63,Table1[M/C],'OEE AHV'!$D63,Table1[Case downtime],'OEE AHV'!AP$2)</f>
        <v>0</v>
      </c>
      <c r="AQ63" s="114">
        <f>SUMIFS(Table1[Column1],Table1[Date],'OEE AHV'!$B63,Table1[M/C],'OEE AHV'!$D63,Table1[Case downtime],'OEE AHV'!AQ$2)</f>
        <v>0</v>
      </c>
      <c r="AR63" s="114">
        <f>SUMIFS(Table1[Column1],Table1[Date],'OEE AHV'!$B63,Table1[M/C],'OEE AHV'!$D63,Table1[Case downtime],'OEE AHV'!AR$2)</f>
        <v>0</v>
      </c>
      <c r="AS63" s="114">
        <f>SUMIFS(Table1[Column1],Table1[Date],'OEE AHV'!$B63,Table1[M/C],'OEE AHV'!$D63,Table1[Case downtime],'OEE AHV'!AS$2)</f>
        <v>0</v>
      </c>
      <c r="AT63" s="114">
        <f>SUMIFS(Table1[Column1],Table1[Date],'OEE AHV'!$B63,Table1[M/C],'OEE AHV'!$D63,Table1[Case downtime],'OEE AHV'!AT$2)</f>
        <v>0</v>
      </c>
      <c r="AU63" s="114">
        <f>SUMIFS(Table1[Column1],Table1[Date],'OEE AHV'!$B63,Table1[M/C],'OEE AHV'!$D63,Table1[Case downtime],'OEE AHV'!AU$2)</f>
        <v>0</v>
      </c>
      <c r="AV63" s="114">
        <f>SUMIFS(Table1[Column1],Table1[Date],'OEE AHV'!$B63,Table1[M/C],'OEE AHV'!$D63,Table1[Case downtime],'OEE AHV'!AV$2)</f>
        <v>0</v>
      </c>
      <c r="AW63" s="114">
        <f>SUMIFS(Table1[Column1],Table1[Date],'OEE AHV'!$B63,Table1[M/C],'OEE AHV'!$D63,Table1[Case downtime],'OEE AHV'!AW$2)</f>
        <v>0</v>
      </c>
      <c r="AX63" s="183">
        <f>SUMIFS(Table1[Column1],Table1[Date],'OEE AHV'!$B63,Table1[M/C],'OEE AHV'!$D63,Table1[Case downtime],'OEE AHV'!AX$2)</f>
        <v>0</v>
      </c>
    </row>
    <row r="64" spans="2:50" s="115" customFormat="1" ht="30" hidden="1" customHeight="1">
      <c r="B64" s="91">
        <v>46069</v>
      </c>
      <c r="C64" s="92" t="s">
        <v>136</v>
      </c>
      <c r="D64" s="92" t="s">
        <v>122</v>
      </c>
      <c r="E64" s="80">
        <v>4.3</v>
      </c>
      <c r="F64" s="81">
        <v>24</v>
      </c>
      <c r="G64" s="82">
        <f t="shared" ref="G64:G96" si="34">F64*60</f>
        <v>1440</v>
      </c>
      <c r="H64" s="82">
        <v>0</v>
      </c>
      <c r="I64" s="82">
        <f t="shared" si="22"/>
        <v>1440</v>
      </c>
      <c r="J64" s="82">
        <f t="shared" si="26"/>
        <v>83.305989583333329</v>
      </c>
      <c r="K64" s="83">
        <f t="shared" si="27"/>
        <v>607</v>
      </c>
      <c r="L64" s="82">
        <f t="shared" si="4"/>
        <v>690.30598958333337</v>
      </c>
      <c r="M64" s="84">
        <f t="shared" si="5"/>
        <v>749.69401041666663</v>
      </c>
      <c r="N64" s="85">
        <v>4608</v>
      </c>
      <c r="O64" s="82"/>
      <c r="P64" s="84">
        <v>8186</v>
      </c>
      <c r="Q64" s="135">
        <f t="shared" si="6"/>
        <v>12794</v>
      </c>
      <c r="R64" s="83">
        <f t="shared" si="7"/>
        <v>0</v>
      </c>
      <c r="S64" s="87">
        <f t="shared" si="8"/>
        <v>12794</v>
      </c>
      <c r="T64" s="88">
        <f t="shared" si="9"/>
        <v>10460.846656976744</v>
      </c>
      <c r="U64" s="89">
        <f t="shared" si="10"/>
        <v>0.52062084056712965</v>
      </c>
      <c r="V64" s="89">
        <f t="shared" si="11"/>
        <v>1.2230367597891501</v>
      </c>
      <c r="W64" s="89">
        <f t="shared" si="12"/>
        <v>1</v>
      </c>
      <c r="X64" s="90">
        <f t="shared" si="13"/>
        <v>0.63673842592592589</v>
      </c>
      <c r="Y64" s="106"/>
      <c r="Z64" s="120">
        <v>0</v>
      </c>
      <c r="AA64" s="117"/>
      <c r="AB64" s="117"/>
      <c r="AC64" s="117"/>
      <c r="AD64" s="118"/>
      <c r="AE64" s="110">
        <f>Table24[[#This Row],[H. จำนวนชิ้น
งานทั้งหมด
ที่ผลิตได้ 
(Total Count)]]/512*1</f>
        <v>24.98828125</v>
      </c>
      <c r="AF64" s="111">
        <f t="shared" si="29"/>
        <v>28.320052083333334</v>
      </c>
      <c r="AG64" s="111">
        <f t="shared" si="30"/>
        <v>14.576497395833334</v>
      </c>
      <c r="AH64" s="111">
        <f t="shared" si="31"/>
        <v>15.409440104166666</v>
      </c>
      <c r="AI64" s="111">
        <v>10</v>
      </c>
      <c r="AJ64" s="112">
        <v>5</v>
      </c>
      <c r="AK64" s="113">
        <v>10</v>
      </c>
      <c r="AL64" s="114">
        <f>SUMIFS(Table1[Column1],Table1[Date],'OEE AHV'!$B64,Table1[M/C],'OEE AHV'!$D64,Table1[Case downtime],'OEE AHV'!AL$2)</f>
        <v>592</v>
      </c>
      <c r="AM64" s="114">
        <f>SUMIFS(Table1[Column1],Table1[Date],'OEE AHV'!$B64,Table1[M/C],'OEE AHV'!$D64,Table1[Case downtime],'OEE AHV'!AM$2)</f>
        <v>0</v>
      </c>
      <c r="AN64" s="114">
        <f>SUMIFS(Table1[Column1],Table1[Date],'OEE AHV'!$B64,Table1[M/C],'OEE AHV'!$D64,Table1[Case downtime],'OEE AHV'!AN$2)</f>
        <v>15</v>
      </c>
      <c r="AO64" s="114">
        <f>SUMIFS(Table1[Column1],Table1[Date],'OEE AHV'!$B64,Table1[M/C],'OEE AHV'!$D64,Table1[Case downtime],'OEE AHV'!AO$2)</f>
        <v>0</v>
      </c>
      <c r="AP64" s="114">
        <f>SUMIFS(Table1[Column1],Table1[Date],'OEE AHV'!$B64,Table1[M/C],'OEE AHV'!$D64,Table1[Case downtime],'OEE AHV'!AP$2)</f>
        <v>0</v>
      </c>
      <c r="AQ64" s="114">
        <f>SUMIFS(Table1[Column1],Table1[Date],'OEE AHV'!$B64,Table1[M/C],'OEE AHV'!$D64,Table1[Case downtime],'OEE AHV'!AQ$2)</f>
        <v>0</v>
      </c>
      <c r="AR64" s="114">
        <f>SUMIFS(Table1[Column1],Table1[Date],'OEE AHV'!$B64,Table1[M/C],'OEE AHV'!$D64,Table1[Case downtime],'OEE AHV'!AR$2)</f>
        <v>0</v>
      </c>
      <c r="AS64" s="114">
        <f>SUMIFS(Table1[Column1],Table1[Date],'OEE AHV'!$B64,Table1[M/C],'OEE AHV'!$D64,Table1[Case downtime],'OEE AHV'!AS$2)</f>
        <v>0</v>
      </c>
      <c r="AT64" s="114">
        <f>SUMIFS(Table1[Column1],Table1[Date],'OEE AHV'!$B64,Table1[M/C],'OEE AHV'!$D64,Table1[Case downtime],'OEE AHV'!AT$2)</f>
        <v>0</v>
      </c>
      <c r="AU64" s="114">
        <f>SUMIFS(Table1[Column1],Table1[Date],'OEE AHV'!$B64,Table1[M/C],'OEE AHV'!$D64,Table1[Case downtime],'OEE AHV'!AU$2)</f>
        <v>0</v>
      </c>
      <c r="AV64" s="114">
        <f>SUMIFS(Table1[Column1],Table1[Date],'OEE AHV'!$B64,Table1[M/C],'OEE AHV'!$D64,Table1[Case downtime],'OEE AHV'!AV$2)</f>
        <v>0</v>
      </c>
      <c r="AW64" s="114">
        <f>SUMIFS(Table1[Column1],Table1[Date],'OEE AHV'!$B64,Table1[M/C],'OEE AHV'!$D64,Table1[Case downtime],'OEE AHV'!AW$2)</f>
        <v>0</v>
      </c>
      <c r="AX64" s="183">
        <f>SUMIFS(Table1[Column1],Table1[Date],'OEE AHV'!$B64,Table1[M/C],'OEE AHV'!$D64,Table1[Case downtime],'OEE AHV'!AX$2)</f>
        <v>0</v>
      </c>
    </row>
    <row r="65" spans="2:50" s="115" customFormat="1" ht="30" hidden="1" customHeight="1">
      <c r="B65" s="91">
        <v>46070</v>
      </c>
      <c r="C65" s="92" t="s">
        <v>136</v>
      </c>
      <c r="D65" s="92" t="s">
        <v>122</v>
      </c>
      <c r="E65" s="80">
        <v>4.3</v>
      </c>
      <c r="F65" s="81">
        <v>24</v>
      </c>
      <c r="G65" s="82">
        <f t="shared" si="34"/>
        <v>1440</v>
      </c>
      <c r="H65" s="82">
        <v>0</v>
      </c>
      <c r="I65" s="82">
        <f t="shared" si="22"/>
        <v>1440</v>
      </c>
      <c r="J65" s="82">
        <f t="shared" si="26"/>
        <v>90.26953125</v>
      </c>
      <c r="K65" s="83">
        <f t="shared" si="27"/>
        <v>365</v>
      </c>
      <c r="L65" s="82">
        <f t="shared" si="4"/>
        <v>455.26953125</v>
      </c>
      <c r="M65" s="84">
        <f t="shared" si="5"/>
        <v>984.73046875</v>
      </c>
      <c r="N65" s="85">
        <v>7672</v>
      </c>
      <c r="O65" s="82"/>
      <c r="P65" s="84">
        <v>6650</v>
      </c>
      <c r="Q65" s="135">
        <f t="shared" si="6"/>
        <v>14322</v>
      </c>
      <c r="R65" s="83">
        <f t="shared" si="7"/>
        <v>4</v>
      </c>
      <c r="S65" s="87">
        <f t="shared" si="8"/>
        <v>14318</v>
      </c>
      <c r="T65" s="88">
        <f t="shared" si="9"/>
        <v>13740.425145348838</v>
      </c>
      <c r="U65" s="89">
        <f t="shared" si="10"/>
        <v>0.68384060329861107</v>
      </c>
      <c r="V65" s="89">
        <f t="shared" si="11"/>
        <v>1.0423258267847721</v>
      </c>
      <c r="W65" s="89">
        <f t="shared" si="12"/>
        <v>0.99972070939812874</v>
      </c>
      <c r="X65" s="90">
        <f t="shared" si="13"/>
        <v>0.71258564814814818</v>
      </c>
      <c r="Y65" s="106"/>
      <c r="Z65" s="120">
        <v>4</v>
      </c>
      <c r="AA65" s="117"/>
      <c r="AB65" s="117"/>
      <c r="AC65" s="117"/>
      <c r="AD65" s="118"/>
      <c r="AE65" s="110">
        <f>Table24[[#This Row],[H. จำนวนชิ้น
งานทั้งหมด
ที่ผลิตได้ 
(Total Count)]]/512*1</f>
        <v>27.97265625</v>
      </c>
      <c r="AF65" s="111">
        <f t="shared" si="29"/>
        <v>31.702343750000001</v>
      </c>
      <c r="AG65" s="111">
        <f t="shared" si="30"/>
        <v>16.3173828125</v>
      </c>
      <c r="AH65" s="111">
        <f t="shared" si="31"/>
        <v>17.249804687499999</v>
      </c>
      <c r="AI65" s="111">
        <v>10</v>
      </c>
      <c r="AJ65" s="112">
        <v>5</v>
      </c>
      <c r="AK65" s="113">
        <v>10</v>
      </c>
      <c r="AL65" s="114">
        <f>SUMIFS(Table1[Column1],Table1[Date],'OEE AHV'!$B65,Table1[M/C],'OEE AHV'!$D65,Table1[Case downtime],'OEE AHV'!AL$2)</f>
        <v>150</v>
      </c>
      <c r="AM65" s="114">
        <f>SUMIFS(Table1[Column1],Table1[Date],'OEE AHV'!$B65,Table1[M/C],'OEE AHV'!$D65,Table1[Case downtime],'OEE AHV'!AM$2)</f>
        <v>171</v>
      </c>
      <c r="AN65" s="114">
        <f>SUMIFS(Table1[Column1],Table1[Date],'OEE AHV'!$B65,Table1[M/C],'OEE AHV'!$D65,Table1[Case downtime],'OEE AHV'!AN$2)</f>
        <v>10</v>
      </c>
      <c r="AO65" s="114">
        <f>SUMIFS(Table1[Column1],Table1[Date],'OEE AHV'!$B65,Table1[M/C],'OEE AHV'!$D65,Table1[Case downtime],'OEE AHV'!AO$2)</f>
        <v>0</v>
      </c>
      <c r="AP65" s="114">
        <f>SUMIFS(Table1[Column1],Table1[Date],'OEE AHV'!$B65,Table1[M/C],'OEE AHV'!$D65,Table1[Case downtime],'OEE AHV'!AP$2)</f>
        <v>0</v>
      </c>
      <c r="AQ65" s="114">
        <f>SUMIFS(Table1[Column1],Table1[Date],'OEE AHV'!$B65,Table1[M/C],'OEE AHV'!$D65,Table1[Case downtime],'OEE AHV'!AQ$2)</f>
        <v>0</v>
      </c>
      <c r="AR65" s="114">
        <f>SUMIFS(Table1[Column1],Table1[Date],'OEE AHV'!$B65,Table1[M/C],'OEE AHV'!$D65,Table1[Case downtime],'OEE AHV'!AR$2)</f>
        <v>0</v>
      </c>
      <c r="AS65" s="114">
        <f>SUMIFS(Table1[Column1],Table1[Date],'OEE AHV'!$B65,Table1[M/C],'OEE AHV'!$D65,Table1[Case downtime],'OEE AHV'!AS$2)</f>
        <v>0</v>
      </c>
      <c r="AT65" s="114">
        <f>SUMIFS(Table1[Column1],Table1[Date],'OEE AHV'!$B65,Table1[M/C],'OEE AHV'!$D65,Table1[Case downtime],'OEE AHV'!AT$2)</f>
        <v>0</v>
      </c>
      <c r="AU65" s="114">
        <f>SUMIFS(Table1[Column1],Table1[Date],'OEE AHV'!$B65,Table1[M/C],'OEE AHV'!$D65,Table1[Case downtime],'OEE AHV'!AU$2)</f>
        <v>0</v>
      </c>
      <c r="AV65" s="114">
        <f>SUMIFS(Table1[Column1],Table1[Date],'OEE AHV'!$B65,Table1[M/C],'OEE AHV'!$D65,Table1[Case downtime],'OEE AHV'!AV$2)</f>
        <v>34</v>
      </c>
      <c r="AW65" s="114">
        <f>SUMIFS(Table1[Column1],Table1[Date],'OEE AHV'!$B65,Table1[M/C],'OEE AHV'!$D65,Table1[Case downtime],'OEE AHV'!AW$2)</f>
        <v>0</v>
      </c>
      <c r="AX65" s="183">
        <f>SUMIFS(Table1[Column1],Table1[Date],'OEE AHV'!$B65,Table1[M/C],'OEE AHV'!$D65,Table1[Case downtime],'OEE AHV'!AX$2)</f>
        <v>0</v>
      </c>
    </row>
    <row r="66" spans="2:50" s="115" customFormat="1" ht="30" hidden="1" customHeight="1">
      <c r="B66" s="91">
        <v>46071</v>
      </c>
      <c r="C66" s="92" t="s">
        <v>136</v>
      </c>
      <c r="D66" s="92" t="s">
        <v>122</v>
      </c>
      <c r="E66" s="80">
        <v>4.3</v>
      </c>
      <c r="F66" s="81">
        <v>24</v>
      </c>
      <c r="G66" s="82">
        <f t="shared" si="34"/>
        <v>1440</v>
      </c>
      <c r="H66" s="82">
        <v>0</v>
      </c>
      <c r="I66" s="82">
        <f t="shared" si="22"/>
        <v>1440</v>
      </c>
      <c r="J66" s="82">
        <f t="shared" si="26"/>
        <v>71.643880208333329</v>
      </c>
      <c r="K66" s="83">
        <f t="shared" si="27"/>
        <v>707</v>
      </c>
      <c r="L66" s="82">
        <f t="shared" si="4"/>
        <v>778.64388020833337</v>
      </c>
      <c r="M66" s="84">
        <f t="shared" si="5"/>
        <v>661.35611979166663</v>
      </c>
      <c r="N66" s="85">
        <v>1024</v>
      </c>
      <c r="O66" s="82"/>
      <c r="P66" s="84">
        <v>9211</v>
      </c>
      <c r="Q66" s="135">
        <f t="shared" si="6"/>
        <v>10235</v>
      </c>
      <c r="R66" s="83">
        <f t="shared" si="7"/>
        <v>0</v>
      </c>
      <c r="S66" s="87">
        <f t="shared" si="8"/>
        <v>10235</v>
      </c>
      <c r="T66" s="88">
        <f t="shared" si="9"/>
        <v>9228.224927325582</v>
      </c>
      <c r="U66" s="89">
        <f t="shared" si="10"/>
        <v>0.4592750831886574</v>
      </c>
      <c r="V66" s="89">
        <f t="shared" si="11"/>
        <v>1.1090973703613649</v>
      </c>
      <c r="W66" s="89">
        <f t="shared" si="12"/>
        <v>1</v>
      </c>
      <c r="X66" s="90">
        <f t="shared" si="13"/>
        <v>0.50938078703703704</v>
      </c>
      <c r="Y66" s="106"/>
      <c r="Z66" s="120">
        <v>0</v>
      </c>
      <c r="AA66" s="117"/>
      <c r="AB66" s="117"/>
      <c r="AC66" s="117"/>
      <c r="AD66" s="118"/>
      <c r="AE66" s="110">
        <f>Table24[[#This Row],[H. จำนวนชิ้น
งานทั้งหมด
ที่ผลิตได้ 
(Total Count)]]/512*1</f>
        <v>19.990234375</v>
      </c>
      <c r="AF66" s="111">
        <f t="shared" si="29"/>
        <v>22.655598958333332</v>
      </c>
      <c r="AG66" s="111">
        <f t="shared" si="30"/>
        <v>11.660970052083334</v>
      </c>
      <c r="AH66" s="111">
        <f t="shared" si="31"/>
        <v>12.327311197916666</v>
      </c>
      <c r="AI66" s="111">
        <v>10</v>
      </c>
      <c r="AJ66" s="112">
        <v>5</v>
      </c>
      <c r="AK66" s="113">
        <v>10</v>
      </c>
      <c r="AL66" s="114">
        <f>SUMIFS(Table1[Column1],Table1[Date],'OEE AHV'!$B66,Table1[M/C],'OEE AHV'!$D66,Table1[Case downtime],'OEE AHV'!AL$2)</f>
        <v>14</v>
      </c>
      <c r="AM66" s="114">
        <f>SUMIFS(Table1[Column1],Table1[Date],'OEE AHV'!$B66,Table1[M/C],'OEE AHV'!$D66,Table1[Case downtime],'OEE AHV'!AM$2)</f>
        <v>5</v>
      </c>
      <c r="AN66" s="114">
        <f>SUMIFS(Table1[Column1],Table1[Date],'OEE AHV'!$B66,Table1[M/C],'OEE AHV'!$D66,Table1[Case downtime],'OEE AHV'!AN$2)</f>
        <v>688</v>
      </c>
      <c r="AO66" s="114">
        <f>SUMIFS(Table1[Column1],Table1[Date],'OEE AHV'!$B66,Table1[M/C],'OEE AHV'!$D66,Table1[Case downtime],'OEE AHV'!AO$2)</f>
        <v>0</v>
      </c>
      <c r="AP66" s="114">
        <f>SUMIFS(Table1[Column1],Table1[Date],'OEE AHV'!$B66,Table1[M/C],'OEE AHV'!$D66,Table1[Case downtime],'OEE AHV'!AP$2)</f>
        <v>0</v>
      </c>
      <c r="AQ66" s="114">
        <f>SUMIFS(Table1[Column1],Table1[Date],'OEE AHV'!$B66,Table1[M/C],'OEE AHV'!$D66,Table1[Case downtime],'OEE AHV'!AQ$2)</f>
        <v>0</v>
      </c>
      <c r="AR66" s="114">
        <f>SUMIFS(Table1[Column1],Table1[Date],'OEE AHV'!$B66,Table1[M/C],'OEE AHV'!$D66,Table1[Case downtime],'OEE AHV'!AR$2)</f>
        <v>0</v>
      </c>
      <c r="AS66" s="114">
        <f>SUMIFS(Table1[Column1],Table1[Date],'OEE AHV'!$B66,Table1[M/C],'OEE AHV'!$D66,Table1[Case downtime],'OEE AHV'!AS$2)</f>
        <v>0</v>
      </c>
      <c r="AT66" s="114">
        <f>SUMIFS(Table1[Column1],Table1[Date],'OEE AHV'!$B66,Table1[M/C],'OEE AHV'!$D66,Table1[Case downtime],'OEE AHV'!AT$2)</f>
        <v>0</v>
      </c>
      <c r="AU66" s="114">
        <f>SUMIFS(Table1[Column1],Table1[Date],'OEE AHV'!$B66,Table1[M/C],'OEE AHV'!$D66,Table1[Case downtime],'OEE AHV'!AU$2)</f>
        <v>0</v>
      </c>
      <c r="AV66" s="114">
        <f>SUMIFS(Table1[Column1],Table1[Date],'OEE AHV'!$B66,Table1[M/C],'OEE AHV'!$D66,Table1[Case downtime],'OEE AHV'!AV$2)</f>
        <v>0</v>
      </c>
      <c r="AW66" s="114">
        <f>SUMIFS(Table1[Column1],Table1[Date],'OEE AHV'!$B66,Table1[M/C],'OEE AHV'!$D66,Table1[Case downtime],'OEE AHV'!AW$2)</f>
        <v>0</v>
      </c>
      <c r="AX66" s="183">
        <f>SUMIFS(Table1[Column1],Table1[Date],'OEE AHV'!$B66,Table1[M/C],'OEE AHV'!$D66,Table1[Case downtime],'OEE AHV'!AX$2)</f>
        <v>0</v>
      </c>
    </row>
    <row r="67" spans="2:50" s="115" customFormat="1" ht="30" hidden="1" customHeight="1">
      <c r="B67" s="91">
        <v>46072</v>
      </c>
      <c r="C67" s="92" t="s">
        <v>136</v>
      </c>
      <c r="D67" s="92" t="s">
        <v>122</v>
      </c>
      <c r="E67" s="80">
        <v>4.3</v>
      </c>
      <c r="F67" s="81">
        <v>24</v>
      </c>
      <c r="G67" s="82">
        <f t="shared" si="34"/>
        <v>1440</v>
      </c>
      <c r="H67" s="82">
        <v>0</v>
      </c>
      <c r="I67" s="82">
        <f t="shared" si="22"/>
        <v>1440</v>
      </c>
      <c r="J67" s="82">
        <f t="shared" ref="J67:J98" si="35">SUM(AF67:AK67)</f>
        <v>113.580078125</v>
      </c>
      <c r="K67" s="83">
        <f t="shared" ref="K67:K98" si="36">SUM(AL67:AX67)</f>
        <v>0</v>
      </c>
      <c r="L67" s="82">
        <f t="shared" si="4"/>
        <v>113.580078125</v>
      </c>
      <c r="M67" s="84">
        <f t="shared" si="5"/>
        <v>1326.419921875</v>
      </c>
      <c r="N67" s="85">
        <v>9716</v>
      </c>
      <c r="O67" s="82"/>
      <c r="P67" s="84">
        <v>9721</v>
      </c>
      <c r="Q67" s="135">
        <f t="shared" si="6"/>
        <v>19437</v>
      </c>
      <c r="R67" s="83">
        <f t="shared" si="7"/>
        <v>4</v>
      </c>
      <c r="S67" s="87">
        <f t="shared" si="8"/>
        <v>19433</v>
      </c>
      <c r="T67" s="88">
        <f t="shared" si="9"/>
        <v>18508.184956395351</v>
      </c>
      <c r="U67" s="89">
        <f t="shared" si="10"/>
        <v>0.92112494574652781</v>
      </c>
      <c r="V67" s="89">
        <f t="shared" si="11"/>
        <v>1.0501840156553928</v>
      </c>
      <c r="W67" s="89">
        <f t="shared" si="12"/>
        <v>0.99979420692493692</v>
      </c>
      <c r="X67" s="90">
        <f t="shared" si="13"/>
        <v>0.96715162037037017</v>
      </c>
      <c r="Y67" s="106"/>
      <c r="Z67" s="120">
        <v>4</v>
      </c>
      <c r="AA67" s="117"/>
      <c r="AB67" s="117"/>
      <c r="AC67" s="117"/>
      <c r="AD67" s="118"/>
      <c r="AE67" s="110">
        <f>Table24[[#This Row],[H. จำนวนชิ้น
งานทั้งหมด
ที่ผลิตได้ 
(Total Count)]]/512*1</f>
        <v>37.962890625</v>
      </c>
      <c r="AF67" s="111">
        <f t="shared" si="29"/>
        <v>43.024609374999997</v>
      </c>
      <c r="AG67" s="111">
        <f t="shared" si="30"/>
        <v>22.14501953125</v>
      </c>
      <c r="AH67" s="111">
        <f t="shared" si="31"/>
        <v>23.410449218749999</v>
      </c>
      <c r="AI67" s="111">
        <v>10</v>
      </c>
      <c r="AJ67" s="112">
        <v>5</v>
      </c>
      <c r="AK67" s="113">
        <v>10</v>
      </c>
      <c r="AL67" s="114">
        <f>SUMIFS(Table1[Column1],Table1[Date],'OEE AHV'!$B67,Table1[M/C],'OEE AHV'!$D67,Table1[Case downtime],'OEE AHV'!AL$2)</f>
        <v>0</v>
      </c>
      <c r="AM67" s="114">
        <f>SUMIFS(Table1[Column1],Table1[Date],'OEE AHV'!$B67,Table1[M/C],'OEE AHV'!$D67,Table1[Case downtime],'OEE AHV'!AM$2)</f>
        <v>0</v>
      </c>
      <c r="AN67" s="114">
        <f>SUMIFS(Table1[Column1],Table1[Date],'OEE AHV'!$B67,Table1[M/C],'OEE AHV'!$D67,Table1[Case downtime],'OEE AHV'!AN$2)</f>
        <v>0</v>
      </c>
      <c r="AO67" s="114">
        <f>SUMIFS(Table1[Column1],Table1[Date],'OEE AHV'!$B67,Table1[M/C],'OEE AHV'!$D67,Table1[Case downtime],'OEE AHV'!AO$2)</f>
        <v>0</v>
      </c>
      <c r="AP67" s="114">
        <f>SUMIFS(Table1[Column1],Table1[Date],'OEE AHV'!$B67,Table1[M/C],'OEE AHV'!$D67,Table1[Case downtime],'OEE AHV'!AP$2)</f>
        <v>0</v>
      </c>
      <c r="AQ67" s="114">
        <f>SUMIFS(Table1[Column1],Table1[Date],'OEE AHV'!$B67,Table1[M/C],'OEE AHV'!$D67,Table1[Case downtime],'OEE AHV'!AQ$2)</f>
        <v>0</v>
      </c>
      <c r="AR67" s="114">
        <f>SUMIFS(Table1[Column1],Table1[Date],'OEE AHV'!$B67,Table1[M/C],'OEE AHV'!$D67,Table1[Case downtime],'OEE AHV'!AR$2)</f>
        <v>0</v>
      </c>
      <c r="AS67" s="114">
        <f>SUMIFS(Table1[Column1],Table1[Date],'OEE AHV'!$B67,Table1[M/C],'OEE AHV'!$D67,Table1[Case downtime],'OEE AHV'!AS$2)</f>
        <v>0</v>
      </c>
      <c r="AT67" s="114">
        <f>SUMIFS(Table1[Column1],Table1[Date],'OEE AHV'!$B67,Table1[M/C],'OEE AHV'!$D67,Table1[Case downtime],'OEE AHV'!AT$2)</f>
        <v>0</v>
      </c>
      <c r="AU67" s="114">
        <f>SUMIFS(Table1[Column1],Table1[Date],'OEE AHV'!$B67,Table1[M/C],'OEE AHV'!$D67,Table1[Case downtime],'OEE AHV'!AU$2)</f>
        <v>0</v>
      </c>
      <c r="AV67" s="114">
        <f>SUMIFS(Table1[Column1],Table1[Date],'OEE AHV'!$B67,Table1[M/C],'OEE AHV'!$D67,Table1[Case downtime],'OEE AHV'!AV$2)</f>
        <v>0</v>
      </c>
      <c r="AW67" s="114">
        <f>SUMIFS(Table1[Column1],Table1[Date],'OEE AHV'!$B67,Table1[M/C],'OEE AHV'!$D67,Table1[Case downtime],'OEE AHV'!AW$2)</f>
        <v>0</v>
      </c>
      <c r="AX67" s="183">
        <f>SUMIFS(Table1[Column1],Table1[Date],'OEE AHV'!$B67,Table1[M/C],'OEE AHV'!$D67,Table1[Case downtime],'OEE AHV'!AX$2)</f>
        <v>0</v>
      </c>
    </row>
    <row r="68" spans="2:50" s="115" customFormat="1" ht="30" hidden="1" customHeight="1">
      <c r="B68" s="91">
        <v>46073</v>
      </c>
      <c r="C68" s="92" t="s">
        <v>136</v>
      </c>
      <c r="D68" s="92" t="s">
        <v>122</v>
      </c>
      <c r="E68" s="80">
        <v>4.3</v>
      </c>
      <c r="F68" s="81">
        <v>24</v>
      </c>
      <c r="G68" s="82">
        <f t="shared" si="34"/>
        <v>1440</v>
      </c>
      <c r="H68" s="82">
        <v>0</v>
      </c>
      <c r="I68" s="82">
        <f t="shared" si="22"/>
        <v>1440</v>
      </c>
      <c r="J68" s="82">
        <f t="shared" si="35"/>
        <v>113.60286458333334</v>
      </c>
      <c r="K68" s="83">
        <f t="shared" si="36"/>
        <v>0</v>
      </c>
      <c r="L68" s="82">
        <f t="shared" ref="L68:L131" si="37">+K68+J68</f>
        <v>113.60286458333334</v>
      </c>
      <c r="M68" s="84">
        <f t="shared" ref="M68:M131" si="38">+I68-L68</f>
        <v>1326.3971354166667</v>
      </c>
      <c r="N68" s="85">
        <v>9720</v>
      </c>
      <c r="O68" s="82"/>
      <c r="P68" s="84">
        <v>9722</v>
      </c>
      <c r="Q68" s="135">
        <f t="shared" ref="Q68:Q118" si="39">SUM(N68:P68)</f>
        <v>19442</v>
      </c>
      <c r="R68" s="83">
        <f t="shared" ref="R68:R118" si="40">SUM(Z68:AD68)</f>
        <v>3</v>
      </c>
      <c r="S68" s="87">
        <f t="shared" ref="S68:S118" si="41">+Q68-R68</f>
        <v>19439</v>
      </c>
      <c r="T68" s="88">
        <f t="shared" ref="T68:T131" si="42">IFERROR((M68*60)/E68,"-")</f>
        <v>18507.867005813954</v>
      </c>
      <c r="U68" s="89">
        <f t="shared" ref="U68:U118" si="43">IFERROR(M68/I68," ")</f>
        <v>0.92110912181712967</v>
      </c>
      <c r="V68" s="89">
        <f t="shared" ref="V68:V118" si="44">IFERROR(Q68/T68," ")</f>
        <v>1.0504722123782606</v>
      </c>
      <c r="W68" s="89">
        <f t="shared" ref="W68:W118" si="45">IFERROR(S68/Q68," ")</f>
        <v>0.99984569488735731</v>
      </c>
      <c r="X68" s="90">
        <f t="shared" ref="X68:X118" si="46">IFERROR(U68*V68*W68," ")</f>
        <v>0.96745023148148146</v>
      </c>
      <c r="Y68" s="106"/>
      <c r="Z68" s="120">
        <v>3</v>
      </c>
      <c r="AA68" s="117"/>
      <c r="AB68" s="117"/>
      <c r="AC68" s="117"/>
      <c r="AD68" s="118"/>
      <c r="AE68" s="110">
        <f>Table24[[#This Row],[H. จำนวนชิ้น
งานทั้งหมด
ที่ผลิตได้ 
(Total Count)]]/512*1</f>
        <v>37.97265625</v>
      </c>
      <c r="AF68" s="111">
        <f t="shared" si="29"/>
        <v>43.035677083333333</v>
      </c>
      <c r="AG68" s="111">
        <f t="shared" si="30"/>
        <v>22.150716145833332</v>
      </c>
      <c r="AH68" s="111">
        <f t="shared" si="31"/>
        <v>23.416471354166667</v>
      </c>
      <c r="AI68" s="111">
        <v>10</v>
      </c>
      <c r="AJ68" s="112">
        <v>5</v>
      </c>
      <c r="AK68" s="113">
        <v>10</v>
      </c>
      <c r="AL68" s="114">
        <f>SUMIFS(Table1[Column1],Table1[Date],'OEE AHV'!$B68,Table1[M/C],'OEE AHV'!$D68,Table1[Case downtime],'OEE AHV'!AL$2)</f>
        <v>0</v>
      </c>
      <c r="AM68" s="114">
        <f>SUMIFS(Table1[Column1],Table1[Date],'OEE AHV'!$B68,Table1[M/C],'OEE AHV'!$D68,Table1[Case downtime],'OEE AHV'!AM$2)</f>
        <v>0</v>
      </c>
      <c r="AN68" s="114">
        <f>SUMIFS(Table1[Column1],Table1[Date],'OEE AHV'!$B68,Table1[M/C],'OEE AHV'!$D68,Table1[Case downtime],'OEE AHV'!AN$2)</f>
        <v>0</v>
      </c>
      <c r="AO68" s="114">
        <f>SUMIFS(Table1[Column1],Table1[Date],'OEE AHV'!$B68,Table1[M/C],'OEE AHV'!$D68,Table1[Case downtime],'OEE AHV'!AO$2)</f>
        <v>0</v>
      </c>
      <c r="AP68" s="114">
        <f>SUMIFS(Table1[Column1],Table1[Date],'OEE AHV'!$B68,Table1[M/C],'OEE AHV'!$D68,Table1[Case downtime],'OEE AHV'!AP$2)</f>
        <v>0</v>
      </c>
      <c r="AQ68" s="114">
        <f>SUMIFS(Table1[Column1],Table1[Date],'OEE AHV'!$B68,Table1[M/C],'OEE AHV'!$D68,Table1[Case downtime],'OEE AHV'!AQ$2)</f>
        <v>0</v>
      </c>
      <c r="AR68" s="114">
        <f>SUMIFS(Table1[Column1],Table1[Date],'OEE AHV'!$B68,Table1[M/C],'OEE AHV'!$D68,Table1[Case downtime],'OEE AHV'!AR$2)</f>
        <v>0</v>
      </c>
      <c r="AS68" s="114">
        <f>SUMIFS(Table1[Column1],Table1[Date],'OEE AHV'!$B68,Table1[M/C],'OEE AHV'!$D68,Table1[Case downtime],'OEE AHV'!AS$2)</f>
        <v>0</v>
      </c>
      <c r="AT68" s="114">
        <f>SUMIFS(Table1[Column1],Table1[Date],'OEE AHV'!$B68,Table1[M/C],'OEE AHV'!$D68,Table1[Case downtime],'OEE AHV'!AT$2)</f>
        <v>0</v>
      </c>
      <c r="AU68" s="114">
        <f>SUMIFS(Table1[Column1],Table1[Date],'OEE AHV'!$B68,Table1[M/C],'OEE AHV'!$D68,Table1[Case downtime],'OEE AHV'!AU$2)</f>
        <v>0</v>
      </c>
      <c r="AV68" s="114">
        <f>SUMIFS(Table1[Column1],Table1[Date],'OEE AHV'!$B68,Table1[M/C],'OEE AHV'!$D68,Table1[Case downtime],'OEE AHV'!AV$2)</f>
        <v>0</v>
      </c>
      <c r="AW68" s="114">
        <f>SUMIFS(Table1[Column1],Table1[Date],'OEE AHV'!$B68,Table1[M/C],'OEE AHV'!$D68,Table1[Case downtime],'OEE AHV'!AW$2)</f>
        <v>0</v>
      </c>
      <c r="AX68" s="183">
        <f>SUMIFS(Table1[Column1],Table1[Date],'OEE AHV'!$B68,Table1[M/C],'OEE AHV'!$D68,Table1[Case downtime],'OEE AHV'!AX$2)</f>
        <v>0</v>
      </c>
    </row>
    <row r="69" spans="2:50" s="115" customFormat="1" ht="30" hidden="1" customHeight="1">
      <c r="B69" s="91">
        <v>46074</v>
      </c>
      <c r="C69" s="92" t="s">
        <v>136</v>
      </c>
      <c r="D69" s="92" t="s">
        <v>122</v>
      </c>
      <c r="E69" s="80">
        <v>4.3</v>
      </c>
      <c r="F69" s="81">
        <v>24</v>
      </c>
      <c r="G69" s="82">
        <f t="shared" si="34"/>
        <v>1440</v>
      </c>
      <c r="H69" s="82">
        <v>0</v>
      </c>
      <c r="I69" s="82">
        <f t="shared" si="22"/>
        <v>1440</v>
      </c>
      <c r="J69" s="82">
        <f t="shared" si="35"/>
        <v>111.27408854166667</v>
      </c>
      <c r="K69" s="83">
        <f t="shared" si="36"/>
        <v>35</v>
      </c>
      <c r="L69" s="82">
        <f t="shared" si="37"/>
        <v>146.27408854166669</v>
      </c>
      <c r="M69" s="84">
        <f t="shared" si="38"/>
        <v>1293.7259114583333</v>
      </c>
      <c r="N69" s="85">
        <v>9720</v>
      </c>
      <c r="O69" s="82"/>
      <c r="P69" s="84">
        <v>9211</v>
      </c>
      <c r="Q69" s="135">
        <f t="shared" si="39"/>
        <v>18931</v>
      </c>
      <c r="R69" s="83">
        <f t="shared" si="40"/>
        <v>2</v>
      </c>
      <c r="S69" s="87">
        <f t="shared" si="41"/>
        <v>18929</v>
      </c>
      <c r="T69" s="88">
        <f t="shared" si="42"/>
        <v>18051.989462209302</v>
      </c>
      <c r="U69" s="89">
        <f t="shared" si="43"/>
        <v>0.89842077184606473</v>
      </c>
      <c r="V69" s="89">
        <f t="shared" si="44"/>
        <v>1.0486932778035822</v>
      </c>
      <c r="W69" s="89">
        <f t="shared" si="45"/>
        <v>0.99989435317732822</v>
      </c>
      <c r="X69" s="90">
        <f t="shared" si="46"/>
        <v>0.94206828703703693</v>
      </c>
      <c r="Y69" s="106"/>
      <c r="Z69" s="120">
        <v>2</v>
      </c>
      <c r="AA69" s="117"/>
      <c r="AB69" s="117"/>
      <c r="AC69" s="117"/>
      <c r="AD69" s="118"/>
      <c r="AE69" s="110">
        <f>Table24[[#This Row],[H. จำนวนชิ้น
งานทั้งหมด
ที่ผลิตได้ 
(Total Count)]]/512*1</f>
        <v>36.974609375</v>
      </c>
      <c r="AF69" s="111">
        <f t="shared" si="29"/>
        <v>41.90455729166667</v>
      </c>
      <c r="AG69" s="111">
        <f t="shared" si="30"/>
        <v>21.568522135416668</v>
      </c>
      <c r="AH69" s="111">
        <f t="shared" si="31"/>
        <v>22.801009114583334</v>
      </c>
      <c r="AI69" s="111">
        <v>10</v>
      </c>
      <c r="AJ69" s="112">
        <v>5</v>
      </c>
      <c r="AK69" s="113">
        <v>10</v>
      </c>
      <c r="AL69" s="114">
        <f>SUMIFS(Table1[Column1],Table1[Date],'OEE AHV'!$B69,Table1[M/C],'OEE AHV'!$D69,Table1[Case downtime],'OEE AHV'!AL$2)</f>
        <v>0</v>
      </c>
      <c r="AM69" s="114">
        <f>SUMIFS(Table1[Column1],Table1[Date],'OEE AHV'!$B69,Table1[M/C],'OEE AHV'!$D69,Table1[Case downtime],'OEE AHV'!AM$2)</f>
        <v>20</v>
      </c>
      <c r="AN69" s="114">
        <f>SUMIFS(Table1[Column1],Table1[Date],'OEE AHV'!$B69,Table1[M/C],'OEE AHV'!$D69,Table1[Case downtime],'OEE AHV'!AN$2)</f>
        <v>0</v>
      </c>
      <c r="AO69" s="114">
        <f>SUMIFS(Table1[Column1],Table1[Date],'OEE AHV'!$B69,Table1[M/C],'OEE AHV'!$D69,Table1[Case downtime],'OEE AHV'!AO$2)</f>
        <v>0</v>
      </c>
      <c r="AP69" s="114">
        <f>SUMIFS(Table1[Column1],Table1[Date],'OEE AHV'!$B69,Table1[M/C],'OEE AHV'!$D69,Table1[Case downtime],'OEE AHV'!AP$2)</f>
        <v>0</v>
      </c>
      <c r="AQ69" s="114">
        <f>SUMIFS(Table1[Column1],Table1[Date],'OEE AHV'!$B69,Table1[M/C],'OEE AHV'!$D69,Table1[Case downtime],'OEE AHV'!AQ$2)</f>
        <v>0</v>
      </c>
      <c r="AR69" s="114">
        <f>SUMIFS(Table1[Column1],Table1[Date],'OEE AHV'!$B69,Table1[M/C],'OEE AHV'!$D69,Table1[Case downtime],'OEE AHV'!AR$2)</f>
        <v>15</v>
      </c>
      <c r="AS69" s="114">
        <f>SUMIFS(Table1[Column1],Table1[Date],'OEE AHV'!$B69,Table1[M/C],'OEE AHV'!$D69,Table1[Case downtime],'OEE AHV'!AS$2)</f>
        <v>0</v>
      </c>
      <c r="AT69" s="114">
        <f>SUMIFS(Table1[Column1],Table1[Date],'OEE AHV'!$B69,Table1[M/C],'OEE AHV'!$D69,Table1[Case downtime],'OEE AHV'!AT$2)</f>
        <v>0</v>
      </c>
      <c r="AU69" s="114">
        <f>SUMIFS(Table1[Column1],Table1[Date],'OEE AHV'!$B69,Table1[M/C],'OEE AHV'!$D69,Table1[Case downtime],'OEE AHV'!AU$2)</f>
        <v>0</v>
      </c>
      <c r="AV69" s="114">
        <f>SUMIFS(Table1[Column1],Table1[Date],'OEE AHV'!$B69,Table1[M/C],'OEE AHV'!$D69,Table1[Case downtime],'OEE AHV'!AV$2)</f>
        <v>0</v>
      </c>
      <c r="AW69" s="114">
        <f>SUMIFS(Table1[Column1],Table1[Date],'OEE AHV'!$B69,Table1[M/C],'OEE AHV'!$D69,Table1[Case downtime],'OEE AHV'!AW$2)</f>
        <v>0</v>
      </c>
      <c r="AX69" s="183">
        <f>SUMIFS(Table1[Column1],Table1[Date],'OEE AHV'!$B69,Table1[M/C],'OEE AHV'!$D69,Table1[Case downtime],'OEE AHV'!AX$2)</f>
        <v>0</v>
      </c>
    </row>
    <row r="70" spans="2:50" s="115" customFormat="1" ht="30" hidden="1" customHeight="1">
      <c r="B70" s="91">
        <v>46076</v>
      </c>
      <c r="C70" s="92" t="s">
        <v>136</v>
      </c>
      <c r="D70" s="92" t="s">
        <v>122</v>
      </c>
      <c r="E70" s="80">
        <v>4.3</v>
      </c>
      <c r="F70" s="81">
        <v>24</v>
      </c>
      <c r="G70" s="82">
        <f t="shared" si="34"/>
        <v>1440</v>
      </c>
      <c r="H70" s="82">
        <v>0</v>
      </c>
      <c r="I70" s="82">
        <f t="shared" si="22"/>
        <v>1440</v>
      </c>
      <c r="J70" s="82">
        <f t="shared" si="35"/>
        <v>101.92252604166667</v>
      </c>
      <c r="K70" s="83">
        <f t="shared" si="36"/>
        <v>228</v>
      </c>
      <c r="L70" s="82">
        <f t="shared" si="37"/>
        <v>329.92252604166669</v>
      </c>
      <c r="M70" s="84">
        <f t="shared" si="38"/>
        <v>1110.0774739583333</v>
      </c>
      <c r="N70" s="85">
        <v>8181</v>
      </c>
      <c r="O70" s="82"/>
      <c r="P70" s="84">
        <v>8698</v>
      </c>
      <c r="Q70" s="135">
        <f t="shared" si="39"/>
        <v>16879</v>
      </c>
      <c r="R70" s="83">
        <f t="shared" si="40"/>
        <v>14</v>
      </c>
      <c r="S70" s="87">
        <f t="shared" si="41"/>
        <v>16865</v>
      </c>
      <c r="T70" s="88">
        <f t="shared" si="42"/>
        <v>15489.453125</v>
      </c>
      <c r="U70" s="89">
        <f t="shared" si="43"/>
        <v>0.77088713469328696</v>
      </c>
      <c r="V70" s="89">
        <f t="shared" si="44"/>
        <v>1.0897092275489875</v>
      </c>
      <c r="W70" s="89">
        <f t="shared" si="45"/>
        <v>0.99917056697671658</v>
      </c>
      <c r="X70" s="90">
        <f t="shared" si="46"/>
        <v>0.83934606481481466</v>
      </c>
      <c r="Y70" s="106"/>
      <c r="Z70" s="120">
        <v>14</v>
      </c>
      <c r="AA70" s="117"/>
      <c r="AB70" s="117"/>
      <c r="AC70" s="117"/>
      <c r="AD70" s="118"/>
      <c r="AE70" s="110">
        <f>Table24[[#This Row],[H. จำนวนชิ้น
งานทั้งหมด
ที่ผลิตได้ 
(Total Count)]]/512*1</f>
        <v>32.966796875</v>
      </c>
      <c r="AF70" s="111">
        <f t="shared" si="29"/>
        <v>37.362369791666666</v>
      </c>
      <c r="AG70" s="111">
        <f t="shared" si="30"/>
        <v>19.230631510416668</v>
      </c>
      <c r="AH70" s="111">
        <f t="shared" si="31"/>
        <v>20.329524739583334</v>
      </c>
      <c r="AI70" s="111">
        <v>10</v>
      </c>
      <c r="AJ70" s="112">
        <v>5</v>
      </c>
      <c r="AK70" s="113">
        <v>10</v>
      </c>
      <c r="AL70" s="114">
        <f>SUMIFS(Table1[Column1],Table1[Date],'OEE AHV'!$B70,Table1[M/C],'OEE AHV'!$D70,Table1[Case downtime],'OEE AHV'!AL$2)</f>
        <v>90</v>
      </c>
      <c r="AM70" s="114">
        <f>SUMIFS(Table1[Column1],Table1[Date],'OEE AHV'!$B70,Table1[M/C],'OEE AHV'!$D70,Table1[Case downtime],'OEE AHV'!AM$2)</f>
        <v>3</v>
      </c>
      <c r="AN70" s="114">
        <f>SUMIFS(Table1[Column1],Table1[Date],'OEE AHV'!$B70,Table1[M/C],'OEE AHV'!$D70,Table1[Case downtime],'OEE AHV'!AN$2)</f>
        <v>0</v>
      </c>
      <c r="AO70" s="114">
        <f>SUMIFS(Table1[Column1],Table1[Date],'OEE AHV'!$B70,Table1[M/C],'OEE AHV'!$D70,Table1[Case downtime],'OEE AHV'!AO$2)</f>
        <v>0</v>
      </c>
      <c r="AP70" s="114">
        <f>SUMIFS(Table1[Column1],Table1[Date],'OEE AHV'!$B70,Table1[M/C],'OEE AHV'!$D70,Table1[Case downtime],'OEE AHV'!AP$2)</f>
        <v>0</v>
      </c>
      <c r="AQ70" s="114">
        <f>SUMIFS(Table1[Column1],Table1[Date],'OEE AHV'!$B70,Table1[M/C],'OEE AHV'!$D70,Table1[Case downtime],'OEE AHV'!AQ$2)</f>
        <v>0</v>
      </c>
      <c r="AR70" s="114">
        <f>SUMIFS(Table1[Column1],Table1[Date],'OEE AHV'!$B70,Table1[M/C],'OEE AHV'!$D70,Table1[Case downtime],'OEE AHV'!AR$2)</f>
        <v>0</v>
      </c>
      <c r="AS70" s="114">
        <f>SUMIFS(Table1[Column1],Table1[Date],'OEE AHV'!$B70,Table1[M/C],'OEE AHV'!$D70,Table1[Case downtime],'OEE AHV'!AS$2)</f>
        <v>0</v>
      </c>
      <c r="AT70" s="114">
        <f>SUMIFS(Table1[Column1],Table1[Date],'OEE AHV'!$B70,Table1[M/C],'OEE AHV'!$D70,Table1[Case downtime],'OEE AHV'!AT$2)</f>
        <v>0</v>
      </c>
      <c r="AU70" s="114">
        <f>SUMIFS(Table1[Column1],Table1[Date],'OEE AHV'!$B70,Table1[M/C],'OEE AHV'!$D70,Table1[Case downtime],'OEE AHV'!AU$2)</f>
        <v>0</v>
      </c>
      <c r="AV70" s="114">
        <f>SUMIFS(Table1[Column1],Table1[Date],'OEE AHV'!$B70,Table1[M/C],'OEE AHV'!$D70,Table1[Case downtime],'OEE AHV'!AV$2)</f>
        <v>135</v>
      </c>
      <c r="AW70" s="114">
        <f>SUMIFS(Table1[Column1],Table1[Date],'OEE AHV'!$B70,Table1[M/C],'OEE AHV'!$D70,Table1[Case downtime],'OEE AHV'!AW$2)</f>
        <v>0</v>
      </c>
      <c r="AX70" s="183">
        <f>SUMIFS(Table1[Column1],Table1[Date],'OEE AHV'!$B70,Table1[M/C],'OEE AHV'!$D70,Table1[Case downtime],'OEE AHV'!AX$2)</f>
        <v>0</v>
      </c>
    </row>
    <row r="71" spans="2:50" s="115" customFormat="1" ht="30" hidden="1" customHeight="1">
      <c r="B71" s="91">
        <v>46077</v>
      </c>
      <c r="C71" s="92" t="s">
        <v>136</v>
      </c>
      <c r="D71" s="92" t="s">
        <v>122</v>
      </c>
      <c r="E71" s="80">
        <v>4.3</v>
      </c>
      <c r="F71" s="81">
        <v>24</v>
      </c>
      <c r="G71" s="82">
        <f t="shared" si="34"/>
        <v>1440</v>
      </c>
      <c r="H71" s="82">
        <v>0</v>
      </c>
      <c r="I71" s="82">
        <f t="shared" si="22"/>
        <v>1440</v>
      </c>
      <c r="J71" s="82">
        <f t="shared" si="35"/>
        <v>106.56640625</v>
      </c>
      <c r="K71" s="83">
        <f t="shared" si="36"/>
        <v>104</v>
      </c>
      <c r="L71" s="82">
        <f t="shared" si="37"/>
        <v>210.56640625</v>
      </c>
      <c r="M71" s="84">
        <f t="shared" si="38"/>
        <v>1229.43359375</v>
      </c>
      <c r="N71" s="85">
        <v>8186</v>
      </c>
      <c r="O71" s="82"/>
      <c r="P71" s="84">
        <v>9712</v>
      </c>
      <c r="Q71" s="135">
        <f t="shared" si="39"/>
        <v>17898</v>
      </c>
      <c r="R71" s="83">
        <f t="shared" si="40"/>
        <v>5</v>
      </c>
      <c r="S71" s="87">
        <f t="shared" si="41"/>
        <v>17893</v>
      </c>
      <c r="T71" s="88">
        <f t="shared" si="42"/>
        <v>17154.887354651164</v>
      </c>
      <c r="U71" s="89">
        <f t="shared" si="43"/>
        <v>0.85377332899305558</v>
      </c>
      <c r="V71" s="89">
        <f t="shared" si="44"/>
        <v>1.0433178388167823</v>
      </c>
      <c r="W71" s="89">
        <f t="shared" si="45"/>
        <v>0.99972063917756171</v>
      </c>
      <c r="X71" s="90">
        <f t="shared" si="46"/>
        <v>0.89050810185185181</v>
      </c>
      <c r="Y71" s="106"/>
      <c r="Z71" s="120">
        <v>5</v>
      </c>
      <c r="AA71" s="117"/>
      <c r="AB71" s="117"/>
      <c r="AC71" s="117"/>
      <c r="AD71" s="118"/>
      <c r="AE71" s="110">
        <f>Table24[[#This Row],[H. จำนวนชิ้น
งานทั้งหมด
ที่ผลิตได้ 
(Total Count)]]/512*1</f>
        <v>34.95703125</v>
      </c>
      <c r="AF71" s="111">
        <f t="shared" si="29"/>
        <v>39.617968750000003</v>
      </c>
      <c r="AG71" s="111">
        <f t="shared" si="30"/>
        <v>20.3916015625</v>
      </c>
      <c r="AH71" s="111">
        <f t="shared" si="31"/>
        <v>21.556835937500001</v>
      </c>
      <c r="AI71" s="111">
        <v>10</v>
      </c>
      <c r="AJ71" s="112">
        <v>5</v>
      </c>
      <c r="AK71" s="113">
        <v>10</v>
      </c>
      <c r="AL71" s="114">
        <f>SUMIFS(Table1[Column1],Table1[Date],'OEE AHV'!$B71,Table1[M/C],'OEE AHV'!$D71,Table1[Case downtime],'OEE AHV'!AL$2)</f>
        <v>0</v>
      </c>
      <c r="AM71" s="114">
        <f>SUMIFS(Table1[Column1],Table1[Date],'OEE AHV'!$B71,Table1[M/C],'OEE AHV'!$D71,Table1[Case downtime],'OEE AHV'!AM$2)</f>
        <v>0</v>
      </c>
      <c r="AN71" s="114">
        <f>SUMIFS(Table1[Column1],Table1[Date],'OEE AHV'!$B71,Table1[M/C],'OEE AHV'!$D71,Table1[Case downtime],'OEE AHV'!AN$2)</f>
        <v>0</v>
      </c>
      <c r="AO71" s="114">
        <f>SUMIFS(Table1[Column1],Table1[Date],'OEE AHV'!$B71,Table1[M/C],'OEE AHV'!$D71,Table1[Case downtime],'OEE AHV'!AO$2)</f>
        <v>0</v>
      </c>
      <c r="AP71" s="114">
        <f>SUMIFS(Table1[Column1],Table1[Date],'OEE AHV'!$B71,Table1[M/C],'OEE AHV'!$D71,Table1[Case downtime],'OEE AHV'!AP$2)</f>
        <v>0</v>
      </c>
      <c r="AQ71" s="114">
        <f>SUMIFS(Table1[Column1],Table1[Date],'OEE AHV'!$B71,Table1[M/C],'OEE AHV'!$D71,Table1[Case downtime],'OEE AHV'!AQ$2)</f>
        <v>0</v>
      </c>
      <c r="AR71" s="114">
        <f>SUMIFS(Table1[Column1],Table1[Date],'OEE AHV'!$B71,Table1[M/C],'OEE AHV'!$D71,Table1[Case downtime],'OEE AHV'!AR$2)</f>
        <v>0</v>
      </c>
      <c r="AS71" s="114">
        <f>SUMIFS(Table1[Column1],Table1[Date],'OEE AHV'!$B71,Table1[M/C],'OEE AHV'!$D71,Table1[Case downtime],'OEE AHV'!AS$2)</f>
        <v>0</v>
      </c>
      <c r="AT71" s="114">
        <f>SUMIFS(Table1[Column1],Table1[Date],'OEE AHV'!$B71,Table1[M/C],'OEE AHV'!$D71,Table1[Case downtime],'OEE AHV'!AT$2)</f>
        <v>0</v>
      </c>
      <c r="AU71" s="114">
        <f>SUMIFS(Table1[Column1],Table1[Date],'OEE AHV'!$B71,Table1[M/C],'OEE AHV'!$D71,Table1[Case downtime],'OEE AHV'!AU$2)</f>
        <v>0</v>
      </c>
      <c r="AV71" s="114">
        <f>SUMIFS(Table1[Column1],Table1[Date],'OEE AHV'!$B71,Table1[M/C],'OEE AHV'!$D71,Table1[Case downtime],'OEE AHV'!AV$2)</f>
        <v>104</v>
      </c>
      <c r="AW71" s="114">
        <f>SUMIFS(Table1[Column1],Table1[Date],'OEE AHV'!$B71,Table1[M/C],'OEE AHV'!$D71,Table1[Case downtime],'OEE AHV'!AW$2)</f>
        <v>0</v>
      </c>
      <c r="AX71" s="183">
        <f>SUMIFS(Table1[Column1],Table1[Date],'OEE AHV'!$B71,Table1[M/C],'OEE AHV'!$D71,Table1[Case downtime],'OEE AHV'!AX$2)</f>
        <v>0</v>
      </c>
    </row>
    <row r="72" spans="2:50" s="115" customFormat="1" ht="30" hidden="1" customHeight="1">
      <c r="B72" s="91">
        <v>46078</v>
      </c>
      <c r="C72" s="92" t="s">
        <v>136</v>
      </c>
      <c r="D72" s="92" t="s">
        <v>122</v>
      </c>
      <c r="E72" s="80">
        <v>4.3</v>
      </c>
      <c r="F72" s="81">
        <v>24</v>
      </c>
      <c r="G72" s="82">
        <f t="shared" si="34"/>
        <v>1440</v>
      </c>
      <c r="H72" s="82">
        <v>0</v>
      </c>
      <c r="I72" s="82">
        <f t="shared" si="22"/>
        <v>1440</v>
      </c>
      <c r="J72" s="82">
        <f t="shared" si="35"/>
        <v>113.552734375</v>
      </c>
      <c r="K72" s="83">
        <f t="shared" si="36"/>
        <v>0</v>
      </c>
      <c r="L72" s="82">
        <f t="shared" si="37"/>
        <v>113.552734375</v>
      </c>
      <c r="M72" s="84">
        <f t="shared" si="38"/>
        <v>1326.447265625</v>
      </c>
      <c r="N72" s="85">
        <v>9721</v>
      </c>
      <c r="O72" s="82"/>
      <c r="P72" s="84">
        <v>9710</v>
      </c>
      <c r="Q72" s="135">
        <f t="shared" si="39"/>
        <v>19431</v>
      </c>
      <c r="R72" s="83">
        <f t="shared" si="40"/>
        <v>8</v>
      </c>
      <c r="S72" s="87">
        <f t="shared" si="41"/>
        <v>19423</v>
      </c>
      <c r="T72" s="88">
        <f t="shared" si="42"/>
        <v>18508.566497093023</v>
      </c>
      <c r="U72" s="89">
        <f t="shared" si="43"/>
        <v>0.92114393446180554</v>
      </c>
      <c r="V72" s="89">
        <f t="shared" si="44"/>
        <v>1.0498381926580784</v>
      </c>
      <c r="W72" s="89">
        <f t="shared" si="45"/>
        <v>0.99958828675827283</v>
      </c>
      <c r="X72" s="90">
        <f t="shared" si="46"/>
        <v>0.96665393518518516</v>
      </c>
      <c r="Y72" s="106"/>
      <c r="Z72" s="120">
        <v>8</v>
      </c>
      <c r="AA72" s="117"/>
      <c r="AB72" s="117"/>
      <c r="AC72" s="117"/>
      <c r="AD72" s="118"/>
      <c r="AE72" s="110">
        <f>Table24[[#This Row],[H. จำนวนชิ้น
งานทั้งหมด
ที่ผลิตได้ 
(Total Count)]]/512*1</f>
        <v>37.951171875</v>
      </c>
      <c r="AF72" s="111">
        <f t="shared" si="29"/>
        <v>43.011328124999999</v>
      </c>
      <c r="AG72" s="111">
        <f t="shared" si="30"/>
        <v>22.13818359375</v>
      </c>
      <c r="AH72" s="111">
        <f t="shared" si="31"/>
        <v>23.403222656250001</v>
      </c>
      <c r="AI72" s="111">
        <v>10</v>
      </c>
      <c r="AJ72" s="112">
        <v>5</v>
      </c>
      <c r="AK72" s="113">
        <v>10</v>
      </c>
      <c r="AL72" s="114">
        <f>SUMIFS(Table1[Column1],Table1[Date],'OEE AHV'!$B72,Table1[M/C],'OEE AHV'!$D72,Table1[Case downtime],'OEE AHV'!AL$2)</f>
        <v>0</v>
      </c>
      <c r="AM72" s="114">
        <f>SUMIFS(Table1[Column1],Table1[Date],'OEE AHV'!$B72,Table1[M/C],'OEE AHV'!$D72,Table1[Case downtime],'OEE AHV'!AM$2)</f>
        <v>0</v>
      </c>
      <c r="AN72" s="114">
        <f>SUMIFS(Table1[Column1],Table1[Date],'OEE AHV'!$B72,Table1[M/C],'OEE AHV'!$D72,Table1[Case downtime],'OEE AHV'!AN$2)</f>
        <v>0</v>
      </c>
      <c r="AO72" s="114">
        <f>SUMIFS(Table1[Column1],Table1[Date],'OEE AHV'!$B72,Table1[M/C],'OEE AHV'!$D72,Table1[Case downtime],'OEE AHV'!AO$2)</f>
        <v>0</v>
      </c>
      <c r="AP72" s="114">
        <f>SUMIFS(Table1[Column1],Table1[Date],'OEE AHV'!$B72,Table1[M/C],'OEE AHV'!$D72,Table1[Case downtime],'OEE AHV'!AP$2)</f>
        <v>0</v>
      </c>
      <c r="AQ72" s="114">
        <f>SUMIFS(Table1[Column1],Table1[Date],'OEE AHV'!$B72,Table1[M/C],'OEE AHV'!$D72,Table1[Case downtime],'OEE AHV'!AQ$2)</f>
        <v>0</v>
      </c>
      <c r="AR72" s="114">
        <f>SUMIFS(Table1[Column1],Table1[Date],'OEE AHV'!$B72,Table1[M/C],'OEE AHV'!$D72,Table1[Case downtime],'OEE AHV'!AR$2)</f>
        <v>0</v>
      </c>
      <c r="AS72" s="114">
        <f>SUMIFS(Table1[Column1],Table1[Date],'OEE AHV'!$B72,Table1[M/C],'OEE AHV'!$D72,Table1[Case downtime],'OEE AHV'!AS$2)</f>
        <v>0</v>
      </c>
      <c r="AT72" s="114">
        <f>SUMIFS(Table1[Column1],Table1[Date],'OEE AHV'!$B72,Table1[M/C],'OEE AHV'!$D72,Table1[Case downtime],'OEE AHV'!AT$2)</f>
        <v>0</v>
      </c>
      <c r="AU72" s="114">
        <f>SUMIFS(Table1[Column1],Table1[Date],'OEE AHV'!$B72,Table1[M/C],'OEE AHV'!$D72,Table1[Case downtime],'OEE AHV'!AU$2)</f>
        <v>0</v>
      </c>
      <c r="AV72" s="114">
        <f>SUMIFS(Table1[Column1],Table1[Date],'OEE AHV'!$B72,Table1[M/C],'OEE AHV'!$D72,Table1[Case downtime],'OEE AHV'!AV$2)</f>
        <v>0</v>
      </c>
      <c r="AW72" s="114">
        <f>SUMIFS(Table1[Column1],Table1[Date],'OEE AHV'!$B72,Table1[M/C],'OEE AHV'!$D72,Table1[Case downtime],'OEE AHV'!AW$2)</f>
        <v>0</v>
      </c>
      <c r="AX72" s="183">
        <f>SUMIFS(Table1[Column1],Table1[Date],'OEE AHV'!$B72,Table1[M/C],'OEE AHV'!$D72,Table1[Case downtime],'OEE AHV'!AX$2)</f>
        <v>0</v>
      </c>
    </row>
    <row r="73" spans="2:50" s="115" customFormat="1" ht="30" hidden="1" customHeight="1">
      <c r="B73" s="91">
        <v>46079</v>
      </c>
      <c r="C73" s="92" t="s">
        <v>136</v>
      </c>
      <c r="D73" s="92" t="s">
        <v>122</v>
      </c>
      <c r="E73" s="80">
        <v>4.3</v>
      </c>
      <c r="F73" s="81">
        <v>24</v>
      </c>
      <c r="G73" s="82">
        <f t="shared" si="34"/>
        <v>1440</v>
      </c>
      <c r="H73" s="82">
        <v>0</v>
      </c>
      <c r="I73" s="82">
        <f t="shared" si="22"/>
        <v>1440</v>
      </c>
      <c r="J73" s="82">
        <f t="shared" si="35"/>
        <v>111.23763020833333</v>
      </c>
      <c r="K73" s="83">
        <f t="shared" si="36"/>
        <v>49</v>
      </c>
      <c r="L73" s="82">
        <f t="shared" si="37"/>
        <v>160.23763020833331</v>
      </c>
      <c r="M73" s="84">
        <f t="shared" si="38"/>
        <v>1279.7623697916667</v>
      </c>
      <c r="N73" s="85">
        <v>9210</v>
      </c>
      <c r="O73" s="82"/>
      <c r="P73" s="84">
        <v>9713</v>
      </c>
      <c r="Q73" s="135">
        <f t="shared" si="39"/>
        <v>18923</v>
      </c>
      <c r="R73" s="83">
        <f t="shared" si="40"/>
        <v>8</v>
      </c>
      <c r="S73" s="87">
        <f t="shared" si="41"/>
        <v>18915</v>
      </c>
      <c r="T73" s="88">
        <f t="shared" si="42"/>
        <v>17857.149345930233</v>
      </c>
      <c r="U73" s="89">
        <f t="shared" si="43"/>
        <v>0.88872386791087965</v>
      </c>
      <c r="V73" s="89">
        <f t="shared" si="44"/>
        <v>1.0596876149390935</v>
      </c>
      <c r="W73" s="89">
        <f t="shared" si="45"/>
        <v>0.99957723405379695</v>
      </c>
      <c r="X73" s="90">
        <f t="shared" si="46"/>
        <v>0.94137152777777777</v>
      </c>
      <c r="Y73" s="106"/>
      <c r="Z73" s="120">
        <v>8</v>
      </c>
      <c r="AA73" s="117"/>
      <c r="AB73" s="117"/>
      <c r="AC73" s="117"/>
      <c r="AD73" s="118"/>
      <c r="AE73" s="110">
        <f>Table24[[#This Row],[H. จำนวนชิ้น
งานทั้งหมด
ที่ผลิตได้ 
(Total Count)]]/512*1</f>
        <v>36.958984375</v>
      </c>
      <c r="AF73" s="111">
        <f t="shared" si="29"/>
        <v>41.886848958333331</v>
      </c>
      <c r="AG73" s="111">
        <f t="shared" si="30"/>
        <v>21.559407552083332</v>
      </c>
      <c r="AH73" s="111">
        <f t="shared" si="31"/>
        <v>22.791373697916665</v>
      </c>
      <c r="AI73" s="111">
        <v>10</v>
      </c>
      <c r="AJ73" s="112">
        <v>5</v>
      </c>
      <c r="AK73" s="113">
        <v>10</v>
      </c>
      <c r="AL73" s="114">
        <f>SUMIFS(Table1[Column1],Table1[Date],'OEE AHV'!$B73,Table1[M/C],'OEE AHV'!$D73,Table1[Case downtime],'OEE AHV'!AL$2)</f>
        <v>0</v>
      </c>
      <c r="AM73" s="114">
        <f>SUMIFS(Table1[Column1],Table1[Date],'OEE AHV'!$B73,Table1[M/C],'OEE AHV'!$D73,Table1[Case downtime],'OEE AHV'!AM$2)</f>
        <v>7</v>
      </c>
      <c r="AN73" s="114">
        <f>SUMIFS(Table1[Column1],Table1[Date],'OEE AHV'!$B73,Table1[M/C],'OEE AHV'!$D73,Table1[Case downtime],'OEE AHV'!AN$2)</f>
        <v>0</v>
      </c>
      <c r="AO73" s="114">
        <f>SUMIFS(Table1[Column1],Table1[Date],'OEE AHV'!$B73,Table1[M/C],'OEE AHV'!$D73,Table1[Case downtime],'OEE AHV'!AO$2)</f>
        <v>0</v>
      </c>
      <c r="AP73" s="114">
        <f>SUMIFS(Table1[Column1],Table1[Date],'OEE AHV'!$B73,Table1[M/C],'OEE AHV'!$D73,Table1[Case downtime],'OEE AHV'!AP$2)</f>
        <v>0</v>
      </c>
      <c r="AQ73" s="114">
        <f>SUMIFS(Table1[Column1],Table1[Date],'OEE AHV'!$B73,Table1[M/C],'OEE AHV'!$D73,Table1[Case downtime],'OEE AHV'!AQ$2)</f>
        <v>0</v>
      </c>
      <c r="AR73" s="114">
        <f>SUMIFS(Table1[Column1],Table1[Date],'OEE AHV'!$B73,Table1[M/C],'OEE AHV'!$D73,Table1[Case downtime],'OEE AHV'!AR$2)</f>
        <v>0</v>
      </c>
      <c r="AS73" s="114">
        <f>SUMIFS(Table1[Column1],Table1[Date],'OEE AHV'!$B73,Table1[M/C],'OEE AHV'!$D73,Table1[Case downtime],'OEE AHV'!AS$2)</f>
        <v>0</v>
      </c>
      <c r="AT73" s="114">
        <f>SUMIFS(Table1[Column1],Table1[Date],'OEE AHV'!$B73,Table1[M/C],'OEE AHV'!$D73,Table1[Case downtime],'OEE AHV'!AT$2)</f>
        <v>0</v>
      </c>
      <c r="AU73" s="114">
        <f>SUMIFS(Table1[Column1],Table1[Date],'OEE AHV'!$B73,Table1[M/C],'OEE AHV'!$D73,Table1[Case downtime],'OEE AHV'!AU$2)</f>
        <v>0</v>
      </c>
      <c r="AV73" s="114">
        <f>SUMIFS(Table1[Column1],Table1[Date],'OEE AHV'!$B73,Table1[M/C],'OEE AHV'!$D73,Table1[Case downtime],'OEE AHV'!AV$2)</f>
        <v>42</v>
      </c>
      <c r="AW73" s="114">
        <f>SUMIFS(Table1[Column1],Table1[Date],'OEE AHV'!$B73,Table1[M/C],'OEE AHV'!$D73,Table1[Case downtime],'OEE AHV'!AW$2)</f>
        <v>0</v>
      </c>
      <c r="AX73" s="183">
        <f>SUMIFS(Table1[Column1],Table1[Date],'OEE AHV'!$B73,Table1[M/C],'OEE AHV'!$D73,Table1[Case downtime],'OEE AHV'!AX$2)</f>
        <v>0</v>
      </c>
    </row>
    <row r="74" spans="2:50" s="115" customFormat="1" ht="30" hidden="1" customHeight="1">
      <c r="B74" s="91">
        <v>46080</v>
      </c>
      <c r="C74" s="92" t="s">
        <v>136</v>
      </c>
      <c r="D74" s="92" t="s">
        <v>122</v>
      </c>
      <c r="E74" s="80">
        <v>4.3</v>
      </c>
      <c r="F74" s="81">
        <v>24</v>
      </c>
      <c r="G74" s="82">
        <f t="shared" si="34"/>
        <v>1440</v>
      </c>
      <c r="H74" s="82">
        <v>0</v>
      </c>
      <c r="I74" s="82">
        <f t="shared" si="22"/>
        <v>1440</v>
      </c>
      <c r="J74" s="82">
        <f t="shared" si="35"/>
        <v>113.580078125</v>
      </c>
      <c r="K74" s="83">
        <f t="shared" si="36"/>
        <v>0</v>
      </c>
      <c r="L74" s="82">
        <f t="shared" si="37"/>
        <v>113.580078125</v>
      </c>
      <c r="M74" s="84">
        <f t="shared" si="38"/>
        <v>1326.419921875</v>
      </c>
      <c r="N74" s="85">
        <v>9717</v>
      </c>
      <c r="O74" s="82"/>
      <c r="P74" s="84">
        <v>9720</v>
      </c>
      <c r="Q74" s="135">
        <f t="shared" si="39"/>
        <v>19437</v>
      </c>
      <c r="R74" s="83">
        <f t="shared" si="40"/>
        <v>1</v>
      </c>
      <c r="S74" s="87">
        <f t="shared" si="41"/>
        <v>19436</v>
      </c>
      <c r="T74" s="88">
        <f t="shared" si="42"/>
        <v>18508.184956395351</v>
      </c>
      <c r="U74" s="89">
        <f t="shared" si="43"/>
        <v>0.92112494574652781</v>
      </c>
      <c r="V74" s="89">
        <f t="shared" si="44"/>
        <v>1.0501840156553928</v>
      </c>
      <c r="W74" s="89">
        <f t="shared" si="45"/>
        <v>0.9999485517312342</v>
      </c>
      <c r="X74" s="90">
        <f t="shared" si="46"/>
        <v>0.96730092592592576</v>
      </c>
      <c r="Y74" s="106"/>
      <c r="Z74" s="120">
        <v>1</v>
      </c>
      <c r="AA74" s="117"/>
      <c r="AB74" s="117"/>
      <c r="AC74" s="117"/>
      <c r="AD74" s="118"/>
      <c r="AE74" s="110">
        <f>Table24[[#This Row],[H. จำนวนชิ้น
งานทั้งหมด
ที่ผลิตได้ 
(Total Count)]]/512*1</f>
        <v>37.962890625</v>
      </c>
      <c r="AF74" s="111">
        <f t="shared" si="29"/>
        <v>43.024609374999997</v>
      </c>
      <c r="AG74" s="111">
        <f t="shared" si="30"/>
        <v>22.14501953125</v>
      </c>
      <c r="AH74" s="111">
        <f t="shared" si="31"/>
        <v>23.410449218749999</v>
      </c>
      <c r="AI74" s="111">
        <v>10</v>
      </c>
      <c r="AJ74" s="112">
        <v>5</v>
      </c>
      <c r="AK74" s="113">
        <v>10</v>
      </c>
      <c r="AL74" s="114">
        <f>SUMIFS(Table1[Column1],Table1[Date],'OEE AHV'!$B74,Table1[M/C],'OEE AHV'!$D74,Table1[Case downtime],'OEE AHV'!AL$2)</f>
        <v>0</v>
      </c>
      <c r="AM74" s="114">
        <f>SUMIFS(Table1[Column1],Table1[Date],'OEE AHV'!$B74,Table1[M/C],'OEE AHV'!$D74,Table1[Case downtime],'OEE AHV'!AM$2)</f>
        <v>0</v>
      </c>
      <c r="AN74" s="114">
        <f>SUMIFS(Table1[Column1],Table1[Date],'OEE AHV'!$B74,Table1[M/C],'OEE AHV'!$D74,Table1[Case downtime],'OEE AHV'!AN$2)</f>
        <v>0</v>
      </c>
      <c r="AO74" s="114">
        <f>SUMIFS(Table1[Column1],Table1[Date],'OEE AHV'!$B74,Table1[M/C],'OEE AHV'!$D74,Table1[Case downtime],'OEE AHV'!AO$2)</f>
        <v>0</v>
      </c>
      <c r="AP74" s="114">
        <f>SUMIFS(Table1[Column1],Table1[Date],'OEE AHV'!$B74,Table1[M/C],'OEE AHV'!$D74,Table1[Case downtime],'OEE AHV'!AP$2)</f>
        <v>0</v>
      </c>
      <c r="AQ74" s="114">
        <f>SUMIFS(Table1[Column1],Table1[Date],'OEE AHV'!$B74,Table1[M/C],'OEE AHV'!$D74,Table1[Case downtime],'OEE AHV'!AQ$2)</f>
        <v>0</v>
      </c>
      <c r="AR74" s="114">
        <f>SUMIFS(Table1[Column1],Table1[Date],'OEE AHV'!$B74,Table1[M/C],'OEE AHV'!$D74,Table1[Case downtime],'OEE AHV'!AR$2)</f>
        <v>0</v>
      </c>
      <c r="AS74" s="114">
        <f>SUMIFS(Table1[Column1],Table1[Date],'OEE AHV'!$B74,Table1[M/C],'OEE AHV'!$D74,Table1[Case downtime],'OEE AHV'!AS$2)</f>
        <v>0</v>
      </c>
      <c r="AT74" s="114">
        <f>SUMIFS(Table1[Column1],Table1[Date],'OEE AHV'!$B74,Table1[M/C],'OEE AHV'!$D74,Table1[Case downtime],'OEE AHV'!AT$2)</f>
        <v>0</v>
      </c>
      <c r="AU74" s="114">
        <f>SUMIFS(Table1[Column1],Table1[Date],'OEE AHV'!$B74,Table1[M/C],'OEE AHV'!$D74,Table1[Case downtime],'OEE AHV'!AU$2)</f>
        <v>0</v>
      </c>
      <c r="AV74" s="114">
        <f>SUMIFS(Table1[Column1],Table1[Date],'OEE AHV'!$B74,Table1[M/C],'OEE AHV'!$D74,Table1[Case downtime],'OEE AHV'!AV$2)</f>
        <v>0</v>
      </c>
      <c r="AW74" s="114">
        <f>SUMIFS(Table1[Column1],Table1[Date],'OEE AHV'!$B74,Table1[M/C],'OEE AHV'!$D74,Table1[Case downtime],'OEE AHV'!AW$2)</f>
        <v>0</v>
      </c>
      <c r="AX74" s="183">
        <f>SUMIFS(Table1[Column1],Table1[Date],'OEE AHV'!$B74,Table1[M/C],'OEE AHV'!$D74,Table1[Case downtime],'OEE AHV'!AX$2)</f>
        <v>0</v>
      </c>
    </row>
    <row r="75" spans="2:50" s="115" customFormat="1" ht="30" hidden="1" customHeight="1">
      <c r="B75" s="91">
        <v>46055</v>
      </c>
      <c r="C75" s="92" t="s">
        <v>136</v>
      </c>
      <c r="D75" s="92" t="s">
        <v>123</v>
      </c>
      <c r="E75" s="80">
        <v>4.3</v>
      </c>
      <c r="F75" s="81">
        <v>24</v>
      </c>
      <c r="G75" s="82">
        <f t="shared" si="34"/>
        <v>1440</v>
      </c>
      <c r="H75" s="82">
        <v>0</v>
      </c>
      <c r="I75" s="82">
        <f t="shared" si="22"/>
        <v>1440</v>
      </c>
      <c r="J75" s="82">
        <f t="shared" si="35"/>
        <v>97.278645833333343</v>
      </c>
      <c r="K75" s="83">
        <f t="shared" si="36"/>
        <v>202</v>
      </c>
      <c r="L75" s="82">
        <f t="shared" si="37"/>
        <v>299.27864583333337</v>
      </c>
      <c r="M75" s="84">
        <f t="shared" si="38"/>
        <v>1140.7213541666665</v>
      </c>
      <c r="N75" s="85">
        <v>6648</v>
      </c>
      <c r="O75" s="82"/>
      <c r="P75" s="84">
        <v>9212</v>
      </c>
      <c r="Q75" s="135">
        <f t="shared" si="39"/>
        <v>15860</v>
      </c>
      <c r="R75" s="83">
        <f t="shared" si="40"/>
        <v>0</v>
      </c>
      <c r="S75" s="87">
        <f t="shared" si="41"/>
        <v>15860</v>
      </c>
      <c r="T75" s="88">
        <f t="shared" si="42"/>
        <v>15917.042151162788</v>
      </c>
      <c r="U75" s="89">
        <f t="shared" si="43"/>
        <v>0.79216760706018507</v>
      </c>
      <c r="V75" s="89">
        <f t="shared" si="44"/>
        <v>0.99641628446912034</v>
      </c>
      <c r="W75" s="89">
        <f t="shared" si="45"/>
        <v>1</v>
      </c>
      <c r="X75" s="90">
        <f t="shared" si="46"/>
        <v>0.78932870370370367</v>
      </c>
      <c r="Y75" s="106"/>
      <c r="Z75" s="120">
        <v>0</v>
      </c>
      <c r="AA75" s="117"/>
      <c r="AB75" s="117"/>
      <c r="AC75" s="117"/>
      <c r="AD75" s="118"/>
      <c r="AE75" s="110">
        <f>Table24[[#This Row],[H. จำนวนชิ้น
งานทั้งหมด
ที่ผลิตได้ 
(Total Count)]]/512*1</f>
        <v>30.9765625</v>
      </c>
      <c r="AF75" s="111">
        <f t="shared" si="29"/>
        <v>35.106770833333336</v>
      </c>
      <c r="AG75" s="111">
        <f t="shared" si="30"/>
        <v>18.069661458333332</v>
      </c>
      <c r="AH75" s="111">
        <f t="shared" si="31"/>
        <v>19.102213541666668</v>
      </c>
      <c r="AI75" s="111">
        <v>10</v>
      </c>
      <c r="AJ75" s="112">
        <v>5</v>
      </c>
      <c r="AK75" s="113">
        <v>10</v>
      </c>
      <c r="AL75" s="114">
        <f>SUMIFS(Table1[Column1],Table1[Date],'OEE AHV'!$B75,Table1[M/C],'OEE AHV'!$D75,Table1[Case downtime],'OEE AHV'!AL$2)</f>
        <v>0</v>
      </c>
      <c r="AM75" s="114">
        <f>SUMIFS(Table1[Column1],Table1[Date],'OEE AHV'!$B75,Table1[M/C],'OEE AHV'!$D75,Table1[Case downtime],'OEE AHV'!AM$2)</f>
        <v>0</v>
      </c>
      <c r="AN75" s="114">
        <f>SUMIFS(Table1[Column1],Table1[Date],'OEE AHV'!$B75,Table1[M/C],'OEE AHV'!$D75,Table1[Case downtime],'OEE AHV'!AN$2)</f>
        <v>0</v>
      </c>
      <c r="AO75" s="114">
        <f>SUMIFS(Table1[Column1],Table1[Date],'OEE AHV'!$B75,Table1[M/C],'OEE AHV'!$D75,Table1[Case downtime],'OEE AHV'!AO$2)</f>
        <v>0</v>
      </c>
      <c r="AP75" s="114">
        <f>SUMIFS(Table1[Column1],Table1[Date],'OEE AHV'!$B75,Table1[M/C],'OEE AHV'!$D75,Table1[Case downtime],'OEE AHV'!AP$2)</f>
        <v>0</v>
      </c>
      <c r="AQ75" s="114">
        <f>SUMIFS(Table1[Column1],Table1[Date],'OEE AHV'!$B75,Table1[M/C],'OEE AHV'!$D75,Table1[Case downtime],'OEE AHV'!AQ$2)</f>
        <v>0</v>
      </c>
      <c r="AR75" s="114">
        <f>SUMIFS(Table1[Column1],Table1[Date],'OEE AHV'!$B75,Table1[M/C],'OEE AHV'!$D75,Table1[Case downtime],'OEE AHV'!AR$2)</f>
        <v>0</v>
      </c>
      <c r="AS75" s="114">
        <f>SUMIFS(Table1[Column1],Table1[Date],'OEE AHV'!$B75,Table1[M/C],'OEE AHV'!$D75,Table1[Case downtime],'OEE AHV'!AS$2)</f>
        <v>0</v>
      </c>
      <c r="AT75" s="114">
        <f>SUMIFS(Table1[Column1],Table1[Date],'OEE AHV'!$B75,Table1[M/C],'OEE AHV'!$D75,Table1[Case downtime],'OEE AHV'!AT$2)</f>
        <v>0</v>
      </c>
      <c r="AU75" s="114">
        <f>SUMIFS(Table1[Column1],Table1[Date],'OEE AHV'!$B75,Table1[M/C],'OEE AHV'!$D75,Table1[Case downtime],'OEE AHV'!AU$2)</f>
        <v>0</v>
      </c>
      <c r="AV75" s="114">
        <f>SUMIFS(Table1[Column1],Table1[Date],'OEE AHV'!$B75,Table1[M/C],'OEE AHV'!$D75,Table1[Case downtime],'OEE AHV'!AV$2)</f>
        <v>202</v>
      </c>
      <c r="AW75" s="114">
        <f>SUMIFS(Table1[Column1],Table1[Date],'OEE AHV'!$B75,Table1[M/C],'OEE AHV'!$D75,Table1[Case downtime],'OEE AHV'!AW$2)</f>
        <v>0</v>
      </c>
      <c r="AX75" s="183">
        <f>SUMIFS(Table1[Column1],Table1[Date],'OEE AHV'!$B75,Table1[M/C],'OEE AHV'!$D75,Table1[Case downtime],'OEE AHV'!AX$2)</f>
        <v>0</v>
      </c>
    </row>
    <row r="76" spans="2:50" s="115" customFormat="1" ht="30" hidden="1" customHeight="1">
      <c r="B76" s="91">
        <v>46056</v>
      </c>
      <c r="C76" s="92" t="s">
        <v>136</v>
      </c>
      <c r="D76" s="92" t="s">
        <v>123</v>
      </c>
      <c r="E76" s="80">
        <v>4.3</v>
      </c>
      <c r="F76" s="81">
        <v>24</v>
      </c>
      <c r="G76" s="82">
        <f t="shared" si="34"/>
        <v>1440</v>
      </c>
      <c r="H76" s="82">
        <v>0</v>
      </c>
      <c r="I76" s="82">
        <f t="shared" si="22"/>
        <v>1440</v>
      </c>
      <c r="J76" s="82">
        <f t="shared" si="35"/>
        <v>108.91341145833333</v>
      </c>
      <c r="K76" s="83">
        <f t="shared" si="36"/>
        <v>8</v>
      </c>
      <c r="L76" s="82">
        <f t="shared" si="37"/>
        <v>116.91341145833333</v>
      </c>
      <c r="M76" s="84">
        <f t="shared" si="38"/>
        <v>1323.0865885416667</v>
      </c>
      <c r="N76" s="85">
        <v>9206</v>
      </c>
      <c r="O76" s="82"/>
      <c r="P76" s="84">
        <v>9207</v>
      </c>
      <c r="Q76" s="135">
        <f t="shared" si="39"/>
        <v>18413</v>
      </c>
      <c r="R76" s="83">
        <f t="shared" si="40"/>
        <v>2</v>
      </c>
      <c r="S76" s="87">
        <f t="shared" si="41"/>
        <v>18411</v>
      </c>
      <c r="T76" s="88">
        <f t="shared" si="42"/>
        <v>18461.673328488374</v>
      </c>
      <c r="U76" s="89">
        <f t="shared" si="43"/>
        <v>0.91881013093171304</v>
      </c>
      <c r="V76" s="89">
        <f t="shared" si="44"/>
        <v>0.99736354730027288</v>
      </c>
      <c r="W76" s="89">
        <f t="shared" si="45"/>
        <v>0.99989138108944764</v>
      </c>
      <c r="X76" s="90">
        <f t="shared" si="46"/>
        <v>0.91628819444444443</v>
      </c>
      <c r="Y76" s="106"/>
      <c r="Z76" s="120">
        <v>2</v>
      </c>
      <c r="AA76" s="117"/>
      <c r="AB76" s="117"/>
      <c r="AC76" s="117"/>
      <c r="AD76" s="118"/>
      <c r="AE76" s="110">
        <f>Table24[[#This Row],[H. จำนวนชิ้น
งานทั้งหมด
ที่ผลิตได้ 
(Total Count)]]/512*1</f>
        <v>35.962890625</v>
      </c>
      <c r="AF76" s="111">
        <f t="shared" si="29"/>
        <v>40.757942708333331</v>
      </c>
      <c r="AG76" s="111">
        <f t="shared" si="30"/>
        <v>20.978352864583332</v>
      </c>
      <c r="AH76" s="111">
        <f t="shared" si="31"/>
        <v>22.177115885416665</v>
      </c>
      <c r="AI76" s="111">
        <v>10</v>
      </c>
      <c r="AJ76" s="112">
        <v>5</v>
      </c>
      <c r="AK76" s="113">
        <v>10</v>
      </c>
      <c r="AL76" s="114">
        <f>SUMIFS(Table1[Column1],Table1[Date],'OEE AHV'!$B76,Table1[M/C],'OEE AHV'!$D76,Table1[Case downtime],'OEE AHV'!AL$2)</f>
        <v>4</v>
      </c>
      <c r="AM76" s="114">
        <f>SUMIFS(Table1[Column1],Table1[Date],'OEE AHV'!$B76,Table1[M/C],'OEE AHV'!$D76,Table1[Case downtime],'OEE AHV'!AM$2)</f>
        <v>0</v>
      </c>
      <c r="AN76" s="114">
        <f>SUMIFS(Table1[Column1],Table1[Date],'OEE AHV'!$B76,Table1[M/C],'OEE AHV'!$D76,Table1[Case downtime],'OEE AHV'!AN$2)</f>
        <v>0</v>
      </c>
      <c r="AO76" s="114">
        <f>SUMIFS(Table1[Column1],Table1[Date],'OEE AHV'!$B76,Table1[M/C],'OEE AHV'!$D76,Table1[Case downtime],'OEE AHV'!AO$2)</f>
        <v>0</v>
      </c>
      <c r="AP76" s="114">
        <f>SUMIFS(Table1[Column1],Table1[Date],'OEE AHV'!$B76,Table1[M/C],'OEE AHV'!$D76,Table1[Case downtime],'OEE AHV'!AP$2)</f>
        <v>0</v>
      </c>
      <c r="AQ76" s="114">
        <f>SUMIFS(Table1[Column1],Table1[Date],'OEE AHV'!$B76,Table1[M/C],'OEE AHV'!$D76,Table1[Case downtime],'OEE AHV'!AQ$2)</f>
        <v>0</v>
      </c>
      <c r="AR76" s="114">
        <f>SUMIFS(Table1[Column1],Table1[Date],'OEE AHV'!$B76,Table1[M/C],'OEE AHV'!$D76,Table1[Case downtime],'OEE AHV'!AR$2)</f>
        <v>0</v>
      </c>
      <c r="AS76" s="114">
        <f>SUMIFS(Table1[Column1],Table1[Date],'OEE AHV'!$B76,Table1[M/C],'OEE AHV'!$D76,Table1[Case downtime],'OEE AHV'!AS$2)</f>
        <v>0</v>
      </c>
      <c r="AT76" s="114">
        <f>SUMIFS(Table1[Column1],Table1[Date],'OEE AHV'!$B76,Table1[M/C],'OEE AHV'!$D76,Table1[Case downtime],'OEE AHV'!AT$2)</f>
        <v>0</v>
      </c>
      <c r="AU76" s="114">
        <f>SUMIFS(Table1[Column1],Table1[Date],'OEE AHV'!$B76,Table1[M/C],'OEE AHV'!$D76,Table1[Case downtime],'OEE AHV'!AU$2)</f>
        <v>0</v>
      </c>
      <c r="AV76" s="114">
        <f>SUMIFS(Table1[Column1],Table1[Date],'OEE AHV'!$B76,Table1[M/C],'OEE AHV'!$D76,Table1[Case downtime],'OEE AHV'!AV$2)</f>
        <v>4</v>
      </c>
      <c r="AW76" s="114">
        <f>SUMIFS(Table1[Column1],Table1[Date],'OEE AHV'!$B76,Table1[M/C],'OEE AHV'!$D76,Table1[Case downtime],'OEE AHV'!AW$2)</f>
        <v>0</v>
      </c>
      <c r="AX76" s="183">
        <f>SUMIFS(Table1[Column1],Table1[Date],'OEE AHV'!$B76,Table1[M/C],'OEE AHV'!$D76,Table1[Case downtime],'OEE AHV'!AX$2)</f>
        <v>0</v>
      </c>
    </row>
    <row r="77" spans="2:50" s="115" customFormat="1" ht="30" hidden="1" customHeight="1">
      <c r="B77" s="91">
        <v>46057</v>
      </c>
      <c r="C77" s="92" t="s">
        <v>136</v>
      </c>
      <c r="D77" s="92" t="s">
        <v>123</v>
      </c>
      <c r="E77" s="80">
        <v>4.3</v>
      </c>
      <c r="F77" s="81">
        <v>24</v>
      </c>
      <c r="G77" s="82">
        <f t="shared" si="34"/>
        <v>1440</v>
      </c>
      <c r="H77" s="82">
        <v>0</v>
      </c>
      <c r="I77" s="82">
        <f t="shared" si="22"/>
        <v>1440</v>
      </c>
      <c r="J77" s="82">
        <f t="shared" si="35"/>
        <v>104.26953125</v>
      </c>
      <c r="K77" s="83">
        <f t="shared" si="36"/>
        <v>105</v>
      </c>
      <c r="L77" s="82">
        <f t="shared" si="37"/>
        <v>209.26953125</v>
      </c>
      <c r="M77" s="84">
        <f t="shared" si="38"/>
        <v>1230.73046875</v>
      </c>
      <c r="N77" s="85">
        <v>8696</v>
      </c>
      <c r="O77" s="82"/>
      <c r="P77" s="84">
        <v>8698</v>
      </c>
      <c r="Q77" s="135">
        <f t="shared" si="39"/>
        <v>17394</v>
      </c>
      <c r="R77" s="83">
        <f t="shared" si="40"/>
        <v>1</v>
      </c>
      <c r="S77" s="87">
        <f t="shared" si="41"/>
        <v>17393</v>
      </c>
      <c r="T77" s="88">
        <f t="shared" si="42"/>
        <v>17172.983284883721</v>
      </c>
      <c r="U77" s="89">
        <f t="shared" si="43"/>
        <v>0.85467393663194446</v>
      </c>
      <c r="V77" s="89">
        <f t="shared" si="44"/>
        <v>1.0128700244709856</v>
      </c>
      <c r="W77" s="89">
        <f t="shared" si="45"/>
        <v>0.9999425089111188</v>
      </c>
      <c r="X77" s="90">
        <f t="shared" si="46"/>
        <v>0.86562384259259273</v>
      </c>
      <c r="Y77" s="106"/>
      <c r="Z77" s="120">
        <v>1</v>
      </c>
      <c r="AA77" s="117"/>
      <c r="AB77" s="117"/>
      <c r="AC77" s="117"/>
      <c r="AD77" s="118"/>
      <c r="AE77" s="110">
        <f>Table24[[#This Row],[H. จำนวนชิ้น
งานทั้งหมด
ที่ผลิตได้ 
(Total Count)]]/512*1</f>
        <v>33.97265625</v>
      </c>
      <c r="AF77" s="111">
        <f t="shared" si="29"/>
        <v>38.502343750000001</v>
      </c>
      <c r="AG77" s="111">
        <f t="shared" si="30"/>
        <v>19.8173828125</v>
      </c>
      <c r="AH77" s="111">
        <f t="shared" si="31"/>
        <v>20.949804687499999</v>
      </c>
      <c r="AI77" s="111">
        <v>10</v>
      </c>
      <c r="AJ77" s="112">
        <v>5</v>
      </c>
      <c r="AK77" s="113">
        <v>10</v>
      </c>
      <c r="AL77" s="114">
        <f>SUMIFS(Table1[Column1],Table1[Date],'OEE AHV'!$B77,Table1[M/C],'OEE AHV'!$D77,Table1[Case downtime],'OEE AHV'!AL$2)</f>
        <v>4</v>
      </c>
      <c r="AM77" s="114">
        <f>SUMIFS(Table1[Column1],Table1[Date],'OEE AHV'!$B77,Table1[M/C],'OEE AHV'!$D77,Table1[Case downtime],'OEE AHV'!AM$2)</f>
        <v>0</v>
      </c>
      <c r="AN77" s="114">
        <f>SUMIFS(Table1[Column1],Table1[Date],'OEE AHV'!$B77,Table1[M/C],'OEE AHV'!$D77,Table1[Case downtime],'OEE AHV'!AN$2)</f>
        <v>0</v>
      </c>
      <c r="AO77" s="114">
        <f>SUMIFS(Table1[Column1],Table1[Date],'OEE AHV'!$B77,Table1[M/C],'OEE AHV'!$D77,Table1[Case downtime],'OEE AHV'!AO$2)</f>
        <v>0</v>
      </c>
      <c r="AP77" s="114">
        <f>SUMIFS(Table1[Column1],Table1[Date],'OEE AHV'!$B77,Table1[M/C],'OEE AHV'!$D77,Table1[Case downtime],'OEE AHV'!AP$2)</f>
        <v>0</v>
      </c>
      <c r="AQ77" s="114">
        <f>SUMIFS(Table1[Column1],Table1[Date],'OEE AHV'!$B77,Table1[M/C],'OEE AHV'!$D77,Table1[Case downtime],'OEE AHV'!AQ$2)</f>
        <v>0</v>
      </c>
      <c r="AR77" s="114">
        <f>SUMIFS(Table1[Column1],Table1[Date],'OEE AHV'!$B77,Table1[M/C],'OEE AHV'!$D77,Table1[Case downtime],'OEE AHV'!AR$2)</f>
        <v>64</v>
      </c>
      <c r="AS77" s="114">
        <f>SUMIFS(Table1[Column1],Table1[Date],'OEE AHV'!$B77,Table1[M/C],'OEE AHV'!$D77,Table1[Case downtime],'OEE AHV'!AS$2)</f>
        <v>0</v>
      </c>
      <c r="AT77" s="114">
        <f>SUMIFS(Table1[Column1],Table1[Date],'OEE AHV'!$B77,Table1[M/C],'OEE AHV'!$D77,Table1[Case downtime],'OEE AHV'!AT$2)</f>
        <v>0</v>
      </c>
      <c r="AU77" s="114">
        <f>SUMIFS(Table1[Column1],Table1[Date],'OEE AHV'!$B77,Table1[M/C],'OEE AHV'!$D77,Table1[Case downtime],'OEE AHV'!AU$2)</f>
        <v>0</v>
      </c>
      <c r="AV77" s="114">
        <f>SUMIFS(Table1[Column1],Table1[Date],'OEE AHV'!$B77,Table1[M/C],'OEE AHV'!$D77,Table1[Case downtime],'OEE AHV'!AV$2)</f>
        <v>37</v>
      </c>
      <c r="AW77" s="114">
        <f>SUMIFS(Table1[Column1],Table1[Date],'OEE AHV'!$B77,Table1[M/C],'OEE AHV'!$D77,Table1[Case downtime],'OEE AHV'!AW$2)</f>
        <v>0</v>
      </c>
      <c r="AX77" s="183">
        <f>SUMIFS(Table1[Column1],Table1[Date],'OEE AHV'!$B77,Table1[M/C],'OEE AHV'!$D77,Table1[Case downtime],'OEE AHV'!AX$2)</f>
        <v>0</v>
      </c>
    </row>
    <row r="78" spans="2:50" s="115" customFormat="1" ht="30" hidden="1" customHeight="1">
      <c r="B78" s="91">
        <v>46058</v>
      </c>
      <c r="C78" s="92" t="s">
        <v>136</v>
      </c>
      <c r="D78" s="92" t="s">
        <v>123</v>
      </c>
      <c r="E78" s="80">
        <v>4.3</v>
      </c>
      <c r="F78" s="81">
        <v>24</v>
      </c>
      <c r="G78" s="82">
        <f t="shared" si="34"/>
        <v>1440</v>
      </c>
      <c r="H78" s="82">
        <v>0</v>
      </c>
      <c r="I78" s="82">
        <f t="shared" si="22"/>
        <v>1440</v>
      </c>
      <c r="J78" s="82">
        <f t="shared" si="35"/>
        <v>99.607421875</v>
      </c>
      <c r="K78" s="83">
        <f t="shared" si="36"/>
        <v>211</v>
      </c>
      <c r="L78" s="82">
        <f t="shared" si="37"/>
        <v>310.607421875</v>
      </c>
      <c r="M78" s="84">
        <f t="shared" si="38"/>
        <v>1129.392578125</v>
      </c>
      <c r="N78" s="85">
        <v>8700</v>
      </c>
      <c r="O78" s="82"/>
      <c r="P78" s="84">
        <v>7671</v>
      </c>
      <c r="Q78" s="135">
        <f t="shared" si="39"/>
        <v>16371</v>
      </c>
      <c r="R78" s="83">
        <f t="shared" si="40"/>
        <v>11</v>
      </c>
      <c r="S78" s="87">
        <f t="shared" si="41"/>
        <v>16360</v>
      </c>
      <c r="T78" s="88">
        <f t="shared" si="42"/>
        <v>15758.966206395349</v>
      </c>
      <c r="U78" s="89">
        <f t="shared" si="43"/>
        <v>0.78430040147569446</v>
      </c>
      <c r="V78" s="89">
        <f t="shared" si="44"/>
        <v>1.0388371791390907</v>
      </c>
      <c r="W78" s="89">
        <f t="shared" si="45"/>
        <v>0.99932808014171404</v>
      </c>
      <c r="X78" s="90">
        <f t="shared" si="46"/>
        <v>0.81421296296296308</v>
      </c>
      <c r="Y78" s="106"/>
      <c r="Z78" s="120">
        <v>11</v>
      </c>
      <c r="AA78" s="117"/>
      <c r="AB78" s="117"/>
      <c r="AC78" s="117"/>
      <c r="AD78" s="118"/>
      <c r="AE78" s="110">
        <f>Table24[[#This Row],[H. จำนวนชิ้น
งานทั้งหมด
ที่ผลิตได้ 
(Total Count)]]/512*1</f>
        <v>31.974609375</v>
      </c>
      <c r="AF78" s="111">
        <f t="shared" si="29"/>
        <v>36.237890624999999</v>
      </c>
      <c r="AG78" s="111">
        <f t="shared" si="30"/>
        <v>18.65185546875</v>
      </c>
      <c r="AH78" s="111">
        <f t="shared" si="31"/>
        <v>19.717675781250001</v>
      </c>
      <c r="AI78" s="111">
        <v>10</v>
      </c>
      <c r="AJ78" s="112">
        <v>5</v>
      </c>
      <c r="AK78" s="113">
        <v>10</v>
      </c>
      <c r="AL78" s="114">
        <f>SUMIFS(Table1[Column1],Table1[Date],'OEE AHV'!$B78,Table1[M/C],'OEE AHV'!$D78,Table1[Case downtime],'OEE AHV'!AL$2)</f>
        <v>80</v>
      </c>
      <c r="AM78" s="114">
        <f>SUMIFS(Table1[Column1],Table1[Date],'OEE AHV'!$B78,Table1[M/C],'OEE AHV'!$D78,Table1[Case downtime],'OEE AHV'!AM$2)</f>
        <v>0</v>
      </c>
      <c r="AN78" s="114">
        <f>SUMIFS(Table1[Column1],Table1[Date],'OEE AHV'!$B78,Table1[M/C],'OEE AHV'!$D78,Table1[Case downtime],'OEE AHV'!AN$2)</f>
        <v>0</v>
      </c>
      <c r="AO78" s="114">
        <f>SUMIFS(Table1[Column1],Table1[Date],'OEE AHV'!$B78,Table1[M/C],'OEE AHV'!$D78,Table1[Case downtime],'OEE AHV'!AO$2)</f>
        <v>0</v>
      </c>
      <c r="AP78" s="114">
        <f>SUMIFS(Table1[Column1],Table1[Date],'OEE AHV'!$B78,Table1[M/C],'OEE AHV'!$D78,Table1[Case downtime],'OEE AHV'!AP$2)</f>
        <v>0</v>
      </c>
      <c r="AQ78" s="114">
        <f>SUMIFS(Table1[Column1],Table1[Date],'OEE AHV'!$B78,Table1[M/C],'OEE AHV'!$D78,Table1[Case downtime],'OEE AHV'!AQ$2)</f>
        <v>0</v>
      </c>
      <c r="AR78" s="114">
        <f>SUMIFS(Table1[Column1],Table1[Date],'OEE AHV'!$B78,Table1[M/C],'OEE AHV'!$D78,Table1[Case downtime],'OEE AHV'!AR$2)</f>
        <v>0</v>
      </c>
      <c r="AS78" s="114">
        <f>SUMIFS(Table1[Column1],Table1[Date],'OEE AHV'!$B78,Table1[M/C],'OEE AHV'!$D78,Table1[Case downtime],'OEE AHV'!AS$2)</f>
        <v>0</v>
      </c>
      <c r="AT78" s="114">
        <f>SUMIFS(Table1[Column1],Table1[Date],'OEE AHV'!$B78,Table1[M/C],'OEE AHV'!$D78,Table1[Case downtime],'OEE AHV'!AT$2)</f>
        <v>0</v>
      </c>
      <c r="AU78" s="114">
        <f>SUMIFS(Table1[Column1],Table1[Date],'OEE AHV'!$B78,Table1[M/C],'OEE AHV'!$D78,Table1[Case downtime],'OEE AHV'!AU$2)</f>
        <v>0</v>
      </c>
      <c r="AV78" s="114">
        <f>SUMIFS(Table1[Column1],Table1[Date],'OEE AHV'!$B78,Table1[M/C],'OEE AHV'!$D78,Table1[Case downtime],'OEE AHV'!AV$2)</f>
        <v>131</v>
      </c>
      <c r="AW78" s="114">
        <f>SUMIFS(Table1[Column1],Table1[Date],'OEE AHV'!$B78,Table1[M/C],'OEE AHV'!$D78,Table1[Case downtime],'OEE AHV'!AW$2)</f>
        <v>0</v>
      </c>
      <c r="AX78" s="183">
        <f>SUMIFS(Table1[Column1],Table1[Date],'OEE AHV'!$B78,Table1[M/C],'OEE AHV'!$D78,Table1[Case downtime],'OEE AHV'!AX$2)</f>
        <v>0</v>
      </c>
    </row>
    <row r="79" spans="2:50" s="115" customFormat="1" ht="30" hidden="1" customHeight="1">
      <c r="B79" s="91">
        <v>46059</v>
      </c>
      <c r="C79" s="92" t="s">
        <v>136</v>
      </c>
      <c r="D79" s="92" t="s">
        <v>123</v>
      </c>
      <c r="E79" s="80">
        <v>4.3</v>
      </c>
      <c r="F79" s="81">
        <v>24</v>
      </c>
      <c r="G79" s="82">
        <f t="shared" si="34"/>
        <v>1440</v>
      </c>
      <c r="H79" s="82">
        <v>0</v>
      </c>
      <c r="I79" s="82">
        <f t="shared" si="22"/>
        <v>1440</v>
      </c>
      <c r="J79" s="82">
        <f t="shared" si="35"/>
        <v>101.96354166666666</v>
      </c>
      <c r="K79" s="83">
        <f t="shared" si="36"/>
        <v>271</v>
      </c>
      <c r="L79" s="82">
        <f t="shared" si="37"/>
        <v>372.96354166666663</v>
      </c>
      <c r="M79" s="84">
        <f t="shared" si="38"/>
        <v>1067.0364583333335</v>
      </c>
      <c r="N79" s="85">
        <v>9724</v>
      </c>
      <c r="O79" s="82"/>
      <c r="P79" s="84">
        <v>7164</v>
      </c>
      <c r="Q79" s="135">
        <f t="shared" si="39"/>
        <v>16888</v>
      </c>
      <c r="R79" s="83">
        <f t="shared" si="40"/>
        <v>1</v>
      </c>
      <c r="S79" s="87">
        <f t="shared" si="41"/>
        <v>16887</v>
      </c>
      <c r="T79" s="88">
        <f t="shared" si="42"/>
        <v>14888.88081395349</v>
      </c>
      <c r="U79" s="89">
        <f t="shared" si="43"/>
        <v>0.74099754050925937</v>
      </c>
      <c r="V79" s="89">
        <f t="shared" si="44"/>
        <v>1.1342692718832825</v>
      </c>
      <c r="W79" s="89">
        <f t="shared" si="45"/>
        <v>0.99994078635717665</v>
      </c>
      <c r="X79" s="90">
        <f t="shared" si="46"/>
        <v>0.84044097222222225</v>
      </c>
      <c r="Y79" s="106"/>
      <c r="Z79" s="120">
        <v>1</v>
      </c>
      <c r="AA79" s="117"/>
      <c r="AB79" s="117"/>
      <c r="AC79" s="117"/>
      <c r="AD79" s="118"/>
      <c r="AE79" s="110">
        <f>Table24[[#This Row],[H. จำนวนชิ้น
งานทั้งหมด
ที่ผลิตได้ 
(Total Count)]]/512*1</f>
        <v>32.984375</v>
      </c>
      <c r="AF79" s="111">
        <f t="shared" si="29"/>
        <v>37.382291666666667</v>
      </c>
      <c r="AG79" s="111">
        <f t="shared" si="30"/>
        <v>19.240885416666668</v>
      </c>
      <c r="AH79" s="111">
        <f t="shared" si="31"/>
        <v>20.340364583333333</v>
      </c>
      <c r="AI79" s="111">
        <v>10</v>
      </c>
      <c r="AJ79" s="112">
        <v>5</v>
      </c>
      <c r="AK79" s="113">
        <v>10</v>
      </c>
      <c r="AL79" s="114">
        <f>SUMIFS(Table1[Column1],Table1[Date],'OEE AHV'!$B79,Table1[M/C],'OEE AHV'!$D79,Table1[Case downtime],'OEE AHV'!AL$2)</f>
        <v>0</v>
      </c>
      <c r="AM79" s="114">
        <f>SUMIFS(Table1[Column1],Table1[Date],'OEE AHV'!$B79,Table1[M/C],'OEE AHV'!$D79,Table1[Case downtime],'OEE AHV'!AM$2)</f>
        <v>0</v>
      </c>
      <c r="AN79" s="114">
        <f>SUMIFS(Table1[Column1],Table1[Date],'OEE AHV'!$B79,Table1[M/C],'OEE AHV'!$D79,Table1[Case downtime],'OEE AHV'!AN$2)</f>
        <v>0</v>
      </c>
      <c r="AO79" s="114">
        <f>SUMIFS(Table1[Column1],Table1[Date],'OEE AHV'!$B79,Table1[M/C],'OEE AHV'!$D79,Table1[Case downtime],'OEE AHV'!AO$2)</f>
        <v>0</v>
      </c>
      <c r="AP79" s="114">
        <f>SUMIFS(Table1[Column1],Table1[Date],'OEE AHV'!$B79,Table1[M/C],'OEE AHV'!$D79,Table1[Case downtime],'OEE AHV'!AP$2)</f>
        <v>0</v>
      </c>
      <c r="AQ79" s="114">
        <f>SUMIFS(Table1[Column1],Table1[Date],'OEE AHV'!$B79,Table1[M/C],'OEE AHV'!$D79,Table1[Case downtime],'OEE AHV'!AQ$2)</f>
        <v>0</v>
      </c>
      <c r="AR79" s="114">
        <f>SUMIFS(Table1[Column1],Table1[Date],'OEE AHV'!$B79,Table1[M/C],'OEE AHV'!$D79,Table1[Case downtime],'OEE AHV'!AR$2)</f>
        <v>100</v>
      </c>
      <c r="AS79" s="114">
        <f>SUMIFS(Table1[Column1],Table1[Date],'OEE AHV'!$B79,Table1[M/C],'OEE AHV'!$D79,Table1[Case downtime],'OEE AHV'!AS$2)</f>
        <v>0</v>
      </c>
      <c r="AT79" s="114">
        <f>SUMIFS(Table1[Column1],Table1[Date],'OEE AHV'!$B79,Table1[M/C],'OEE AHV'!$D79,Table1[Case downtime],'OEE AHV'!AT$2)</f>
        <v>0</v>
      </c>
      <c r="AU79" s="114">
        <f>SUMIFS(Table1[Column1],Table1[Date],'OEE AHV'!$B79,Table1[M/C],'OEE AHV'!$D79,Table1[Case downtime],'OEE AHV'!AU$2)</f>
        <v>0</v>
      </c>
      <c r="AV79" s="114">
        <f>SUMIFS(Table1[Column1],Table1[Date],'OEE AHV'!$B79,Table1[M/C],'OEE AHV'!$D79,Table1[Case downtime],'OEE AHV'!AV$2)</f>
        <v>171</v>
      </c>
      <c r="AW79" s="114">
        <f>SUMIFS(Table1[Column1],Table1[Date],'OEE AHV'!$B79,Table1[M/C],'OEE AHV'!$D79,Table1[Case downtime],'OEE AHV'!AW$2)</f>
        <v>0</v>
      </c>
      <c r="AX79" s="183">
        <f>SUMIFS(Table1[Column1],Table1[Date],'OEE AHV'!$B79,Table1[M/C],'OEE AHV'!$D79,Table1[Case downtime],'OEE AHV'!AX$2)</f>
        <v>0</v>
      </c>
    </row>
    <row r="80" spans="2:50" s="115" customFormat="1" ht="30" hidden="1" customHeight="1">
      <c r="B80" s="91">
        <v>46060</v>
      </c>
      <c r="C80" s="92" t="s">
        <v>136</v>
      </c>
      <c r="D80" s="92" t="s">
        <v>123</v>
      </c>
      <c r="E80" s="80">
        <v>4.3</v>
      </c>
      <c r="F80" s="81">
        <v>24</v>
      </c>
      <c r="G80" s="82">
        <f t="shared" si="34"/>
        <v>1440</v>
      </c>
      <c r="H80" s="82">
        <v>0</v>
      </c>
      <c r="I80" s="82">
        <f t="shared" si="22"/>
        <v>1440</v>
      </c>
      <c r="J80" s="82">
        <f t="shared" si="35"/>
        <v>111.25130208333333</v>
      </c>
      <c r="K80" s="83">
        <f t="shared" si="36"/>
        <v>19</v>
      </c>
      <c r="L80" s="82">
        <f t="shared" si="37"/>
        <v>130.25130208333331</v>
      </c>
      <c r="M80" s="84">
        <f t="shared" si="38"/>
        <v>1309.7486979166667</v>
      </c>
      <c r="N80" s="85">
        <v>9720</v>
      </c>
      <c r="O80" s="82"/>
      <c r="P80" s="84">
        <v>9206</v>
      </c>
      <c r="Q80" s="135">
        <f t="shared" si="39"/>
        <v>18926</v>
      </c>
      <c r="R80" s="83">
        <f t="shared" si="40"/>
        <v>1</v>
      </c>
      <c r="S80" s="87">
        <f t="shared" si="41"/>
        <v>18925</v>
      </c>
      <c r="T80" s="88">
        <f t="shared" si="42"/>
        <v>18275.563226744187</v>
      </c>
      <c r="U80" s="89">
        <f t="shared" si="43"/>
        <v>0.90954770688657416</v>
      </c>
      <c r="V80" s="89">
        <f t="shared" si="44"/>
        <v>1.0355905186169023</v>
      </c>
      <c r="W80" s="89">
        <f t="shared" si="45"/>
        <v>0.99994716263341432</v>
      </c>
      <c r="X80" s="90">
        <f t="shared" si="46"/>
        <v>0.941869212962963</v>
      </c>
      <c r="Y80" s="106"/>
      <c r="Z80" s="120">
        <v>1</v>
      </c>
      <c r="AA80" s="117"/>
      <c r="AB80" s="117"/>
      <c r="AC80" s="117"/>
      <c r="AD80" s="118"/>
      <c r="AE80" s="110">
        <f>Table24[[#This Row],[H. จำนวนชิ้น
งานทั้งหมด
ที่ผลิตได้ 
(Total Count)]]/512*1</f>
        <v>36.96484375</v>
      </c>
      <c r="AF80" s="111">
        <f t="shared" si="29"/>
        <v>41.893489583333334</v>
      </c>
      <c r="AG80" s="111">
        <f t="shared" si="30"/>
        <v>21.562825520833332</v>
      </c>
      <c r="AH80" s="111">
        <f t="shared" si="31"/>
        <v>22.794986979166666</v>
      </c>
      <c r="AI80" s="111">
        <v>10</v>
      </c>
      <c r="AJ80" s="112">
        <v>5</v>
      </c>
      <c r="AK80" s="113">
        <v>10</v>
      </c>
      <c r="AL80" s="114">
        <f>SUMIFS(Table1[Column1],Table1[Date],'OEE AHV'!$B80,Table1[M/C],'OEE AHV'!$D80,Table1[Case downtime],'OEE AHV'!AL$2)</f>
        <v>19</v>
      </c>
      <c r="AM80" s="114">
        <f>SUMIFS(Table1[Column1],Table1[Date],'OEE AHV'!$B80,Table1[M/C],'OEE AHV'!$D80,Table1[Case downtime],'OEE AHV'!AM$2)</f>
        <v>0</v>
      </c>
      <c r="AN80" s="114">
        <f>SUMIFS(Table1[Column1],Table1[Date],'OEE AHV'!$B80,Table1[M/C],'OEE AHV'!$D80,Table1[Case downtime],'OEE AHV'!AN$2)</f>
        <v>0</v>
      </c>
      <c r="AO80" s="114">
        <f>SUMIFS(Table1[Column1],Table1[Date],'OEE AHV'!$B80,Table1[M/C],'OEE AHV'!$D80,Table1[Case downtime],'OEE AHV'!AO$2)</f>
        <v>0</v>
      </c>
      <c r="AP80" s="114">
        <f>SUMIFS(Table1[Column1],Table1[Date],'OEE AHV'!$B80,Table1[M/C],'OEE AHV'!$D80,Table1[Case downtime],'OEE AHV'!AP$2)</f>
        <v>0</v>
      </c>
      <c r="AQ80" s="114">
        <f>SUMIFS(Table1[Column1],Table1[Date],'OEE AHV'!$B80,Table1[M/C],'OEE AHV'!$D80,Table1[Case downtime],'OEE AHV'!AQ$2)</f>
        <v>0</v>
      </c>
      <c r="AR80" s="114">
        <f>SUMIFS(Table1[Column1],Table1[Date],'OEE AHV'!$B80,Table1[M/C],'OEE AHV'!$D80,Table1[Case downtime],'OEE AHV'!AR$2)</f>
        <v>0</v>
      </c>
      <c r="AS80" s="114">
        <f>SUMIFS(Table1[Column1],Table1[Date],'OEE AHV'!$B80,Table1[M/C],'OEE AHV'!$D80,Table1[Case downtime],'OEE AHV'!AS$2)</f>
        <v>0</v>
      </c>
      <c r="AT80" s="114">
        <f>SUMIFS(Table1[Column1],Table1[Date],'OEE AHV'!$B80,Table1[M/C],'OEE AHV'!$D80,Table1[Case downtime],'OEE AHV'!AT$2)</f>
        <v>0</v>
      </c>
      <c r="AU80" s="114">
        <f>SUMIFS(Table1[Column1],Table1[Date],'OEE AHV'!$B80,Table1[M/C],'OEE AHV'!$D80,Table1[Case downtime],'OEE AHV'!AU$2)</f>
        <v>0</v>
      </c>
      <c r="AV80" s="114">
        <f>SUMIFS(Table1[Column1],Table1[Date],'OEE AHV'!$B80,Table1[M/C],'OEE AHV'!$D80,Table1[Case downtime],'OEE AHV'!AV$2)</f>
        <v>0</v>
      </c>
      <c r="AW80" s="114">
        <f>SUMIFS(Table1[Column1],Table1[Date],'OEE AHV'!$B80,Table1[M/C],'OEE AHV'!$D80,Table1[Case downtime],'OEE AHV'!AW$2)</f>
        <v>0</v>
      </c>
      <c r="AX80" s="183">
        <f>SUMIFS(Table1[Column1],Table1[Date],'OEE AHV'!$B80,Table1[M/C],'OEE AHV'!$D80,Table1[Case downtime],'OEE AHV'!AX$2)</f>
        <v>0</v>
      </c>
    </row>
    <row r="81" spans="2:50" s="115" customFormat="1" ht="30" hidden="1" customHeight="1">
      <c r="B81" s="91">
        <v>46061</v>
      </c>
      <c r="C81" s="92" t="s">
        <v>136</v>
      </c>
      <c r="D81" s="92" t="s">
        <v>123</v>
      </c>
      <c r="E81" s="80">
        <v>4.3</v>
      </c>
      <c r="F81" s="81">
        <v>12</v>
      </c>
      <c r="G81" s="95">
        <f t="shared" si="34"/>
        <v>720</v>
      </c>
      <c r="H81" s="82">
        <v>0</v>
      </c>
      <c r="I81" s="82">
        <f t="shared" si="22"/>
        <v>720</v>
      </c>
      <c r="J81" s="82">
        <f t="shared" si="35"/>
        <v>62.296875</v>
      </c>
      <c r="K81" s="83">
        <f t="shared" si="36"/>
        <v>0</v>
      </c>
      <c r="L81" s="82">
        <f t="shared" si="37"/>
        <v>62.296875</v>
      </c>
      <c r="M81" s="84">
        <f t="shared" si="38"/>
        <v>657.703125</v>
      </c>
      <c r="N81" s="96">
        <v>0</v>
      </c>
      <c r="O81" s="95"/>
      <c r="P81" s="97">
        <v>8184</v>
      </c>
      <c r="Q81" s="135">
        <f t="shared" si="39"/>
        <v>8184</v>
      </c>
      <c r="R81" s="83">
        <f t="shared" si="40"/>
        <v>4</v>
      </c>
      <c r="S81" s="87">
        <f t="shared" si="41"/>
        <v>8180</v>
      </c>
      <c r="T81" s="88">
        <f t="shared" si="42"/>
        <v>9177.2529069767443</v>
      </c>
      <c r="U81" s="89">
        <f t="shared" si="43"/>
        <v>0.91347656249999998</v>
      </c>
      <c r="V81" s="89">
        <f t="shared" si="44"/>
        <v>0.8917701280497945</v>
      </c>
      <c r="W81" s="89">
        <f t="shared" si="45"/>
        <v>0.99951124144672532</v>
      </c>
      <c r="X81" s="90">
        <f t="shared" si="46"/>
        <v>0.81421296296296286</v>
      </c>
      <c r="Y81" s="106"/>
      <c r="Z81" s="120">
        <v>4</v>
      </c>
      <c r="AA81" s="117"/>
      <c r="AB81" s="117"/>
      <c r="AC81" s="117"/>
      <c r="AD81" s="118"/>
      <c r="AE81" s="110">
        <f>Table24[[#This Row],[H. จำนวนชิ้น
งานทั้งหมด
ที่ผลิตได้ 
(Total Count)]]/512*1</f>
        <v>15.984375</v>
      </c>
      <c r="AF81" s="111">
        <f t="shared" si="29"/>
        <v>18.115625000000001</v>
      </c>
      <c r="AG81" s="111">
        <f t="shared" si="30"/>
        <v>9.32421875</v>
      </c>
      <c r="AH81" s="111">
        <f t="shared" si="31"/>
        <v>9.8570312500000004</v>
      </c>
      <c r="AI81" s="111">
        <v>10</v>
      </c>
      <c r="AJ81" s="112">
        <v>5</v>
      </c>
      <c r="AK81" s="113">
        <v>10</v>
      </c>
      <c r="AL81" s="114">
        <f>SUMIFS(Table1[Column1],Table1[Date],'OEE AHV'!$B81,Table1[M/C],'OEE AHV'!$D81,Table1[Case downtime],'OEE AHV'!AL$2)</f>
        <v>0</v>
      </c>
      <c r="AM81" s="114">
        <f>SUMIFS(Table1[Column1],Table1[Date],'OEE AHV'!$B81,Table1[M/C],'OEE AHV'!$D81,Table1[Case downtime],'OEE AHV'!AM$2)</f>
        <v>0</v>
      </c>
      <c r="AN81" s="114">
        <f>SUMIFS(Table1[Column1],Table1[Date],'OEE AHV'!$B81,Table1[M/C],'OEE AHV'!$D81,Table1[Case downtime],'OEE AHV'!AN$2)</f>
        <v>0</v>
      </c>
      <c r="AO81" s="114">
        <f>SUMIFS(Table1[Column1],Table1[Date],'OEE AHV'!$B81,Table1[M/C],'OEE AHV'!$D81,Table1[Case downtime],'OEE AHV'!AO$2)</f>
        <v>0</v>
      </c>
      <c r="AP81" s="114">
        <f>SUMIFS(Table1[Column1],Table1[Date],'OEE AHV'!$B81,Table1[M/C],'OEE AHV'!$D81,Table1[Case downtime],'OEE AHV'!AP$2)</f>
        <v>0</v>
      </c>
      <c r="AQ81" s="114">
        <f>SUMIFS(Table1[Column1],Table1[Date],'OEE AHV'!$B81,Table1[M/C],'OEE AHV'!$D81,Table1[Case downtime],'OEE AHV'!AQ$2)</f>
        <v>0</v>
      </c>
      <c r="AR81" s="114">
        <f>SUMIFS(Table1[Column1],Table1[Date],'OEE AHV'!$B81,Table1[M/C],'OEE AHV'!$D81,Table1[Case downtime],'OEE AHV'!AR$2)</f>
        <v>0</v>
      </c>
      <c r="AS81" s="114">
        <f>SUMIFS(Table1[Column1],Table1[Date],'OEE AHV'!$B81,Table1[M/C],'OEE AHV'!$D81,Table1[Case downtime],'OEE AHV'!AS$2)</f>
        <v>0</v>
      </c>
      <c r="AT81" s="114">
        <f>SUMIFS(Table1[Column1],Table1[Date],'OEE AHV'!$B81,Table1[M/C],'OEE AHV'!$D81,Table1[Case downtime],'OEE AHV'!AT$2)</f>
        <v>0</v>
      </c>
      <c r="AU81" s="114">
        <f>SUMIFS(Table1[Column1],Table1[Date],'OEE AHV'!$B81,Table1[M/C],'OEE AHV'!$D81,Table1[Case downtime],'OEE AHV'!AU$2)</f>
        <v>0</v>
      </c>
      <c r="AV81" s="114">
        <f>SUMIFS(Table1[Column1],Table1[Date],'OEE AHV'!$B81,Table1[M/C],'OEE AHV'!$D81,Table1[Case downtime],'OEE AHV'!AV$2)</f>
        <v>0</v>
      </c>
      <c r="AW81" s="114">
        <f>SUMIFS(Table1[Column1],Table1[Date],'OEE AHV'!$B81,Table1[M/C],'OEE AHV'!$D81,Table1[Case downtime],'OEE AHV'!AW$2)</f>
        <v>0</v>
      </c>
      <c r="AX81" s="183">
        <f>SUMIFS(Table1[Column1],Table1[Date],'OEE AHV'!$B81,Table1[M/C],'OEE AHV'!$D81,Table1[Case downtime],'OEE AHV'!AX$2)</f>
        <v>0</v>
      </c>
    </row>
    <row r="82" spans="2:50" s="115" customFormat="1" ht="30" hidden="1" customHeight="1">
      <c r="B82" s="91">
        <v>46062</v>
      </c>
      <c r="C82" s="92" t="s">
        <v>136</v>
      </c>
      <c r="D82" s="92" t="s">
        <v>123</v>
      </c>
      <c r="E82" s="80">
        <v>4.3</v>
      </c>
      <c r="F82" s="81">
        <v>24</v>
      </c>
      <c r="G82" s="95">
        <f t="shared" si="34"/>
        <v>1440</v>
      </c>
      <c r="H82" s="82">
        <v>0</v>
      </c>
      <c r="I82" s="82">
        <f t="shared" si="22"/>
        <v>1440</v>
      </c>
      <c r="J82" s="82">
        <f t="shared" si="35"/>
        <v>101.95442708333333</v>
      </c>
      <c r="K82" s="83">
        <f t="shared" si="36"/>
        <v>150</v>
      </c>
      <c r="L82" s="82">
        <f t="shared" si="37"/>
        <v>251.95442708333331</v>
      </c>
      <c r="M82" s="84">
        <f t="shared" si="38"/>
        <v>1188.0455729166667</v>
      </c>
      <c r="N82" s="96">
        <v>8698</v>
      </c>
      <c r="O82" s="95"/>
      <c r="P82" s="97">
        <v>8188</v>
      </c>
      <c r="Q82" s="135">
        <f t="shared" si="39"/>
        <v>16886</v>
      </c>
      <c r="R82" s="83">
        <f t="shared" si="40"/>
        <v>3</v>
      </c>
      <c r="S82" s="87">
        <f t="shared" si="41"/>
        <v>16883</v>
      </c>
      <c r="T82" s="88">
        <f t="shared" si="42"/>
        <v>16577.380087209302</v>
      </c>
      <c r="U82" s="89">
        <f t="shared" si="43"/>
        <v>0.82503164785879635</v>
      </c>
      <c r="V82" s="89">
        <f t="shared" si="44"/>
        <v>1.0186169292835858</v>
      </c>
      <c r="W82" s="89">
        <f t="shared" si="45"/>
        <v>0.99982233803150544</v>
      </c>
      <c r="X82" s="90">
        <f t="shared" si="46"/>
        <v>0.84024189814814831</v>
      </c>
      <c r="Y82" s="106"/>
      <c r="Z82" s="120">
        <v>3</v>
      </c>
      <c r="AA82" s="117"/>
      <c r="AB82" s="117"/>
      <c r="AC82" s="117"/>
      <c r="AD82" s="118"/>
      <c r="AE82" s="110">
        <f>Table24[[#This Row],[H. จำนวนชิ้น
งานทั้งหมด
ที่ผลิตได้ 
(Total Count)]]/512*1</f>
        <v>32.98046875</v>
      </c>
      <c r="AF82" s="111">
        <f t="shared" si="29"/>
        <v>37.377864583333334</v>
      </c>
      <c r="AG82" s="111">
        <f t="shared" si="30"/>
        <v>19.238606770833332</v>
      </c>
      <c r="AH82" s="111">
        <f t="shared" si="31"/>
        <v>20.337955729166666</v>
      </c>
      <c r="AI82" s="111">
        <v>10</v>
      </c>
      <c r="AJ82" s="112">
        <v>5</v>
      </c>
      <c r="AK82" s="113">
        <v>10</v>
      </c>
      <c r="AL82" s="114">
        <f>SUMIFS(Table1[Column1],Table1[Date],'OEE AHV'!$B82,Table1[M/C],'OEE AHV'!$D82,Table1[Case downtime],'OEE AHV'!AL$2)</f>
        <v>0</v>
      </c>
      <c r="AM82" s="114">
        <f>SUMIFS(Table1[Column1],Table1[Date],'OEE AHV'!$B82,Table1[M/C],'OEE AHV'!$D82,Table1[Case downtime],'OEE AHV'!AM$2)</f>
        <v>0</v>
      </c>
      <c r="AN82" s="114">
        <f>SUMIFS(Table1[Column1],Table1[Date],'OEE AHV'!$B82,Table1[M/C],'OEE AHV'!$D82,Table1[Case downtime],'OEE AHV'!AN$2)</f>
        <v>0</v>
      </c>
      <c r="AO82" s="114">
        <f>SUMIFS(Table1[Column1],Table1[Date],'OEE AHV'!$B82,Table1[M/C],'OEE AHV'!$D82,Table1[Case downtime],'OEE AHV'!AO$2)</f>
        <v>0</v>
      </c>
      <c r="AP82" s="114">
        <f>SUMIFS(Table1[Column1],Table1[Date],'OEE AHV'!$B82,Table1[M/C],'OEE AHV'!$D82,Table1[Case downtime],'OEE AHV'!AP$2)</f>
        <v>0</v>
      </c>
      <c r="AQ82" s="114">
        <f>SUMIFS(Table1[Column1],Table1[Date],'OEE AHV'!$B82,Table1[M/C],'OEE AHV'!$D82,Table1[Case downtime],'OEE AHV'!AQ$2)</f>
        <v>0</v>
      </c>
      <c r="AR82" s="114">
        <f>SUMIFS(Table1[Column1],Table1[Date],'OEE AHV'!$B82,Table1[M/C],'OEE AHV'!$D82,Table1[Case downtime],'OEE AHV'!AR$2)</f>
        <v>0</v>
      </c>
      <c r="AS82" s="114">
        <f>SUMIFS(Table1[Column1],Table1[Date],'OEE AHV'!$B82,Table1[M/C],'OEE AHV'!$D82,Table1[Case downtime],'OEE AHV'!AS$2)</f>
        <v>0</v>
      </c>
      <c r="AT82" s="114">
        <f>SUMIFS(Table1[Column1],Table1[Date],'OEE AHV'!$B82,Table1[M/C],'OEE AHV'!$D82,Table1[Case downtime],'OEE AHV'!AT$2)</f>
        <v>0</v>
      </c>
      <c r="AU82" s="114">
        <f>SUMIFS(Table1[Column1],Table1[Date],'OEE AHV'!$B82,Table1[M/C],'OEE AHV'!$D82,Table1[Case downtime],'OEE AHV'!AU$2)</f>
        <v>0</v>
      </c>
      <c r="AV82" s="114">
        <f>SUMIFS(Table1[Column1],Table1[Date],'OEE AHV'!$B82,Table1[M/C],'OEE AHV'!$D82,Table1[Case downtime],'OEE AHV'!AV$2)</f>
        <v>150</v>
      </c>
      <c r="AW82" s="114">
        <f>SUMIFS(Table1[Column1],Table1[Date],'OEE AHV'!$B82,Table1[M/C],'OEE AHV'!$D82,Table1[Case downtime],'OEE AHV'!AW$2)</f>
        <v>0</v>
      </c>
      <c r="AX82" s="183">
        <f>SUMIFS(Table1[Column1],Table1[Date],'OEE AHV'!$B82,Table1[M/C],'OEE AHV'!$D82,Table1[Case downtime],'OEE AHV'!AX$2)</f>
        <v>0</v>
      </c>
    </row>
    <row r="83" spans="2:50" s="115" customFormat="1" ht="30" hidden="1" customHeight="1">
      <c r="B83" s="91">
        <v>46063</v>
      </c>
      <c r="C83" s="92" t="s">
        <v>136</v>
      </c>
      <c r="D83" s="92" t="s">
        <v>123</v>
      </c>
      <c r="E83" s="80">
        <v>4.3</v>
      </c>
      <c r="F83" s="81">
        <v>24</v>
      </c>
      <c r="G83" s="95">
        <f t="shared" si="34"/>
        <v>1440</v>
      </c>
      <c r="H83" s="82">
        <v>0</v>
      </c>
      <c r="I83" s="82">
        <f t="shared" si="22"/>
        <v>1440</v>
      </c>
      <c r="J83" s="82">
        <f t="shared" si="35"/>
        <v>106.552734375</v>
      </c>
      <c r="K83" s="83">
        <f t="shared" si="36"/>
        <v>0</v>
      </c>
      <c r="L83" s="82">
        <f t="shared" si="37"/>
        <v>106.552734375</v>
      </c>
      <c r="M83" s="84">
        <f t="shared" si="38"/>
        <v>1333.447265625</v>
      </c>
      <c r="N83" s="96">
        <v>8172</v>
      </c>
      <c r="O83" s="95"/>
      <c r="P83" s="97">
        <v>9723</v>
      </c>
      <c r="Q83" s="135">
        <f t="shared" si="39"/>
        <v>17895</v>
      </c>
      <c r="R83" s="83">
        <f t="shared" si="40"/>
        <v>2</v>
      </c>
      <c r="S83" s="87">
        <f t="shared" si="41"/>
        <v>17893</v>
      </c>
      <c r="T83" s="88">
        <f t="shared" si="42"/>
        <v>18606.240915697676</v>
      </c>
      <c r="U83" s="89">
        <f t="shared" si="43"/>
        <v>0.92600504557291663</v>
      </c>
      <c r="V83" s="89">
        <f t="shared" si="44"/>
        <v>0.96177406715734737</v>
      </c>
      <c r="W83" s="89">
        <f t="shared" si="45"/>
        <v>0.99988823693769213</v>
      </c>
      <c r="X83" s="90">
        <f t="shared" si="46"/>
        <v>0.89050810185185181</v>
      </c>
      <c r="Y83" s="106"/>
      <c r="Z83" s="120">
        <v>2</v>
      </c>
      <c r="AA83" s="117"/>
      <c r="AB83" s="117"/>
      <c r="AC83" s="117"/>
      <c r="AD83" s="118"/>
      <c r="AE83" s="110">
        <f>Table24[[#This Row],[H. จำนวนชิ้น
งานทั้งหมด
ที่ผลิตได้ 
(Total Count)]]/512*1</f>
        <v>34.951171875</v>
      </c>
      <c r="AF83" s="111">
        <f t="shared" si="29"/>
        <v>39.611328125</v>
      </c>
      <c r="AG83" s="111">
        <f t="shared" si="30"/>
        <v>20.38818359375</v>
      </c>
      <c r="AH83" s="111">
        <f t="shared" si="31"/>
        <v>21.55322265625</v>
      </c>
      <c r="AI83" s="111">
        <v>10</v>
      </c>
      <c r="AJ83" s="112">
        <v>5</v>
      </c>
      <c r="AK83" s="113">
        <v>10</v>
      </c>
      <c r="AL83" s="114">
        <f>SUMIFS(Table1[Column1],Table1[Date],'OEE AHV'!$B83,Table1[M/C],'OEE AHV'!$D83,Table1[Case downtime],'OEE AHV'!AL$2)</f>
        <v>0</v>
      </c>
      <c r="AM83" s="114">
        <f>SUMIFS(Table1[Column1],Table1[Date],'OEE AHV'!$B83,Table1[M/C],'OEE AHV'!$D83,Table1[Case downtime],'OEE AHV'!AM$2)</f>
        <v>0</v>
      </c>
      <c r="AN83" s="114">
        <f>SUMIFS(Table1[Column1],Table1[Date],'OEE AHV'!$B83,Table1[M/C],'OEE AHV'!$D83,Table1[Case downtime],'OEE AHV'!AN$2)</f>
        <v>0</v>
      </c>
      <c r="AO83" s="114">
        <f>SUMIFS(Table1[Column1],Table1[Date],'OEE AHV'!$B83,Table1[M/C],'OEE AHV'!$D83,Table1[Case downtime],'OEE AHV'!AO$2)</f>
        <v>0</v>
      </c>
      <c r="AP83" s="114">
        <f>SUMIFS(Table1[Column1],Table1[Date],'OEE AHV'!$B83,Table1[M/C],'OEE AHV'!$D83,Table1[Case downtime],'OEE AHV'!AP$2)</f>
        <v>0</v>
      </c>
      <c r="AQ83" s="114">
        <f>SUMIFS(Table1[Column1],Table1[Date],'OEE AHV'!$B83,Table1[M/C],'OEE AHV'!$D83,Table1[Case downtime],'OEE AHV'!AQ$2)</f>
        <v>0</v>
      </c>
      <c r="AR83" s="114">
        <f>SUMIFS(Table1[Column1],Table1[Date],'OEE AHV'!$B83,Table1[M/C],'OEE AHV'!$D83,Table1[Case downtime],'OEE AHV'!AR$2)</f>
        <v>0</v>
      </c>
      <c r="AS83" s="114">
        <f>SUMIFS(Table1[Column1],Table1[Date],'OEE AHV'!$B83,Table1[M/C],'OEE AHV'!$D83,Table1[Case downtime],'OEE AHV'!AS$2)</f>
        <v>0</v>
      </c>
      <c r="AT83" s="114">
        <f>SUMIFS(Table1[Column1],Table1[Date],'OEE AHV'!$B83,Table1[M/C],'OEE AHV'!$D83,Table1[Case downtime],'OEE AHV'!AT$2)</f>
        <v>0</v>
      </c>
      <c r="AU83" s="114">
        <f>SUMIFS(Table1[Column1],Table1[Date],'OEE AHV'!$B83,Table1[M/C],'OEE AHV'!$D83,Table1[Case downtime],'OEE AHV'!AU$2)</f>
        <v>0</v>
      </c>
      <c r="AV83" s="114">
        <f>SUMIFS(Table1[Column1],Table1[Date],'OEE AHV'!$B83,Table1[M/C],'OEE AHV'!$D83,Table1[Case downtime],'OEE AHV'!AV$2)</f>
        <v>0</v>
      </c>
      <c r="AW83" s="114">
        <f>SUMIFS(Table1[Column1],Table1[Date],'OEE AHV'!$B83,Table1[M/C],'OEE AHV'!$D83,Table1[Case downtime],'OEE AHV'!AW$2)</f>
        <v>0</v>
      </c>
      <c r="AX83" s="183">
        <f>SUMIFS(Table1[Column1],Table1[Date],'OEE AHV'!$B83,Table1[M/C],'OEE AHV'!$D83,Table1[Case downtime],'OEE AHV'!AX$2)</f>
        <v>0</v>
      </c>
    </row>
    <row r="84" spans="2:50" s="115" customFormat="1" ht="30" hidden="1" customHeight="1">
      <c r="B84" s="91">
        <v>46064</v>
      </c>
      <c r="C84" s="92" t="s">
        <v>136</v>
      </c>
      <c r="D84" s="92" t="s">
        <v>123</v>
      </c>
      <c r="E84" s="80">
        <v>4.3</v>
      </c>
      <c r="F84" s="81">
        <v>24</v>
      </c>
      <c r="G84" s="95">
        <f t="shared" si="34"/>
        <v>1440</v>
      </c>
      <c r="H84" s="82">
        <v>0</v>
      </c>
      <c r="I84" s="82">
        <f t="shared" si="22"/>
        <v>1440</v>
      </c>
      <c r="J84" s="82">
        <f t="shared" si="35"/>
        <v>108.91341145833333</v>
      </c>
      <c r="K84" s="83">
        <f t="shared" si="36"/>
        <v>0</v>
      </c>
      <c r="L84" s="82">
        <f t="shared" si="37"/>
        <v>108.91341145833333</v>
      </c>
      <c r="M84" s="84">
        <f t="shared" si="38"/>
        <v>1331.0865885416667</v>
      </c>
      <c r="N84" s="96">
        <v>8691</v>
      </c>
      <c r="O84" s="95"/>
      <c r="P84" s="97">
        <v>9722</v>
      </c>
      <c r="Q84" s="135">
        <f t="shared" si="39"/>
        <v>18413</v>
      </c>
      <c r="R84" s="83">
        <f t="shared" si="40"/>
        <v>2</v>
      </c>
      <c r="S84" s="87">
        <f t="shared" si="41"/>
        <v>18411</v>
      </c>
      <c r="T84" s="88">
        <f t="shared" si="42"/>
        <v>18573.301235465118</v>
      </c>
      <c r="U84" s="89">
        <f t="shared" si="43"/>
        <v>0.92436568648726858</v>
      </c>
      <c r="V84" s="89">
        <f t="shared" si="44"/>
        <v>0.99136926530007341</v>
      </c>
      <c r="W84" s="89">
        <f t="shared" si="45"/>
        <v>0.99989138108944764</v>
      </c>
      <c r="X84" s="90">
        <f t="shared" si="46"/>
        <v>0.91628819444444443</v>
      </c>
      <c r="Y84" s="106"/>
      <c r="Z84" s="120">
        <v>2</v>
      </c>
      <c r="AA84" s="117"/>
      <c r="AB84" s="117"/>
      <c r="AC84" s="117"/>
      <c r="AD84" s="118"/>
      <c r="AE84" s="110">
        <f>Table24[[#This Row],[H. จำนวนชิ้น
งานทั้งหมด
ที่ผลิตได้ 
(Total Count)]]/512*1</f>
        <v>35.962890625</v>
      </c>
      <c r="AF84" s="111">
        <f t="shared" si="29"/>
        <v>40.757942708333331</v>
      </c>
      <c r="AG84" s="111">
        <f t="shared" si="30"/>
        <v>20.978352864583332</v>
      </c>
      <c r="AH84" s="111">
        <f t="shared" si="31"/>
        <v>22.177115885416665</v>
      </c>
      <c r="AI84" s="111">
        <v>10</v>
      </c>
      <c r="AJ84" s="112">
        <v>5</v>
      </c>
      <c r="AK84" s="113">
        <v>10</v>
      </c>
      <c r="AL84" s="114">
        <f>SUMIFS(Table1[Column1],Table1[Date],'OEE AHV'!$B84,Table1[M/C],'OEE AHV'!$D84,Table1[Case downtime],'OEE AHV'!AL$2)</f>
        <v>0</v>
      </c>
      <c r="AM84" s="114">
        <f>SUMIFS(Table1[Column1],Table1[Date],'OEE AHV'!$B84,Table1[M/C],'OEE AHV'!$D84,Table1[Case downtime],'OEE AHV'!AM$2)</f>
        <v>0</v>
      </c>
      <c r="AN84" s="114">
        <f>SUMIFS(Table1[Column1],Table1[Date],'OEE AHV'!$B84,Table1[M/C],'OEE AHV'!$D84,Table1[Case downtime],'OEE AHV'!AN$2)</f>
        <v>0</v>
      </c>
      <c r="AO84" s="114">
        <f>SUMIFS(Table1[Column1],Table1[Date],'OEE AHV'!$B84,Table1[M/C],'OEE AHV'!$D84,Table1[Case downtime],'OEE AHV'!AO$2)</f>
        <v>0</v>
      </c>
      <c r="AP84" s="114">
        <f>SUMIFS(Table1[Column1],Table1[Date],'OEE AHV'!$B84,Table1[M/C],'OEE AHV'!$D84,Table1[Case downtime],'OEE AHV'!AP$2)</f>
        <v>0</v>
      </c>
      <c r="AQ84" s="114">
        <f>SUMIFS(Table1[Column1],Table1[Date],'OEE AHV'!$B84,Table1[M/C],'OEE AHV'!$D84,Table1[Case downtime],'OEE AHV'!AQ$2)</f>
        <v>0</v>
      </c>
      <c r="AR84" s="114">
        <f>SUMIFS(Table1[Column1],Table1[Date],'OEE AHV'!$B84,Table1[M/C],'OEE AHV'!$D84,Table1[Case downtime],'OEE AHV'!AR$2)</f>
        <v>0</v>
      </c>
      <c r="AS84" s="114">
        <f>SUMIFS(Table1[Column1],Table1[Date],'OEE AHV'!$B84,Table1[M/C],'OEE AHV'!$D84,Table1[Case downtime],'OEE AHV'!AS$2)</f>
        <v>0</v>
      </c>
      <c r="AT84" s="114">
        <f>SUMIFS(Table1[Column1],Table1[Date],'OEE AHV'!$B84,Table1[M/C],'OEE AHV'!$D84,Table1[Case downtime],'OEE AHV'!AT$2)</f>
        <v>0</v>
      </c>
      <c r="AU84" s="114">
        <f>SUMIFS(Table1[Column1],Table1[Date],'OEE AHV'!$B84,Table1[M/C],'OEE AHV'!$D84,Table1[Case downtime],'OEE AHV'!AU$2)</f>
        <v>0</v>
      </c>
      <c r="AV84" s="114">
        <f>SUMIFS(Table1[Column1],Table1[Date],'OEE AHV'!$B84,Table1[M/C],'OEE AHV'!$D84,Table1[Case downtime],'OEE AHV'!AV$2)</f>
        <v>0</v>
      </c>
      <c r="AW84" s="114">
        <f>SUMIFS(Table1[Column1],Table1[Date],'OEE AHV'!$B84,Table1[M/C],'OEE AHV'!$D84,Table1[Case downtime],'OEE AHV'!AW$2)</f>
        <v>0</v>
      </c>
      <c r="AX84" s="183">
        <f>SUMIFS(Table1[Column1],Table1[Date],'OEE AHV'!$B84,Table1[M/C],'OEE AHV'!$D84,Table1[Case downtime],'OEE AHV'!AX$2)</f>
        <v>0</v>
      </c>
    </row>
    <row r="85" spans="2:50" s="115" customFormat="1" ht="30" hidden="1" customHeight="1">
      <c r="B85" s="91">
        <v>46065</v>
      </c>
      <c r="C85" s="92" t="s">
        <v>136</v>
      </c>
      <c r="D85" s="92" t="s">
        <v>123</v>
      </c>
      <c r="E85" s="80">
        <v>4.3</v>
      </c>
      <c r="F85" s="81">
        <v>24</v>
      </c>
      <c r="G85" s="95">
        <f t="shared" si="34"/>
        <v>1440</v>
      </c>
      <c r="H85" s="82">
        <v>0</v>
      </c>
      <c r="I85" s="82">
        <f t="shared" si="22"/>
        <v>1440</v>
      </c>
      <c r="J85" s="82">
        <f t="shared" si="35"/>
        <v>104.29231770833333</v>
      </c>
      <c r="K85" s="83">
        <f t="shared" si="36"/>
        <v>0</v>
      </c>
      <c r="L85" s="82">
        <f t="shared" si="37"/>
        <v>104.29231770833333</v>
      </c>
      <c r="M85" s="84">
        <f t="shared" si="38"/>
        <v>1335.7076822916667</v>
      </c>
      <c r="N85" s="96">
        <v>7679</v>
      </c>
      <c r="O85" s="95"/>
      <c r="P85" s="97">
        <v>9720</v>
      </c>
      <c r="Q85" s="135">
        <f t="shared" si="39"/>
        <v>17399</v>
      </c>
      <c r="R85" s="83">
        <f t="shared" si="40"/>
        <v>3</v>
      </c>
      <c r="S85" s="87">
        <f t="shared" si="41"/>
        <v>17396</v>
      </c>
      <c r="T85" s="88">
        <f t="shared" si="42"/>
        <v>18637.781613372095</v>
      </c>
      <c r="U85" s="89">
        <f t="shared" si="43"/>
        <v>0.92757477936921306</v>
      </c>
      <c r="V85" s="89">
        <f t="shared" si="44"/>
        <v>0.93353384865915034</v>
      </c>
      <c r="W85" s="89">
        <f t="shared" si="45"/>
        <v>0.99982757629748831</v>
      </c>
      <c r="X85" s="90">
        <f t="shared" si="46"/>
        <v>0.8657731481481481</v>
      </c>
      <c r="Y85" s="106"/>
      <c r="Z85" s="120">
        <v>3</v>
      </c>
      <c r="AA85" s="117"/>
      <c r="AB85" s="117"/>
      <c r="AC85" s="117"/>
      <c r="AD85" s="118"/>
      <c r="AE85" s="110">
        <f>Table24[[#This Row],[H. จำนวนชิ้น
งานทั้งหมด
ที่ผลิตได้ 
(Total Count)]]/512*1</f>
        <v>33.982421875</v>
      </c>
      <c r="AF85" s="111">
        <f t="shared" si="29"/>
        <v>38.51341145833333</v>
      </c>
      <c r="AG85" s="111">
        <f t="shared" si="30"/>
        <v>19.823079427083332</v>
      </c>
      <c r="AH85" s="111">
        <f t="shared" si="31"/>
        <v>20.955826822916666</v>
      </c>
      <c r="AI85" s="111">
        <v>10</v>
      </c>
      <c r="AJ85" s="112">
        <v>5</v>
      </c>
      <c r="AK85" s="113">
        <v>10</v>
      </c>
      <c r="AL85" s="114">
        <f>SUMIFS(Table1[Column1],Table1[Date],'OEE AHV'!$B85,Table1[M/C],'OEE AHV'!$D85,Table1[Case downtime],'OEE AHV'!AL$2)</f>
        <v>0</v>
      </c>
      <c r="AM85" s="114">
        <f>SUMIFS(Table1[Column1],Table1[Date],'OEE AHV'!$B85,Table1[M/C],'OEE AHV'!$D85,Table1[Case downtime],'OEE AHV'!AM$2)</f>
        <v>0</v>
      </c>
      <c r="AN85" s="114">
        <f>SUMIFS(Table1[Column1],Table1[Date],'OEE AHV'!$B85,Table1[M/C],'OEE AHV'!$D85,Table1[Case downtime],'OEE AHV'!AN$2)</f>
        <v>0</v>
      </c>
      <c r="AO85" s="114">
        <f>SUMIFS(Table1[Column1],Table1[Date],'OEE AHV'!$B85,Table1[M/C],'OEE AHV'!$D85,Table1[Case downtime],'OEE AHV'!AO$2)</f>
        <v>0</v>
      </c>
      <c r="AP85" s="114">
        <f>SUMIFS(Table1[Column1],Table1[Date],'OEE AHV'!$B85,Table1[M/C],'OEE AHV'!$D85,Table1[Case downtime],'OEE AHV'!AP$2)</f>
        <v>0</v>
      </c>
      <c r="AQ85" s="114">
        <f>SUMIFS(Table1[Column1],Table1[Date],'OEE AHV'!$B85,Table1[M/C],'OEE AHV'!$D85,Table1[Case downtime],'OEE AHV'!AQ$2)</f>
        <v>0</v>
      </c>
      <c r="AR85" s="114">
        <f>SUMIFS(Table1[Column1],Table1[Date],'OEE AHV'!$B85,Table1[M/C],'OEE AHV'!$D85,Table1[Case downtime],'OEE AHV'!AR$2)</f>
        <v>0</v>
      </c>
      <c r="AS85" s="114">
        <f>SUMIFS(Table1[Column1],Table1[Date],'OEE AHV'!$B85,Table1[M/C],'OEE AHV'!$D85,Table1[Case downtime],'OEE AHV'!AS$2)</f>
        <v>0</v>
      </c>
      <c r="AT85" s="114">
        <f>SUMIFS(Table1[Column1],Table1[Date],'OEE AHV'!$B85,Table1[M/C],'OEE AHV'!$D85,Table1[Case downtime],'OEE AHV'!AT$2)</f>
        <v>0</v>
      </c>
      <c r="AU85" s="114">
        <f>SUMIFS(Table1[Column1],Table1[Date],'OEE AHV'!$B85,Table1[M/C],'OEE AHV'!$D85,Table1[Case downtime],'OEE AHV'!AU$2)</f>
        <v>0</v>
      </c>
      <c r="AV85" s="114">
        <f>SUMIFS(Table1[Column1],Table1[Date],'OEE AHV'!$B85,Table1[M/C],'OEE AHV'!$D85,Table1[Case downtime],'OEE AHV'!AV$2)</f>
        <v>0</v>
      </c>
      <c r="AW85" s="114">
        <f>SUMIFS(Table1[Column1],Table1[Date],'OEE AHV'!$B85,Table1[M/C],'OEE AHV'!$D85,Table1[Case downtime],'OEE AHV'!AW$2)</f>
        <v>0</v>
      </c>
      <c r="AX85" s="183">
        <f>SUMIFS(Table1[Column1],Table1[Date],'OEE AHV'!$B85,Table1[M/C],'OEE AHV'!$D85,Table1[Case downtime],'OEE AHV'!AX$2)</f>
        <v>0</v>
      </c>
    </row>
    <row r="86" spans="2:50" s="115" customFormat="1" ht="30" hidden="1" customHeight="1">
      <c r="B86" s="91">
        <v>46066</v>
      </c>
      <c r="C86" s="92" t="s">
        <v>136</v>
      </c>
      <c r="D86" s="92" t="s">
        <v>123</v>
      </c>
      <c r="E86" s="80">
        <v>4.3</v>
      </c>
      <c r="F86" s="81">
        <v>24</v>
      </c>
      <c r="G86" s="95">
        <f t="shared" si="34"/>
        <v>1440</v>
      </c>
      <c r="H86" s="82">
        <v>0</v>
      </c>
      <c r="I86" s="82">
        <f t="shared" si="22"/>
        <v>1440</v>
      </c>
      <c r="J86" s="82">
        <f t="shared" si="35"/>
        <v>111.26041666666666</v>
      </c>
      <c r="K86" s="83">
        <f t="shared" si="36"/>
        <v>130</v>
      </c>
      <c r="L86" s="82">
        <f t="shared" si="37"/>
        <v>241.26041666666666</v>
      </c>
      <c r="M86" s="84">
        <f t="shared" si="38"/>
        <v>1198.7395833333333</v>
      </c>
      <c r="N86" s="96">
        <v>9204</v>
      </c>
      <c r="O86" s="95"/>
      <c r="P86" s="97">
        <v>9724</v>
      </c>
      <c r="Q86" s="135">
        <f t="shared" si="39"/>
        <v>18928</v>
      </c>
      <c r="R86" s="83">
        <f t="shared" si="40"/>
        <v>5</v>
      </c>
      <c r="S86" s="87">
        <f t="shared" si="41"/>
        <v>18923</v>
      </c>
      <c r="T86" s="88">
        <f t="shared" si="42"/>
        <v>16726.598837209302</v>
      </c>
      <c r="U86" s="89">
        <f t="shared" si="43"/>
        <v>0.83245804398148138</v>
      </c>
      <c r="V86" s="89">
        <f t="shared" si="44"/>
        <v>1.1316108064894552</v>
      </c>
      <c r="W86" s="89">
        <f t="shared" si="45"/>
        <v>0.99973584108199498</v>
      </c>
      <c r="X86" s="90">
        <f t="shared" si="46"/>
        <v>0.94176967592592598</v>
      </c>
      <c r="Y86" s="106"/>
      <c r="Z86" s="120">
        <v>5</v>
      </c>
      <c r="AA86" s="117"/>
      <c r="AB86" s="117"/>
      <c r="AC86" s="117"/>
      <c r="AD86" s="118"/>
      <c r="AE86" s="110">
        <f>Table24[[#This Row],[H. จำนวนชิ้น
งานทั้งหมด
ที่ผลิตได้ 
(Total Count)]]/512*1</f>
        <v>36.96875</v>
      </c>
      <c r="AF86" s="111">
        <f t="shared" si="29"/>
        <v>41.897916666666667</v>
      </c>
      <c r="AG86" s="111">
        <f t="shared" si="30"/>
        <v>21.565104166666668</v>
      </c>
      <c r="AH86" s="111">
        <f t="shared" si="31"/>
        <v>22.797395833333333</v>
      </c>
      <c r="AI86" s="111">
        <v>10</v>
      </c>
      <c r="AJ86" s="112">
        <v>5</v>
      </c>
      <c r="AK86" s="113">
        <v>10</v>
      </c>
      <c r="AL86" s="114">
        <f>SUMIFS(Table1[Column1],Table1[Date],'OEE AHV'!$B86,Table1[M/C],'OEE AHV'!$D86,Table1[Case downtime],'OEE AHV'!AL$2)</f>
        <v>130</v>
      </c>
      <c r="AM86" s="114">
        <f>SUMIFS(Table1[Column1],Table1[Date],'OEE AHV'!$B86,Table1[M/C],'OEE AHV'!$D86,Table1[Case downtime],'OEE AHV'!AM$2)</f>
        <v>0</v>
      </c>
      <c r="AN86" s="114">
        <f>SUMIFS(Table1[Column1],Table1[Date],'OEE AHV'!$B86,Table1[M/C],'OEE AHV'!$D86,Table1[Case downtime],'OEE AHV'!AN$2)</f>
        <v>0</v>
      </c>
      <c r="AO86" s="114">
        <f>SUMIFS(Table1[Column1],Table1[Date],'OEE AHV'!$B86,Table1[M/C],'OEE AHV'!$D86,Table1[Case downtime],'OEE AHV'!AO$2)</f>
        <v>0</v>
      </c>
      <c r="AP86" s="114">
        <f>SUMIFS(Table1[Column1],Table1[Date],'OEE AHV'!$B86,Table1[M/C],'OEE AHV'!$D86,Table1[Case downtime],'OEE AHV'!AP$2)</f>
        <v>0</v>
      </c>
      <c r="AQ86" s="114">
        <f>SUMIFS(Table1[Column1],Table1[Date],'OEE AHV'!$B86,Table1[M/C],'OEE AHV'!$D86,Table1[Case downtime],'OEE AHV'!AQ$2)</f>
        <v>0</v>
      </c>
      <c r="AR86" s="114">
        <f>SUMIFS(Table1[Column1],Table1[Date],'OEE AHV'!$B86,Table1[M/C],'OEE AHV'!$D86,Table1[Case downtime],'OEE AHV'!AR$2)</f>
        <v>0</v>
      </c>
      <c r="AS86" s="114">
        <f>SUMIFS(Table1[Column1],Table1[Date],'OEE AHV'!$B86,Table1[M/C],'OEE AHV'!$D86,Table1[Case downtime],'OEE AHV'!AS$2)</f>
        <v>0</v>
      </c>
      <c r="AT86" s="114">
        <f>SUMIFS(Table1[Column1],Table1[Date],'OEE AHV'!$B86,Table1[M/C],'OEE AHV'!$D86,Table1[Case downtime],'OEE AHV'!AT$2)</f>
        <v>0</v>
      </c>
      <c r="AU86" s="114">
        <f>SUMIFS(Table1[Column1],Table1[Date],'OEE AHV'!$B86,Table1[M/C],'OEE AHV'!$D86,Table1[Case downtime],'OEE AHV'!AU$2)</f>
        <v>0</v>
      </c>
      <c r="AV86" s="114">
        <f>SUMIFS(Table1[Column1],Table1[Date],'OEE AHV'!$B86,Table1[M/C],'OEE AHV'!$D86,Table1[Case downtime],'OEE AHV'!AV$2)</f>
        <v>0</v>
      </c>
      <c r="AW86" s="114">
        <f>SUMIFS(Table1[Column1],Table1[Date],'OEE AHV'!$B86,Table1[M/C],'OEE AHV'!$D86,Table1[Case downtime],'OEE AHV'!AW$2)</f>
        <v>0</v>
      </c>
      <c r="AX86" s="183">
        <f>SUMIFS(Table1[Column1],Table1[Date],'OEE AHV'!$B86,Table1[M/C],'OEE AHV'!$D86,Table1[Case downtime],'OEE AHV'!AX$2)</f>
        <v>0</v>
      </c>
    </row>
    <row r="87" spans="2:50" s="115" customFormat="1" ht="30" hidden="1" customHeight="1">
      <c r="B87" s="91">
        <v>46067</v>
      </c>
      <c r="C87" s="92" t="s">
        <v>136</v>
      </c>
      <c r="D87" s="92" t="s">
        <v>123</v>
      </c>
      <c r="E87" s="80">
        <v>4.3</v>
      </c>
      <c r="F87" s="81">
        <v>24</v>
      </c>
      <c r="G87" s="95">
        <f t="shared" si="34"/>
        <v>1440</v>
      </c>
      <c r="H87" s="82">
        <v>0</v>
      </c>
      <c r="I87" s="82">
        <f t="shared" si="22"/>
        <v>1440</v>
      </c>
      <c r="J87" s="82">
        <f t="shared" si="35"/>
        <v>111.255859375</v>
      </c>
      <c r="K87" s="83">
        <f t="shared" si="36"/>
        <v>15</v>
      </c>
      <c r="L87" s="82">
        <f t="shared" si="37"/>
        <v>126.255859375</v>
      </c>
      <c r="M87" s="84">
        <f t="shared" si="38"/>
        <v>1313.744140625</v>
      </c>
      <c r="N87" s="96">
        <v>9203</v>
      </c>
      <c r="O87" s="95"/>
      <c r="P87" s="97">
        <v>9724</v>
      </c>
      <c r="Q87" s="135">
        <f t="shared" si="39"/>
        <v>18927</v>
      </c>
      <c r="R87" s="83">
        <f t="shared" si="40"/>
        <v>3</v>
      </c>
      <c r="S87" s="87">
        <f t="shared" si="41"/>
        <v>18924</v>
      </c>
      <c r="T87" s="88">
        <f t="shared" si="42"/>
        <v>18331.313590116279</v>
      </c>
      <c r="U87" s="89">
        <f t="shared" si="43"/>
        <v>0.91232231987847223</v>
      </c>
      <c r="V87" s="89">
        <f t="shared" si="44"/>
        <v>1.0324955659590538</v>
      </c>
      <c r="W87" s="89">
        <f t="shared" si="45"/>
        <v>0.9998414962751625</v>
      </c>
      <c r="X87" s="90">
        <f t="shared" si="46"/>
        <v>0.94181944444444465</v>
      </c>
      <c r="Y87" s="106"/>
      <c r="Z87" s="120">
        <v>3</v>
      </c>
      <c r="AA87" s="117"/>
      <c r="AB87" s="117"/>
      <c r="AC87" s="117"/>
      <c r="AD87" s="118"/>
      <c r="AE87" s="110">
        <f>Table24[[#This Row],[H. จำนวนชิ้น
งานทั้งหมด
ที่ผลิตได้ 
(Total Count)]]/512*1</f>
        <v>36.966796875</v>
      </c>
      <c r="AF87" s="111">
        <f t="shared" si="29"/>
        <v>41.895703124999997</v>
      </c>
      <c r="AG87" s="111">
        <f t="shared" si="30"/>
        <v>21.56396484375</v>
      </c>
      <c r="AH87" s="111">
        <f t="shared" si="31"/>
        <v>22.796191406249999</v>
      </c>
      <c r="AI87" s="111">
        <v>10</v>
      </c>
      <c r="AJ87" s="112">
        <v>5</v>
      </c>
      <c r="AK87" s="113">
        <v>10</v>
      </c>
      <c r="AL87" s="114">
        <f>SUMIFS(Table1[Column1],Table1[Date],'OEE AHV'!$B87,Table1[M/C],'OEE AHV'!$D87,Table1[Case downtime],'OEE AHV'!AL$2)</f>
        <v>15</v>
      </c>
      <c r="AM87" s="114">
        <f>SUMIFS(Table1[Column1],Table1[Date],'OEE AHV'!$B87,Table1[M/C],'OEE AHV'!$D87,Table1[Case downtime],'OEE AHV'!AM$2)</f>
        <v>0</v>
      </c>
      <c r="AN87" s="114">
        <f>SUMIFS(Table1[Column1],Table1[Date],'OEE AHV'!$B87,Table1[M/C],'OEE AHV'!$D87,Table1[Case downtime],'OEE AHV'!AN$2)</f>
        <v>0</v>
      </c>
      <c r="AO87" s="114">
        <f>SUMIFS(Table1[Column1],Table1[Date],'OEE AHV'!$B87,Table1[M/C],'OEE AHV'!$D87,Table1[Case downtime],'OEE AHV'!AO$2)</f>
        <v>0</v>
      </c>
      <c r="AP87" s="114">
        <f>SUMIFS(Table1[Column1],Table1[Date],'OEE AHV'!$B87,Table1[M/C],'OEE AHV'!$D87,Table1[Case downtime],'OEE AHV'!AP$2)</f>
        <v>0</v>
      </c>
      <c r="AQ87" s="114">
        <f>SUMIFS(Table1[Column1],Table1[Date],'OEE AHV'!$B87,Table1[M/C],'OEE AHV'!$D87,Table1[Case downtime],'OEE AHV'!AQ$2)</f>
        <v>0</v>
      </c>
      <c r="AR87" s="114">
        <f>SUMIFS(Table1[Column1],Table1[Date],'OEE AHV'!$B87,Table1[M/C],'OEE AHV'!$D87,Table1[Case downtime],'OEE AHV'!AR$2)</f>
        <v>0</v>
      </c>
      <c r="AS87" s="114">
        <f>SUMIFS(Table1[Column1],Table1[Date],'OEE AHV'!$B87,Table1[M/C],'OEE AHV'!$D87,Table1[Case downtime],'OEE AHV'!AS$2)</f>
        <v>0</v>
      </c>
      <c r="AT87" s="114">
        <f>SUMIFS(Table1[Column1],Table1[Date],'OEE AHV'!$B87,Table1[M/C],'OEE AHV'!$D87,Table1[Case downtime],'OEE AHV'!AT$2)</f>
        <v>0</v>
      </c>
      <c r="AU87" s="114">
        <f>SUMIFS(Table1[Column1],Table1[Date],'OEE AHV'!$B87,Table1[M/C],'OEE AHV'!$D87,Table1[Case downtime],'OEE AHV'!AU$2)</f>
        <v>0</v>
      </c>
      <c r="AV87" s="114">
        <f>SUMIFS(Table1[Column1],Table1[Date],'OEE AHV'!$B87,Table1[M/C],'OEE AHV'!$D87,Table1[Case downtime],'OEE AHV'!AV$2)</f>
        <v>0</v>
      </c>
      <c r="AW87" s="114">
        <f>SUMIFS(Table1[Column1],Table1[Date],'OEE AHV'!$B87,Table1[M/C],'OEE AHV'!$D87,Table1[Case downtime],'OEE AHV'!AW$2)</f>
        <v>0</v>
      </c>
      <c r="AX87" s="183">
        <f>SUMIFS(Table1[Column1],Table1[Date],'OEE AHV'!$B87,Table1[M/C],'OEE AHV'!$D87,Table1[Case downtime],'OEE AHV'!AX$2)</f>
        <v>0</v>
      </c>
    </row>
    <row r="88" spans="2:50" s="115" customFormat="1" ht="30" hidden="1" customHeight="1">
      <c r="B88" s="91">
        <v>46069</v>
      </c>
      <c r="C88" s="92" t="s">
        <v>136</v>
      </c>
      <c r="D88" s="92" t="s">
        <v>123</v>
      </c>
      <c r="E88" s="80">
        <v>4.3</v>
      </c>
      <c r="F88" s="81">
        <v>24</v>
      </c>
      <c r="G88" s="95">
        <f t="shared" si="34"/>
        <v>1440</v>
      </c>
      <c r="H88" s="82">
        <v>0</v>
      </c>
      <c r="I88" s="82">
        <f t="shared" si="22"/>
        <v>1440</v>
      </c>
      <c r="J88" s="82">
        <f t="shared" si="35"/>
        <v>108.91796875</v>
      </c>
      <c r="K88" s="83">
        <f t="shared" si="36"/>
        <v>38</v>
      </c>
      <c r="L88" s="82">
        <f t="shared" si="37"/>
        <v>146.91796875</v>
      </c>
      <c r="M88" s="84">
        <f t="shared" si="38"/>
        <v>1293.08203125</v>
      </c>
      <c r="N88" s="96">
        <v>9204</v>
      </c>
      <c r="O88" s="95"/>
      <c r="P88" s="97">
        <v>9210</v>
      </c>
      <c r="Q88" s="135">
        <f t="shared" si="39"/>
        <v>18414</v>
      </c>
      <c r="R88" s="83">
        <f t="shared" si="40"/>
        <v>8</v>
      </c>
      <c r="S88" s="87">
        <f t="shared" si="41"/>
        <v>18406</v>
      </c>
      <c r="T88" s="88">
        <f t="shared" si="42"/>
        <v>18043.005087209302</v>
      </c>
      <c r="U88" s="89">
        <f t="shared" si="43"/>
        <v>0.89797363281249998</v>
      </c>
      <c r="V88" s="89">
        <f t="shared" si="44"/>
        <v>1.0205617030532068</v>
      </c>
      <c r="W88" s="89">
        <f t="shared" si="45"/>
        <v>0.99956554795264474</v>
      </c>
      <c r="X88" s="90">
        <f t="shared" si="46"/>
        <v>0.91603935185185192</v>
      </c>
      <c r="Y88" s="106"/>
      <c r="Z88" s="120">
        <v>8</v>
      </c>
      <c r="AA88" s="117"/>
      <c r="AB88" s="117"/>
      <c r="AC88" s="117"/>
      <c r="AD88" s="118"/>
      <c r="AE88" s="110">
        <f>Table24[[#This Row],[H. จำนวนชิ้น
งานทั้งหมด
ที่ผลิตได้ 
(Total Count)]]/512*1</f>
        <v>35.96484375</v>
      </c>
      <c r="AF88" s="111">
        <f t="shared" si="29"/>
        <v>40.760156250000001</v>
      </c>
      <c r="AG88" s="111">
        <f t="shared" si="30"/>
        <v>20.9794921875</v>
      </c>
      <c r="AH88" s="111">
        <f t="shared" si="31"/>
        <v>22.178320312499999</v>
      </c>
      <c r="AI88" s="111">
        <v>10</v>
      </c>
      <c r="AJ88" s="112">
        <v>5</v>
      </c>
      <c r="AK88" s="113">
        <v>10</v>
      </c>
      <c r="AL88" s="114">
        <f>SUMIFS(Table1[Column1],Table1[Date],'OEE AHV'!$B88,Table1[M/C],'OEE AHV'!$D88,Table1[Case downtime],'OEE AHV'!AL$2)</f>
        <v>19</v>
      </c>
      <c r="AM88" s="114">
        <f>SUMIFS(Table1[Column1],Table1[Date],'OEE AHV'!$B88,Table1[M/C],'OEE AHV'!$D88,Table1[Case downtime],'OEE AHV'!AM$2)</f>
        <v>0</v>
      </c>
      <c r="AN88" s="114">
        <f>SUMIFS(Table1[Column1],Table1[Date],'OEE AHV'!$B88,Table1[M/C],'OEE AHV'!$D88,Table1[Case downtime],'OEE AHV'!AN$2)</f>
        <v>0</v>
      </c>
      <c r="AO88" s="114">
        <f>SUMIFS(Table1[Column1],Table1[Date],'OEE AHV'!$B88,Table1[M/C],'OEE AHV'!$D88,Table1[Case downtime],'OEE AHV'!AO$2)</f>
        <v>0</v>
      </c>
      <c r="AP88" s="114">
        <f>SUMIFS(Table1[Column1],Table1[Date],'OEE AHV'!$B88,Table1[M/C],'OEE AHV'!$D88,Table1[Case downtime],'OEE AHV'!AP$2)</f>
        <v>0</v>
      </c>
      <c r="AQ88" s="114">
        <f>SUMIFS(Table1[Column1],Table1[Date],'OEE AHV'!$B88,Table1[M/C],'OEE AHV'!$D88,Table1[Case downtime],'OEE AHV'!AQ$2)</f>
        <v>0</v>
      </c>
      <c r="AR88" s="114">
        <f>SUMIFS(Table1[Column1],Table1[Date],'OEE AHV'!$B88,Table1[M/C],'OEE AHV'!$D88,Table1[Case downtime],'OEE AHV'!AR$2)</f>
        <v>19</v>
      </c>
      <c r="AS88" s="114">
        <f>SUMIFS(Table1[Column1],Table1[Date],'OEE AHV'!$B88,Table1[M/C],'OEE AHV'!$D88,Table1[Case downtime],'OEE AHV'!AS$2)</f>
        <v>0</v>
      </c>
      <c r="AT88" s="114">
        <f>SUMIFS(Table1[Column1],Table1[Date],'OEE AHV'!$B88,Table1[M/C],'OEE AHV'!$D88,Table1[Case downtime],'OEE AHV'!AT$2)</f>
        <v>0</v>
      </c>
      <c r="AU88" s="114">
        <f>SUMIFS(Table1[Column1],Table1[Date],'OEE AHV'!$B88,Table1[M/C],'OEE AHV'!$D88,Table1[Case downtime],'OEE AHV'!AU$2)</f>
        <v>0</v>
      </c>
      <c r="AV88" s="114">
        <f>SUMIFS(Table1[Column1],Table1[Date],'OEE AHV'!$B88,Table1[M/C],'OEE AHV'!$D88,Table1[Case downtime],'OEE AHV'!AV$2)</f>
        <v>0</v>
      </c>
      <c r="AW88" s="114">
        <f>SUMIFS(Table1[Column1],Table1[Date],'OEE AHV'!$B88,Table1[M/C],'OEE AHV'!$D88,Table1[Case downtime],'OEE AHV'!AW$2)</f>
        <v>0</v>
      </c>
      <c r="AX88" s="183">
        <f>SUMIFS(Table1[Column1],Table1[Date],'OEE AHV'!$B88,Table1[M/C],'OEE AHV'!$D88,Table1[Case downtime],'OEE AHV'!AX$2)</f>
        <v>0</v>
      </c>
    </row>
    <row r="89" spans="2:50" s="115" customFormat="1" ht="30" hidden="1" customHeight="1">
      <c r="B89" s="91">
        <v>46070</v>
      </c>
      <c r="C89" s="92" t="s">
        <v>136</v>
      </c>
      <c r="D89" s="92" t="s">
        <v>123</v>
      </c>
      <c r="E89" s="80">
        <v>4.3</v>
      </c>
      <c r="F89" s="81">
        <v>24</v>
      </c>
      <c r="G89" s="95">
        <f t="shared" si="34"/>
        <v>1440</v>
      </c>
      <c r="H89" s="82">
        <v>0</v>
      </c>
      <c r="I89" s="82">
        <f t="shared" si="22"/>
        <v>1440</v>
      </c>
      <c r="J89" s="82">
        <f t="shared" si="35"/>
        <v>113.58919270833333</v>
      </c>
      <c r="K89" s="83">
        <f t="shared" si="36"/>
        <v>0</v>
      </c>
      <c r="L89" s="82">
        <f t="shared" si="37"/>
        <v>113.58919270833333</v>
      </c>
      <c r="M89" s="84">
        <f t="shared" si="38"/>
        <v>1326.4108072916667</v>
      </c>
      <c r="N89" s="96">
        <v>9721</v>
      </c>
      <c r="O89" s="95"/>
      <c r="P89" s="97">
        <v>9718</v>
      </c>
      <c r="Q89" s="135">
        <f t="shared" si="39"/>
        <v>19439</v>
      </c>
      <c r="R89" s="83">
        <f t="shared" si="40"/>
        <v>18</v>
      </c>
      <c r="S89" s="87">
        <f t="shared" si="41"/>
        <v>19421</v>
      </c>
      <c r="T89" s="88">
        <f t="shared" si="42"/>
        <v>18508.05777616279</v>
      </c>
      <c r="U89" s="89">
        <f t="shared" si="43"/>
        <v>0.92111861617476853</v>
      </c>
      <c r="V89" s="89">
        <f t="shared" si="44"/>
        <v>1.050299293156314</v>
      </c>
      <c r="W89" s="89">
        <f t="shared" si="45"/>
        <v>0.99907402644168941</v>
      </c>
      <c r="X89" s="90">
        <f t="shared" si="46"/>
        <v>0.96655439814814814</v>
      </c>
      <c r="Y89" s="106"/>
      <c r="Z89" s="120">
        <v>18</v>
      </c>
      <c r="AA89" s="117"/>
      <c r="AB89" s="117"/>
      <c r="AC89" s="117"/>
      <c r="AD89" s="118"/>
      <c r="AE89" s="110">
        <f>Table24[[#This Row],[H. จำนวนชิ้น
งานทั้งหมด
ที่ผลิตได้ 
(Total Count)]]/512*1</f>
        <v>37.966796875</v>
      </c>
      <c r="AF89" s="111">
        <f t="shared" si="29"/>
        <v>43.02903645833333</v>
      </c>
      <c r="AG89" s="111">
        <f t="shared" si="30"/>
        <v>22.147298177083332</v>
      </c>
      <c r="AH89" s="111">
        <f t="shared" si="31"/>
        <v>23.412858072916666</v>
      </c>
      <c r="AI89" s="111">
        <v>10</v>
      </c>
      <c r="AJ89" s="112">
        <v>5</v>
      </c>
      <c r="AK89" s="113">
        <v>10</v>
      </c>
      <c r="AL89" s="114">
        <f>SUMIFS(Table1[Column1],Table1[Date],'OEE AHV'!$B89,Table1[M/C],'OEE AHV'!$D89,Table1[Case downtime],'OEE AHV'!AL$2)</f>
        <v>0</v>
      </c>
      <c r="AM89" s="114">
        <f>SUMIFS(Table1[Column1],Table1[Date],'OEE AHV'!$B89,Table1[M/C],'OEE AHV'!$D89,Table1[Case downtime],'OEE AHV'!AM$2)</f>
        <v>0</v>
      </c>
      <c r="AN89" s="114">
        <f>SUMIFS(Table1[Column1],Table1[Date],'OEE AHV'!$B89,Table1[M/C],'OEE AHV'!$D89,Table1[Case downtime],'OEE AHV'!AN$2)</f>
        <v>0</v>
      </c>
      <c r="AO89" s="114">
        <f>SUMIFS(Table1[Column1],Table1[Date],'OEE AHV'!$B89,Table1[M/C],'OEE AHV'!$D89,Table1[Case downtime],'OEE AHV'!AO$2)</f>
        <v>0</v>
      </c>
      <c r="AP89" s="114">
        <f>SUMIFS(Table1[Column1],Table1[Date],'OEE AHV'!$B89,Table1[M/C],'OEE AHV'!$D89,Table1[Case downtime],'OEE AHV'!AP$2)</f>
        <v>0</v>
      </c>
      <c r="AQ89" s="114">
        <f>SUMIFS(Table1[Column1],Table1[Date],'OEE AHV'!$B89,Table1[M/C],'OEE AHV'!$D89,Table1[Case downtime],'OEE AHV'!AQ$2)</f>
        <v>0</v>
      </c>
      <c r="AR89" s="114">
        <f>SUMIFS(Table1[Column1],Table1[Date],'OEE AHV'!$B89,Table1[M/C],'OEE AHV'!$D89,Table1[Case downtime],'OEE AHV'!AR$2)</f>
        <v>0</v>
      </c>
      <c r="AS89" s="114">
        <f>SUMIFS(Table1[Column1],Table1[Date],'OEE AHV'!$B89,Table1[M/C],'OEE AHV'!$D89,Table1[Case downtime],'OEE AHV'!AS$2)</f>
        <v>0</v>
      </c>
      <c r="AT89" s="114">
        <f>SUMIFS(Table1[Column1],Table1[Date],'OEE AHV'!$B89,Table1[M/C],'OEE AHV'!$D89,Table1[Case downtime],'OEE AHV'!AT$2)</f>
        <v>0</v>
      </c>
      <c r="AU89" s="114">
        <f>SUMIFS(Table1[Column1],Table1[Date],'OEE AHV'!$B89,Table1[M/C],'OEE AHV'!$D89,Table1[Case downtime],'OEE AHV'!AU$2)</f>
        <v>0</v>
      </c>
      <c r="AV89" s="114">
        <f>SUMIFS(Table1[Column1],Table1[Date],'OEE AHV'!$B89,Table1[M/C],'OEE AHV'!$D89,Table1[Case downtime],'OEE AHV'!AV$2)</f>
        <v>0</v>
      </c>
      <c r="AW89" s="114">
        <f>SUMIFS(Table1[Column1],Table1[Date],'OEE AHV'!$B89,Table1[M/C],'OEE AHV'!$D89,Table1[Case downtime],'OEE AHV'!AW$2)</f>
        <v>0</v>
      </c>
      <c r="AX89" s="183">
        <f>SUMIFS(Table1[Column1],Table1[Date],'OEE AHV'!$B89,Table1[M/C],'OEE AHV'!$D89,Table1[Case downtime],'OEE AHV'!AX$2)</f>
        <v>0</v>
      </c>
    </row>
    <row r="90" spans="2:50" s="115" customFormat="1" ht="30" hidden="1" customHeight="1">
      <c r="B90" s="91">
        <v>46071</v>
      </c>
      <c r="C90" s="92" t="s">
        <v>136</v>
      </c>
      <c r="D90" s="92" t="s">
        <v>123</v>
      </c>
      <c r="E90" s="80">
        <v>4.3</v>
      </c>
      <c r="F90" s="81">
        <v>24</v>
      </c>
      <c r="G90" s="95">
        <f t="shared" si="34"/>
        <v>1440</v>
      </c>
      <c r="H90" s="82">
        <v>0</v>
      </c>
      <c r="I90" s="82">
        <f t="shared" si="22"/>
        <v>1440</v>
      </c>
      <c r="J90" s="82">
        <f t="shared" si="35"/>
        <v>113.59375</v>
      </c>
      <c r="K90" s="83">
        <f t="shared" si="36"/>
        <v>0</v>
      </c>
      <c r="L90" s="82">
        <f t="shared" si="37"/>
        <v>113.59375</v>
      </c>
      <c r="M90" s="84">
        <f t="shared" si="38"/>
        <v>1326.40625</v>
      </c>
      <c r="N90" s="96">
        <v>9720</v>
      </c>
      <c r="O90" s="95"/>
      <c r="P90" s="97">
        <v>9720</v>
      </c>
      <c r="Q90" s="135">
        <f t="shared" si="39"/>
        <v>19440</v>
      </c>
      <c r="R90" s="83">
        <f t="shared" si="40"/>
        <v>9</v>
      </c>
      <c r="S90" s="87">
        <f t="shared" si="41"/>
        <v>19431</v>
      </c>
      <c r="T90" s="88">
        <f t="shared" si="42"/>
        <v>18507.994186046511</v>
      </c>
      <c r="U90" s="89">
        <f t="shared" si="43"/>
        <v>0.92111545138888884</v>
      </c>
      <c r="V90" s="89">
        <f t="shared" si="44"/>
        <v>1.0503569325008835</v>
      </c>
      <c r="W90" s="89">
        <f t="shared" si="45"/>
        <v>0.999537037037037</v>
      </c>
      <c r="X90" s="90">
        <f t="shared" si="46"/>
        <v>0.96705208333333326</v>
      </c>
      <c r="Y90" s="106"/>
      <c r="Z90" s="120">
        <v>9</v>
      </c>
      <c r="AA90" s="117"/>
      <c r="AB90" s="117"/>
      <c r="AC90" s="117"/>
      <c r="AD90" s="118"/>
      <c r="AE90" s="110">
        <f>Table24[[#This Row],[H. จำนวนชิ้น
งานทั้งหมด
ที่ผลิตได้ 
(Total Count)]]/512*1</f>
        <v>37.96875</v>
      </c>
      <c r="AF90" s="111">
        <f t="shared" si="29"/>
        <v>43.03125</v>
      </c>
      <c r="AG90" s="111">
        <f t="shared" si="30"/>
        <v>22.1484375</v>
      </c>
      <c r="AH90" s="111">
        <f t="shared" si="31"/>
        <v>23.4140625</v>
      </c>
      <c r="AI90" s="111">
        <v>10</v>
      </c>
      <c r="AJ90" s="112">
        <v>5</v>
      </c>
      <c r="AK90" s="113">
        <v>10</v>
      </c>
      <c r="AL90" s="114">
        <f>SUMIFS(Table1[Column1],Table1[Date],'OEE AHV'!$B90,Table1[M/C],'OEE AHV'!$D90,Table1[Case downtime],'OEE AHV'!AL$2)</f>
        <v>0</v>
      </c>
      <c r="AM90" s="114">
        <f>SUMIFS(Table1[Column1],Table1[Date],'OEE AHV'!$B90,Table1[M/C],'OEE AHV'!$D90,Table1[Case downtime],'OEE AHV'!AM$2)</f>
        <v>0</v>
      </c>
      <c r="AN90" s="114">
        <f>SUMIFS(Table1[Column1],Table1[Date],'OEE AHV'!$B90,Table1[M/C],'OEE AHV'!$D90,Table1[Case downtime],'OEE AHV'!AN$2)</f>
        <v>0</v>
      </c>
      <c r="AO90" s="114">
        <f>SUMIFS(Table1[Column1],Table1[Date],'OEE AHV'!$B90,Table1[M/C],'OEE AHV'!$D90,Table1[Case downtime],'OEE AHV'!AO$2)</f>
        <v>0</v>
      </c>
      <c r="AP90" s="114">
        <f>SUMIFS(Table1[Column1],Table1[Date],'OEE AHV'!$B90,Table1[M/C],'OEE AHV'!$D90,Table1[Case downtime],'OEE AHV'!AP$2)</f>
        <v>0</v>
      </c>
      <c r="AQ90" s="114">
        <f>SUMIFS(Table1[Column1],Table1[Date],'OEE AHV'!$B90,Table1[M/C],'OEE AHV'!$D90,Table1[Case downtime],'OEE AHV'!AQ$2)</f>
        <v>0</v>
      </c>
      <c r="AR90" s="114">
        <f>SUMIFS(Table1[Column1],Table1[Date],'OEE AHV'!$B90,Table1[M/C],'OEE AHV'!$D90,Table1[Case downtime],'OEE AHV'!AR$2)</f>
        <v>0</v>
      </c>
      <c r="AS90" s="114">
        <f>SUMIFS(Table1[Column1],Table1[Date],'OEE AHV'!$B90,Table1[M/C],'OEE AHV'!$D90,Table1[Case downtime],'OEE AHV'!AS$2)</f>
        <v>0</v>
      </c>
      <c r="AT90" s="114">
        <f>SUMIFS(Table1[Column1],Table1[Date],'OEE AHV'!$B90,Table1[M/C],'OEE AHV'!$D90,Table1[Case downtime],'OEE AHV'!AT$2)</f>
        <v>0</v>
      </c>
      <c r="AU90" s="114">
        <f>SUMIFS(Table1[Column1],Table1[Date],'OEE AHV'!$B90,Table1[M/C],'OEE AHV'!$D90,Table1[Case downtime],'OEE AHV'!AU$2)</f>
        <v>0</v>
      </c>
      <c r="AV90" s="114">
        <f>SUMIFS(Table1[Column1],Table1[Date],'OEE AHV'!$B90,Table1[M/C],'OEE AHV'!$D90,Table1[Case downtime],'OEE AHV'!AV$2)</f>
        <v>0</v>
      </c>
      <c r="AW90" s="114">
        <f>SUMIFS(Table1[Column1],Table1[Date],'OEE AHV'!$B90,Table1[M/C],'OEE AHV'!$D90,Table1[Case downtime],'OEE AHV'!AW$2)</f>
        <v>0</v>
      </c>
      <c r="AX90" s="183">
        <f>SUMIFS(Table1[Column1],Table1[Date],'OEE AHV'!$B90,Table1[M/C],'OEE AHV'!$D90,Table1[Case downtime],'OEE AHV'!AX$2)</f>
        <v>0</v>
      </c>
    </row>
    <row r="91" spans="2:50" s="115" customFormat="1" ht="30" hidden="1" customHeight="1">
      <c r="B91" s="91">
        <v>46072</v>
      </c>
      <c r="C91" s="92" t="s">
        <v>136</v>
      </c>
      <c r="D91" s="92" t="s">
        <v>123</v>
      </c>
      <c r="E91" s="80">
        <v>4.3</v>
      </c>
      <c r="F91" s="81">
        <v>24</v>
      </c>
      <c r="G91" s="95">
        <f t="shared" si="34"/>
        <v>1440</v>
      </c>
      <c r="H91" s="82">
        <v>0</v>
      </c>
      <c r="I91" s="82">
        <f t="shared" si="22"/>
        <v>1440</v>
      </c>
      <c r="J91" s="82">
        <f t="shared" si="35"/>
        <v>113.61197916666667</v>
      </c>
      <c r="K91" s="83">
        <f t="shared" si="36"/>
        <v>10</v>
      </c>
      <c r="L91" s="82">
        <f t="shared" si="37"/>
        <v>123.61197916666667</v>
      </c>
      <c r="M91" s="84">
        <f t="shared" si="38"/>
        <v>1316.3880208333333</v>
      </c>
      <c r="N91" s="96">
        <v>9724</v>
      </c>
      <c r="O91" s="95"/>
      <c r="P91" s="97">
        <v>9720</v>
      </c>
      <c r="Q91" s="135">
        <f t="shared" si="39"/>
        <v>19444</v>
      </c>
      <c r="R91" s="83">
        <f t="shared" si="40"/>
        <v>6</v>
      </c>
      <c r="S91" s="87">
        <f t="shared" si="41"/>
        <v>19438</v>
      </c>
      <c r="T91" s="88">
        <f t="shared" si="42"/>
        <v>18368.204941860466</v>
      </c>
      <c r="U91" s="89">
        <f t="shared" si="43"/>
        <v>0.91415834780092586</v>
      </c>
      <c r="V91" s="89">
        <f t="shared" si="44"/>
        <v>1.058568328344804</v>
      </c>
      <c r="W91" s="89">
        <f t="shared" si="45"/>
        <v>0.99969142151820611</v>
      </c>
      <c r="X91" s="90">
        <f t="shared" si="46"/>
        <v>0.96740046296296278</v>
      </c>
      <c r="Y91" s="106"/>
      <c r="Z91" s="120">
        <v>6</v>
      </c>
      <c r="AA91" s="117"/>
      <c r="AB91" s="117"/>
      <c r="AC91" s="117"/>
      <c r="AD91" s="118"/>
      <c r="AE91" s="110">
        <f>Table24[[#This Row],[H. จำนวนชิ้น
งานทั้งหมด
ที่ผลิตได้ 
(Total Count)]]/512*1</f>
        <v>37.9765625</v>
      </c>
      <c r="AF91" s="111">
        <f t="shared" si="29"/>
        <v>43.040104166666666</v>
      </c>
      <c r="AG91" s="111">
        <f t="shared" si="30"/>
        <v>22.152994791666668</v>
      </c>
      <c r="AH91" s="111">
        <f t="shared" si="31"/>
        <v>23.418880208333334</v>
      </c>
      <c r="AI91" s="111">
        <v>10</v>
      </c>
      <c r="AJ91" s="112">
        <v>5</v>
      </c>
      <c r="AK91" s="113">
        <v>10</v>
      </c>
      <c r="AL91" s="114">
        <f>SUMIFS(Table1[Column1],Table1[Date],'OEE AHV'!$B91,Table1[M/C],'OEE AHV'!$D91,Table1[Case downtime],'OEE AHV'!AL$2)</f>
        <v>10</v>
      </c>
      <c r="AM91" s="114">
        <f>SUMIFS(Table1[Column1],Table1[Date],'OEE AHV'!$B91,Table1[M/C],'OEE AHV'!$D91,Table1[Case downtime],'OEE AHV'!AM$2)</f>
        <v>0</v>
      </c>
      <c r="AN91" s="114">
        <f>SUMIFS(Table1[Column1],Table1[Date],'OEE AHV'!$B91,Table1[M/C],'OEE AHV'!$D91,Table1[Case downtime],'OEE AHV'!AN$2)</f>
        <v>0</v>
      </c>
      <c r="AO91" s="114">
        <f>SUMIFS(Table1[Column1],Table1[Date],'OEE AHV'!$B91,Table1[M/C],'OEE AHV'!$D91,Table1[Case downtime],'OEE AHV'!AO$2)</f>
        <v>0</v>
      </c>
      <c r="AP91" s="114">
        <f>SUMIFS(Table1[Column1],Table1[Date],'OEE AHV'!$B91,Table1[M/C],'OEE AHV'!$D91,Table1[Case downtime],'OEE AHV'!AP$2)</f>
        <v>0</v>
      </c>
      <c r="AQ91" s="114">
        <f>SUMIFS(Table1[Column1],Table1[Date],'OEE AHV'!$B91,Table1[M/C],'OEE AHV'!$D91,Table1[Case downtime],'OEE AHV'!AQ$2)</f>
        <v>0</v>
      </c>
      <c r="AR91" s="114">
        <f>SUMIFS(Table1[Column1],Table1[Date],'OEE AHV'!$B91,Table1[M/C],'OEE AHV'!$D91,Table1[Case downtime],'OEE AHV'!AR$2)</f>
        <v>0</v>
      </c>
      <c r="AS91" s="114">
        <f>SUMIFS(Table1[Column1],Table1[Date],'OEE AHV'!$B91,Table1[M/C],'OEE AHV'!$D91,Table1[Case downtime],'OEE AHV'!AS$2)</f>
        <v>0</v>
      </c>
      <c r="AT91" s="114">
        <f>SUMIFS(Table1[Column1],Table1[Date],'OEE AHV'!$B91,Table1[M/C],'OEE AHV'!$D91,Table1[Case downtime],'OEE AHV'!AT$2)</f>
        <v>0</v>
      </c>
      <c r="AU91" s="114">
        <f>SUMIFS(Table1[Column1],Table1[Date],'OEE AHV'!$B91,Table1[M/C],'OEE AHV'!$D91,Table1[Case downtime],'OEE AHV'!AU$2)</f>
        <v>0</v>
      </c>
      <c r="AV91" s="114">
        <f>SUMIFS(Table1[Column1],Table1[Date],'OEE AHV'!$B91,Table1[M/C],'OEE AHV'!$D91,Table1[Case downtime],'OEE AHV'!AV$2)</f>
        <v>0</v>
      </c>
      <c r="AW91" s="114">
        <f>SUMIFS(Table1[Column1],Table1[Date],'OEE AHV'!$B91,Table1[M/C],'OEE AHV'!$D91,Table1[Case downtime],'OEE AHV'!AW$2)</f>
        <v>0</v>
      </c>
      <c r="AX91" s="183">
        <f>SUMIFS(Table1[Column1],Table1[Date],'OEE AHV'!$B91,Table1[M/C],'OEE AHV'!$D91,Table1[Case downtime],'OEE AHV'!AX$2)</f>
        <v>0</v>
      </c>
    </row>
    <row r="92" spans="2:50" s="115" customFormat="1" ht="30" hidden="1" customHeight="1">
      <c r="B92" s="91">
        <v>46073</v>
      </c>
      <c r="C92" s="92" t="s">
        <v>136</v>
      </c>
      <c r="D92" s="92" t="s">
        <v>123</v>
      </c>
      <c r="E92" s="80">
        <v>4.3</v>
      </c>
      <c r="F92" s="81">
        <v>24</v>
      </c>
      <c r="G92" s="95">
        <f t="shared" si="34"/>
        <v>1440</v>
      </c>
      <c r="H92" s="82">
        <v>0</v>
      </c>
      <c r="I92" s="82">
        <f t="shared" si="22"/>
        <v>1440</v>
      </c>
      <c r="J92" s="82">
        <f t="shared" si="35"/>
        <v>104.27408854166666</v>
      </c>
      <c r="K92" s="83">
        <f t="shared" si="36"/>
        <v>119</v>
      </c>
      <c r="L92" s="82">
        <f t="shared" si="37"/>
        <v>223.27408854166666</v>
      </c>
      <c r="M92" s="84">
        <f t="shared" si="38"/>
        <v>1216.7259114583333</v>
      </c>
      <c r="N92" s="96">
        <v>8700</v>
      </c>
      <c r="O92" s="95"/>
      <c r="P92" s="97">
        <v>8695</v>
      </c>
      <c r="Q92" s="135">
        <f t="shared" si="39"/>
        <v>17395</v>
      </c>
      <c r="R92" s="83">
        <f t="shared" si="40"/>
        <v>8</v>
      </c>
      <c r="S92" s="87">
        <f t="shared" si="41"/>
        <v>17387</v>
      </c>
      <c r="T92" s="88">
        <f t="shared" si="42"/>
        <v>16977.570857558141</v>
      </c>
      <c r="U92" s="89">
        <f t="shared" si="43"/>
        <v>0.84494854962384258</v>
      </c>
      <c r="V92" s="89">
        <f t="shared" si="44"/>
        <v>1.0245870946994768</v>
      </c>
      <c r="W92" s="89">
        <f t="shared" si="45"/>
        <v>0.99954009772923258</v>
      </c>
      <c r="X92" s="90">
        <f t="shared" si="46"/>
        <v>0.86532523148148155</v>
      </c>
      <c r="Y92" s="106"/>
      <c r="Z92" s="120">
        <v>8</v>
      </c>
      <c r="AA92" s="117"/>
      <c r="AB92" s="117"/>
      <c r="AC92" s="117"/>
      <c r="AD92" s="118"/>
      <c r="AE92" s="110">
        <f>Table24[[#This Row],[H. จำนวนชิ้น
งานทั้งหมด
ที่ผลิตได้ 
(Total Count)]]/512*1</f>
        <v>33.974609375</v>
      </c>
      <c r="AF92" s="111">
        <f t="shared" si="29"/>
        <v>38.504557291666664</v>
      </c>
      <c r="AG92" s="111">
        <f t="shared" si="30"/>
        <v>19.818522135416668</v>
      </c>
      <c r="AH92" s="111">
        <f t="shared" si="31"/>
        <v>20.951009114583332</v>
      </c>
      <c r="AI92" s="111">
        <v>10</v>
      </c>
      <c r="AJ92" s="112">
        <v>5</v>
      </c>
      <c r="AK92" s="113">
        <v>10</v>
      </c>
      <c r="AL92" s="114">
        <f>SUMIFS(Table1[Column1],Table1[Date],'OEE AHV'!$B92,Table1[M/C],'OEE AHV'!$D92,Table1[Case downtime],'OEE AHV'!AL$2)</f>
        <v>0</v>
      </c>
      <c r="AM92" s="114">
        <f>SUMIFS(Table1[Column1],Table1[Date],'OEE AHV'!$B92,Table1[M/C],'OEE AHV'!$D92,Table1[Case downtime],'OEE AHV'!AM$2)</f>
        <v>0</v>
      </c>
      <c r="AN92" s="114">
        <f>SUMIFS(Table1[Column1],Table1[Date],'OEE AHV'!$B92,Table1[M/C],'OEE AHV'!$D92,Table1[Case downtime],'OEE AHV'!AN$2)</f>
        <v>0</v>
      </c>
      <c r="AO92" s="114">
        <f>SUMIFS(Table1[Column1],Table1[Date],'OEE AHV'!$B92,Table1[M/C],'OEE AHV'!$D92,Table1[Case downtime],'OEE AHV'!AO$2)</f>
        <v>0</v>
      </c>
      <c r="AP92" s="114">
        <f>SUMIFS(Table1[Column1],Table1[Date],'OEE AHV'!$B92,Table1[M/C],'OEE AHV'!$D92,Table1[Case downtime],'OEE AHV'!AP$2)</f>
        <v>0</v>
      </c>
      <c r="AQ92" s="114">
        <f>SUMIFS(Table1[Column1],Table1[Date],'OEE AHV'!$B92,Table1[M/C],'OEE AHV'!$D92,Table1[Case downtime],'OEE AHV'!AQ$2)</f>
        <v>0</v>
      </c>
      <c r="AR92" s="114">
        <f>SUMIFS(Table1[Column1],Table1[Date],'OEE AHV'!$B92,Table1[M/C],'OEE AHV'!$D92,Table1[Case downtime],'OEE AHV'!AR$2)</f>
        <v>0</v>
      </c>
      <c r="AS92" s="114">
        <f>SUMIFS(Table1[Column1],Table1[Date],'OEE AHV'!$B92,Table1[M/C],'OEE AHV'!$D92,Table1[Case downtime],'OEE AHV'!AS$2)</f>
        <v>0</v>
      </c>
      <c r="AT92" s="114">
        <f>SUMIFS(Table1[Column1],Table1[Date],'OEE AHV'!$B92,Table1[M/C],'OEE AHV'!$D92,Table1[Case downtime],'OEE AHV'!AT$2)</f>
        <v>0</v>
      </c>
      <c r="AU92" s="114">
        <f>SUMIFS(Table1[Column1],Table1[Date],'OEE AHV'!$B92,Table1[M/C],'OEE AHV'!$D92,Table1[Case downtime],'OEE AHV'!AU$2)</f>
        <v>0</v>
      </c>
      <c r="AV92" s="114">
        <f>SUMIFS(Table1[Column1],Table1[Date],'OEE AHV'!$B92,Table1[M/C],'OEE AHV'!$D92,Table1[Case downtime],'OEE AHV'!AV$2)</f>
        <v>119</v>
      </c>
      <c r="AW92" s="114">
        <f>SUMIFS(Table1[Column1],Table1[Date],'OEE AHV'!$B92,Table1[M/C],'OEE AHV'!$D92,Table1[Case downtime],'OEE AHV'!AW$2)</f>
        <v>0</v>
      </c>
      <c r="AX92" s="183">
        <f>SUMIFS(Table1[Column1],Table1[Date],'OEE AHV'!$B92,Table1[M/C],'OEE AHV'!$D92,Table1[Case downtime],'OEE AHV'!AX$2)</f>
        <v>0</v>
      </c>
    </row>
    <row r="93" spans="2:50" s="115" customFormat="1" ht="30" hidden="1" customHeight="1">
      <c r="B93" s="91">
        <v>46074</v>
      </c>
      <c r="C93" s="92" t="s">
        <v>136</v>
      </c>
      <c r="D93" s="92" t="s">
        <v>123</v>
      </c>
      <c r="E93" s="80">
        <v>4.3</v>
      </c>
      <c r="F93" s="81">
        <v>24</v>
      </c>
      <c r="G93" s="95">
        <f t="shared" si="34"/>
        <v>1440</v>
      </c>
      <c r="H93" s="82">
        <v>0</v>
      </c>
      <c r="I93" s="82">
        <f t="shared" si="22"/>
        <v>1440</v>
      </c>
      <c r="J93" s="82">
        <f t="shared" si="35"/>
        <v>111.29231770833334</v>
      </c>
      <c r="K93" s="83">
        <f t="shared" si="36"/>
        <v>41</v>
      </c>
      <c r="L93" s="82">
        <f t="shared" si="37"/>
        <v>152.29231770833334</v>
      </c>
      <c r="M93" s="84">
        <f t="shared" si="38"/>
        <v>1287.7076822916667</v>
      </c>
      <c r="N93" s="96">
        <v>9724</v>
      </c>
      <c r="O93" s="95"/>
      <c r="P93" s="97">
        <v>9211</v>
      </c>
      <c r="Q93" s="135">
        <f t="shared" si="39"/>
        <v>18935</v>
      </c>
      <c r="R93" s="83">
        <f t="shared" si="40"/>
        <v>9</v>
      </c>
      <c r="S93" s="87">
        <f t="shared" si="41"/>
        <v>18926</v>
      </c>
      <c r="T93" s="88">
        <f t="shared" si="42"/>
        <v>17968.01417151163</v>
      </c>
      <c r="U93" s="89">
        <f t="shared" si="43"/>
        <v>0.89424144603587963</v>
      </c>
      <c r="V93" s="89">
        <f t="shared" si="44"/>
        <v>1.0538170673318774</v>
      </c>
      <c r="W93" s="89">
        <f t="shared" si="45"/>
        <v>0.99952468972801689</v>
      </c>
      <c r="X93" s="90">
        <f t="shared" si="46"/>
        <v>0.94191898148148134</v>
      </c>
      <c r="Y93" s="106"/>
      <c r="Z93" s="120">
        <v>9</v>
      </c>
      <c r="AA93" s="117"/>
      <c r="AB93" s="117"/>
      <c r="AC93" s="117"/>
      <c r="AD93" s="118"/>
      <c r="AE93" s="110">
        <f>Table24[[#This Row],[H. จำนวนชิ้น
งานทั้งหมด
ที่ผลิตได้ 
(Total Count)]]/512*1</f>
        <v>36.982421875</v>
      </c>
      <c r="AF93" s="111">
        <f t="shared" si="29"/>
        <v>41.913411458333336</v>
      </c>
      <c r="AG93" s="111">
        <f t="shared" si="30"/>
        <v>21.573079427083332</v>
      </c>
      <c r="AH93" s="111">
        <f t="shared" si="31"/>
        <v>22.805826822916668</v>
      </c>
      <c r="AI93" s="111">
        <v>10</v>
      </c>
      <c r="AJ93" s="112">
        <v>5</v>
      </c>
      <c r="AK93" s="113">
        <v>10</v>
      </c>
      <c r="AL93" s="114">
        <f>SUMIFS(Table1[Column1],Table1[Date],'OEE AHV'!$B93,Table1[M/C],'OEE AHV'!$D93,Table1[Case downtime],'OEE AHV'!AL$2)</f>
        <v>0</v>
      </c>
      <c r="AM93" s="114">
        <f>SUMIFS(Table1[Column1],Table1[Date],'OEE AHV'!$B93,Table1[M/C],'OEE AHV'!$D93,Table1[Case downtime],'OEE AHV'!AM$2)</f>
        <v>0</v>
      </c>
      <c r="AN93" s="114">
        <f>SUMIFS(Table1[Column1],Table1[Date],'OEE AHV'!$B93,Table1[M/C],'OEE AHV'!$D93,Table1[Case downtime],'OEE AHV'!AN$2)</f>
        <v>0</v>
      </c>
      <c r="AO93" s="114">
        <f>SUMIFS(Table1[Column1],Table1[Date],'OEE AHV'!$B93,Table1[M/C],'OEE AHV'!$D93,Table1[Case downtime],'OEE AHV'!AO$2)</f>
        <v>0</v>
      </c>
      <c r="AP93" s="114">
        <f>SUMIFS(Table1[Column1],Table1[Date],'OEE AHV'!$B93,Table1[M/C],'OEE AHV'!$D93,Table1[Case downtime],'OEE AHV'!AP$2)</f>
        <v>0</v>
      </c>
      <c r="AQ93" s="114">
        <f>SUMIFS(Table1[Column1],Table1[Date],'OEE AHV'!$B93,Table1[M/C],'OEE AHV'!$D93,Table1[Case downtime],'OEE AHV'!AQ$2)</f>
        <v>0</v>
      </c>
      <c r="AR93" s="114">
        <f>SUMIFS(Table1[Column1],Table1[Date],'OEE AHV'!$B93,Table1[M/C],'OEE AHV'!$D93,Table1[Case downtime],'OEE AHV'!AR$2)</f>
        <v>22</v>
      </c>
      <c r="AS93" s="114">
        <f>SUMIFS(Table1[Column1],Table1[Date],'OEE AHV'!$B93,Table1[M/C],'OEE AHV'!$D93,Table1[Case downtime],'OEE AHV'!AS$2)</f>
        <v>0</v>
      </c>
      <c r="AT93" s="114">
        <f>SUMIFS(Table1[Column1],Table1[Date],'OEE AHV'!$B93,Table1[M/C],'OEE AHV'!$D93,Table1[Case downtime],'OEE AHV'!AT$2)</f>
        <v>0</v>
      </c>
      <c r="AU93" s="114">
        <f>SUMIFS(Table1[Column1],Table1[Date],'OEE AHV'!$B93,Table1[M/C],'OEE AHV'!$D93,Table1[Case downtime],'OEE AHV'!AU$2)</f>
        <v>0</v>
      </c>
      <c r="AV93" s="114">
        <f>SUMIFS(Table1[Column1],Table1[Date],'OEE AHV'!$B93,Table1[M/C],'OEE AHV'!$D93,Table1[Case downtime],'OEE AHV'!AV$2)</f>
        <v>19</v>
      </c>
      <c r="AW93" s="114">
        <f>SUMIFS(Table1[Column1],Table1[Date],'OEE AHV'!$B93,Table1[M/C],'OEE AHV'!$D93,Table1[Case downtime],'OEE AHV'!AW$2)</f>
        <v>0</v>
      </c>
      <c r="AX93" s="183">
        <f>SUMIFS(Table1[Column1],Table1[Date],'OEE AHV'!$B93,Table1[M/C],'OEE AHV'!$D93,Table1[Case downtime],'OEE AHV'!AX$2)</f>
        <v>0</v>
      </c>
    </row>
    <row r="94" spans="2:50" s="115" customFormat="1" ht="30" hidden="1" customHeight="1">
      <c r="B94" s="91">
        <v>46076</v>
      </c>
      <c r="C94" s="92" t="s">
        <v>136</v>
      </c>
      <c r="D94" s="92" t="s">
        <v>123</v>
      </c>
      <c r="E94" s="80">
        <v>4.3</v>
      </c>
      <c r="F94" s="81">
        <v>24</v>
      </c>
      <c r="G94" s="95">
        <f t="shared" si="34"/>
        <v>1440</v>
      </c>
      <c r="H94" s="82">
        <v>0</v>
      </c>
      <c r="I94" s="82">
        <f t="shared" si="22"/>
        <v>1440</v>
      </c>
      <c r="J94" s="82">
        <f t="shared" si="35"/>
        <v>92.602864583333329</v>
      </c>
      <c r="K94" s="83">
        <f t="shared" si="36"/>
        <v>307</v>
      </c>
      <c r="L94" s="82">
        <f t="shared" si="37"/>
        <v>399.60286458333331</v>
      </c>
      <c r="M94" s="84">
        <f t="shared" si="38"/>
        <v>1040.3971354166667</v>
      </c>
      <c r="N94" s="96">
        <v>5623</v>
      </c>
      <c r="O94" s="95"/>
      <c r="P94" s="97">
        <v>9211</v>
      </c>
      <c r="Q94" s="135">
        <f t="shared" si="39"/>
        <v>14834</v>
      </c>
      <c r="R94" s="83">
        <f t="shared" si="40"/>
        <v>4</v>
      </c>
      <c r="S94" s="87">
        <f t="shared" si="41"/>
        <v>14830</v>
      </c>
      <c r="T94" s="88">
        <f t="shared" si="42"/>
        <v>14517.169331395351</v>
      </c>
      <c r="U94" s="89">
        <f t="shared" si="43"/>
        <v>0.7224980107060186</v>
      </c>
      <c r="V94" s="89">
        <f t="shared" si="44"/>
        <v>1.0218245486686899</v>
      </c>
      <c r="W94" s="89">
        <f t="shared" si="45"/>
        <v>0.99973034919778891</v>
      </c>
      <c r="X94" s="90">
        <f t="shared" si="46"/>
        <v>0.73806712962962973</v>
      </c>
      <c r="Y94" s="106"/>
      <c r="Z94" s="120">
        <v>4</v>
      </c>
      <c r="AA94" s="117"/>
      <c r="AB94" s="117"/>
      <c r="AC94" s="117"/>
      <c r="AD94" s="118"/>
      <c r="AE94" s="110">
        <f>Table24[[#This Row],[H. จำนวนชิ้น
งานทั้งหมด
ที่ผลิตได้ 
(Total Count)]]/512*1</f>
        <v>28.97265625</v>
      </c>
      <c r="AF94" s="111">
        <f t="shared" si="29"/>
        <v>32.83567708333333</v>
      </c>
      <c r="AG94" s="111">
        <f t="shared" si="30"/>
        <v>16.900716145833332</v>
      </c>
      <c r="AH94" s="111">
        <f t="shared" si="31"/>
        <v>17.866471354166666</v>
      </c>
      <c r="AI94" s="111">
        <v>10</v>
      </c>
      <c r="AJ94" s="112">
        <v>5</v>
      </c>
      <c r="AK94" s="113">
        <v>10</v>
      </c>
      <c r="AL94" s="114">
        <f>SUMIFS(Table1[Column1],Table1[Date],'OEE AHV'!$B94,Table1[M/C],'OEE AHV'!$D94,Table1[Case downtime],'OEE AHV'!AL$2)</f>
        <v>128</v>
      </c>
      <c r="AM94" s="114">
        <f>SUMIFS(Table1[Column1],Table1[Date],'OEE AHV'!$B94,Table1[M/C],'OEE AHV'!$D94,Table1[Case downtime],'OEE AHV'!AM$2)</f>
        <v>0</v>
      </c>
      <c r="AN94" s="114">
        <f>SUMIFS(Table1[Column1],Table1[Date],'OEE AHV'!$B94,Table1[M/C],'OEE AHV'!$D94,Table1[Case downtime],'OEE AHV'!AN$2)</f>
        <v>0</v>
      </c>
      <c r="AO94" s="114">
        <f>SUMIFS(Table1[Column1],Table1[Date],'OEE AHV'!$B94,Table1[M/C],'OEE AHV'!$D94,Table1[Case downtime],'OEE AHV'!AO$2)</f>
        <v>0</v>
      </c>
      <c r="AP94" s="114">
        <f>SUMIFS(Table1[Column1],Table1[Date],'OEE AHV'!$B94,Table1[M/C],'OEE AHV'!$D94,Table1[Case downtime],'OEE AHV'!AP$2)</f>
        <v>0</v>
      </c>
      <c r="AQ94" s="114">
        <f>SUMIFS(Table1[Column1],Table1[Date],'OEE AHV'!$B94,Table1[M/C],'OEE AHV'!$D94,Table1[Case downtime],'OEE AHV'!AQ$2)</f>
        <v>0</v>
      </c>
      <c r="AR94" s="114">
        <f>SUMIFS(Table1[Column1],Table1[Date],'OEE AHV'!$B94,Table1[M/C],'OEE AHV'!$D94,Table1[Case downtime],'OEE AHV'!AR$2)</f>
        <v>0</v>
      </c>
      <c r="AS94" s="114">
        <f>SUMIFS(Table1[Column1],Table1[Date],'OEE AHV'!$B94,Table1[M/C],'OEE AHV'!$D94,Table1[Case downtime],'OEE AHV'!AS$2)</f>
        <v>0</v>
      </c>
      <c r="AT94" s="114">
        <f>SUMIFS(Table1[Column1],Table1[Date],'OEE AHV'!$B94,Table1[M/C],'OEE AHV'!$D94,Table1[Case downtime],'OEE AHV'!AT$2)</f>
        <v>0</v>
      </c>
      <c r="AU94" s="114">
        <f>SUMIFS(Table1[Column1],Table1[Date],'OEE AHV'!$B94,Table1[M/C],'OEE AHV'!$D94,Table1[Case downtime],'OEE AHV'!AU$2)</f>
        <v>0</v>
      </c>
      <c r="AV94" s="114">
        <f>SUMIFS(Table1[Column1],Table1[Date],'OEE AHV'!$B94,Table1[M/C],'OEE AHV'!$D94,Table1[Case downtime],'OEE AHV'!AV$2)</f>
        <v>179</v>
      </c>
      <c r="AW94" s="114">
        <f>SUMIFS(Table1[Column1],Table1[Date],'OEE AHV'!$B94,Table1[M/C],'OEE AHV'!$D94,Table1[Case downtime],'OEE AHV'!AW$2)</f>
        <v>0</v>
      </c>
      <c r="AX94" s="183">
        <f>SUMIFS(Table1[Column1],Table1[Date],'OEE AHV'!$B94,Table1[M/C],'OEE AHV'!$D94,Table1[Case downtime],'OEE AHV'!AX$2)</f>
        <v>0</v>
      </c>
    </row>
    <row r="95" spans="2:50" s="115" customFormat="1" ht="30" hidden="1" customHeight="1">
      <c r="B95" s="91">
        <v>46077</v>
      </c>
      <c r="C95" s="92" t="s">
        <v>136</v>
      </c>
      <c r="D95" s="92" t="s">
        <v>123</v>
      </c>
      <c r="E95" s="80">
        <v>4.3</v>
      </c>
      <c r="F95" s="81">
        <v>24</v>
      </c>
      <c r="G95" s="95">
        <f t="shared" si="34"/>
        <v>1440</v>
      </c>
      <c r="H95" s="82">
        <v>0</v>
      </c>
      <c r="I95" s="82">
        <f t="shared" si="22"/>
        <v>1440</v>
      </c>
      <c r="J95" s="82">
        <f t="shared" si="35"/>
        <v>108.91796875</v>
      </c>
      <c r="K95" s="83">
        <f t="shared" si="36"/>
        <v>45</v>
      </c>
      <c r="L95" s="82">
        <f t="shared" si="37"/>
        <v>153.91796875</v>
      </c>
      <c r="M95" s="84">
        <f t="shared" si="38"/>
        <v>1286.08203125</v>
      </c>
      <c r="N95" s="96">
        <v>8696</v>
      </c>
      <c r="O95" s="95"/>
      <c r="P95" s="97">
        <v>9718</v>
      </c>
      <c r="Q95" s="135">
        <f t="shared" si="39"/>
        <v>18414</v>
      </c>
      <c r="R95" s="83">
        <f t="shared" si="40"/>
        <v>3</v>
      </c>
      <c r="S95" s="87">
        <f t="shared" si="41"/>
        <v>18411</v>
      </c>
      <c r="T95" s="88">
        <f t="shared" si="42"/>
        <v>17945.330668604653</v>
      </c>
      <c r="U95" s="89">
        <f t="shared" si="43"/>
        <v>0.89311252170138888</v>
      </c>
      <c r="V95" s="89">
        <f t="shared" si="44"/>
        <v>1.0261165057390269</v>
      </c>
      <c r="W95" s="89">
        <f t="shared" si="45"/>
        <v>0.99983708048224174</v>
      </c>
      <c r="X95" s="90">
        <f t="shared" si="46"/>
        <v>0.91628819444444443</v>
      </c>
      <c r="Y95" s="106"/>
      <c r="Z95" s="120">
        <v>3</v>
      </c>
      <c r="AA95" s="117"/>
      <c r="AB95" s="117"/>
      <c r="AC95" s="117"/>
      <c r="AD95" s="118"/>
      <c r="AE95" s="110">
        <f>Table24[[#This Row],[H. จำนวนชิ้น
งานทั้งหมด
ที่ผลิตได้ 
(Total Count)]]/512*1</f>
        <v>35.96484375</v>
      </c>
      <c r="AF95" s="111">
        <f t="shared" si="29"/>
        <v>40.760156250000001</v>
      </c>
      <c r="AG95" s="111">
        <f t="shared" si="30"/>
        <v>20.9794921875</v>
      </c>
      <c r="AH95" s="111">
        <f t="shared" si="31"/>
        <v>22.178320312499999</v>
      </c>
      <c r="AI95" s="111">
        <v>10</v>
      </c>
      <c r="AJ95" s="112">
        <v>5</v>
      </c>
      <c r="AK95" s="113">
        <v>10</v>
      </c>
      <c r="AL95" s="114">
        <f>SUMIFS(Table1[Column1],Table1[Date],'OEE AHV'!$B95,Table1[M/C],'OEE AHV'!$D95,Table1[Case downtime],'OEE AHV'!AL$2)</f>
        <v>0</v>
      </c>
      <c r="AM95" s="114">
        <f>SUMIFS(Table1[Column1],Table1[Date],'OEE AHV'!$B95,Table1[M/C],'OEE AHV'!$D95,Table1[Case downtime],'OEE AHV'!AM$2)</f>
        <v>18</v>
      </c>
      <c r="AN95" s="114">
        <f>SUMIFS(Table1[Column1],Table1[Date],'OEE AHV'!$B95,Table1[M/C],'OEE AHV'!$D95,Table1[Case downtime],'OEE AHV'!AN$2)</f>
        <v>1</v>
      </c>
      <c r="AO95" s="114">
        <f>SUMIFS(Table1[Column1],Table1[Date],'OEE AHV'!$B95,Table1[M/C],'OEE AHV'!$D95,Table1[Case downtime],'OEE AHV'!AO$2)</f>
        <v>0</v>
      </c>
      <c r="AP95" s="114">
        <f>SUMIFS(Table1[Column1],Table1[Date],'OEE AHV'!$B95,Table1[M/C],'OEE AHV'!$D95,Table1[Case downtime],'OEE AHV'!AP$2)</f>
        <v>0</v>
      </c>
      <c r="AQ95" s="114">
        <f>SUMIFS(Table1[Column1],Table1[Date],'OEE AHV'!$B95,Table1[M/C],'OEE AHV'!$D95,Table1[Case downtime],'OEE AHV'!AQ$2)</f>
        <v>0</v>
      </c>
      <c r="AR95" s="114">
        <f>SUMIFS(Table1[Column1],Table1[Date],'OEE AHV'!$B95,Table1[M/C],'OEE AHV'!$D95,Table1[Case downtime],'OEE AHV'!AR$2)</f>
        <v>0</v>
      </c>
      <c r="AS95" s="114">
        <f>SUMIFS(Table1[Column1],Table1[Date],'OEE AHV'!$B95,Table1[M/C],'OEE AHV'!$D95,Table1[Case downtime],'OEE AHV'!AS$2)</f>
        <v>0</v>
      </c>
      <c r="AT95" s="114">
        <f>SUMIFS(Table1[Column1],Table1[Date],'OEE AHV'!$B95,Table1[M/C],'OEE AHV'!$D95,Table1[Case downtime],'OEE AHV'!AT$2)</f>
        <v>0</v>
      </c>
      <c r="AU95" s="114">
        <f>SUMIFS(Table1[Column1],Table1[Date],'OEE AHV'!$B95,Table1[M/C],'OEE AHV'!$D95,Table1[Case downtime],'OEE AHV'!AU$2)</f>
        <v>0</v>
      </c>
      <c r="AV95" s="114">
        <f>SUMIFS(Table1[Column1],Table1[Date],'OEE AHV'!$B95,Table1[M/C],'OEE AHV'!$D95,Table1[Case downtime],'OEE AHV'!AV$2)</f>
        <v>26</v>
      </c>
      <c r="AW95" s="114">
        <f>SUMIFS(Table1[Column1],Table1[Date],'OEE AHV'!$B95,Table1[M/C],'OEE AHV'!$D95,Table1[Case downtime],'OEE AHV'!AW$2)</f>
        <v>0</v>
      </c>
      <c r="AX95" s="183">
        <f>SUMIFS(Table1[Column1],Table1[Date],'OEE AHV'!$B95,Table1[M/C],'OEE AHV'!$D95,Table1[Case downtime],'OEE AHV'!AX$2)</f>
        <v>0</v>
      </c>
    </row>
    <row r="96" spans="2:50" s="115" customFormat="1" ht="30" hidden="1" customHeight="1">
      <c r="B96" s="91">
        <v>46078</v>
      </c>
      <c r="C96" s="92" t="s">
        <v>136</v>
      </c>
      <c r="D96" s="92" t="s">
        <v>123</v>
      </c>
      <c r="E96" s="80">
        <v>4.3</v>
      </c>
      <c r="F96" s="81">
        <v>24</v>
      </c>
      <c r="G96" s="95">
        <f t="shared" si="34"/>
        <v>1440</v>
      </c>
      <c r="H96" s="82">
        <v>0</v>
      </c>
      <c r="I96" s="82">
        <f t="shared" si="22"/>
        <v>1440</v>
      </c>
      <c r="J96" s="82">
        <f t="shared" si="35"/>
        <v>108.91341145833333</v>
      </c>
      <c r="K96" s="83">
        <f t="shared" si="36"/>
        <v>30</v>
      </c>
      <c r="L96" s="82">
        <f t="shared" si="37"/>
        <v>138.91341145833331</v>
      </c>
      <c r="M96" s="84">
        <f t="shared" si="38"/>
        <v>1301.0865885416667</v>
      </c>
      <c r="N96" s="96">
        <v>8689</v>
      </c>
      <c r="O96" s="95"/>
      <c r="P96" s="97">
        <v>9724</v>
      </c>
      <c r="Q96" s="135">
        <f t="shared" si="39"/>
        <v>18413</v>
      </c>
      <c r="R96" s="83">
        <f t="shared" si="40"/>
        <v>5</v>
      </c>
      <c r="S96" s="87">
        <f t="shared" si="41"/>
        <v>18408</v>
      </c>
      <c r="T96" s="88">
        <f t="shared" si="42"/>
        <v>18154.696584302328</v>
      </c>
      <c r="U96" s="89">
        <f t="shared" si="43"/>
        <v>0.90353235315393521</v>
      </c>
      <c r="V96" s="89">
        <f t="shared" si="44"/>
        <v>1.0142279114662271</v>
      </c>
      <c r="W96" s="89">
        <f t="shared" si="45"/>
        <v>0.99972845272361921</v>
      </c>
      <c r="X96" s="90">
        <f t="shared" si="46"/>
        <v>0.91613888888888861</v>
      </c>
      <c r="Y96" s="106"/>
      <c r="Z96" s="120">
        <v>5</v>
      </c>
      <c r="AA96" s="117"/>
      <c r="AB96" s="117"/>
      <c r="AC96" s="117"/>
      <c r="AD96" s="118"/>
      <c r="AE96" s="110">
        <f>Table24[[#This Row],[H. จำนวนชิ้น
งานทั้งหมด
ที่ผลิตได้ 
(Total Count)]]/512*1</f>
        <v>35.962890625</v>
      </c>
      <c r="AF96" s="111">
        <f t="shared" si="29"/>
        <v>40.757942708333331</v>
      </c>
      <c r="AG96" s="111">
        <f t="shared" si="30"/>
        <v>20.978352864583332</v>
      </c>
      <c r="AH96" s="111">
        <f t="shared" si="31"/>
        <v>22.177115885416665</v>
      </c>
      <c r="AI96" s="111">
        <v>10</v>
      </c>
      <c r="AJ96" s="112">
        <v>5</v>
      </c>
      <c r="AK96" s="113">
        <v>10</v>
      </c>
      <c r="AL96" s="114">
        <f>SUMIFS(Table1[Column1],Table1[Date],'OEE AHV'!$B96,Table1[M/C],'OEE AHV'!$D96,Table1[Case downtime],'OEE AHV'!AL$2)</f>
        <v>0</v>
      </c>
      <c r="AM96" s="114">
        <f>SUMIFS(Table1[Column1],Table1[Date],'OEE AHV'!$B96,Table1[M/C],'OEE AHV'!$D96,Table1[Case downtime],'OEE AHV'!AM$2)</f>
        <v>0</v>
      </c>
      <c r="AN96" s="114">
        <f>SUMIFS(Table1[Column1],Table1[Date],'OEE AHV'!$B96,Table1[M/C],'OEE AHV'!$D96,Table1[Case downtime],'OEE AHV'!AN$2)</f>
        <v>0</v>
      </c>
      <c r="AO96" s="114">
        <f>SUMIFS(Table1[Column1],Table1[Date],'OEE AHV'!$B96,Table1[M/C],'OEE AHV'!$D96,Table1[Case downtime],'OEE AHV'!AO$2)</f>
        <v>0</v>
      </c>
      <c r="AP96" s="114">
        <f>SUMIFS(Table1[Column1],Table1[Date],'OEE AHV'!$B96,Table1[M/C],'OEE AHV'!$D96,Table1[Case downtime],'OEE AHV'!AP$2)</f>
        <v>0</v>
      </c>
      <c r="AQ96" s="114">
        <f>SUMIFS(Table1[Column1],Table1[Date],'OEE AHV'!$B96,Table1[M/C],'OEE AHV'!$D96,Table1[Case downtime],'OEE AHV'!AQ$2)</f>
        <v>0</v>
      </c>
      <c r="AR96" s="114">
        <f>SUMIFS(Table1[Column1],Table1[Date],'OEE AHV'!$B96,Table1[M/C],'OEE AHV'!$D96,Table1[Case downtime],'OEE AHV'!AR$2)</f>
        <v>0</v>
      </c>
      <c r="AS96" s="114">
        <f>SUMIFS(Table1[Column1],Table1[Date],'OEE AHV'!$B96,Table1[M/C],'OEE AHV'!$D96,Table1[Case downtime],'OEE AHV'!AS$2)</f>
        <v>0</v>
      </c>
      <c r="AT96" s="114">
        <f>SUMIFS(Table1[Column1],Table1[Date],'OEE AHV'!$B96,Table1[M/C],'OEE AHV'!$D96,Table1[Case downtime],'OEE AHV'!AT$2)</f>
        <v>0</v>
      </c>
      <c r="AU96" s="114">
        <f>SUMIFS(Table1[Column1],Table1[Date],'OEE AHV'!$B96,Table1[M/C],'OEE AHV'!$D96,Table1[Case downtime],'OEE AHV'!AU$2)</f>
        <v>0</v>
      </c>
      <c r="AV96" s="114">
        <f>SUMIFS(Table1[Column1],Table1[Date],'OEE AHV'!$B96,Table1[M/C],'OEE AHV'!$D96,Table1[Case downtime],'OEE AHV'!AV$2)</f>
        <v>30</v>
      </c>
      <c r="AW96" s="114">
        <f>SUMIFS(Table1[Column1],Table1[Date],'OEE AHV'!$B96,Table1[M/C],'OEE AHV'!$D96,Table1[Case downtime],'OEE AHV'!AW$2)</f>
        <v>0</v>
      </c>
      <c r="AX96" s="183">
        <f>SUMIFS(Table1[Column1],Table1[Date],'OEE AHV'!$B96,Table1[M/C],'OEE AHV'!$D96,Table1[Case downtime],'OEE AHV'!AX$2)</f>
        <v>0</v>
      </c>
    </row>
    <row r="97" spans="2:50" s="115" customFormat="1" ht="30" hidden="1" customHeight="1">
      <c r="B97" s="91">
        <v>46079</v>
      </c>
      <c r="C97" s="92" t="s">
        <v>136</v>
      </c>
      <c r="D97" s="92" t="s">
        <v>123</v>
      </c>
      <c r="E97" s="80">
        <v>4.3</v>
      </c>
      <c r="F97" s="81">
        <v>24</v>
      </c>
      <c r="G97" s="95">
        <f t="shared" ref="G97:G106" si="47">F97*60</f>
        <v>1440</v>
      </c>
      <c r="H97" s="82">
        <v>0</v>
      </c>
      <c r="I97" s="82">
        <f t="shared" ref="I97:I142" si="48">+G97-H97</f>
        <v>1440</v>
      </c>
      <c r="J97" s="82">
        <f t="shared" si="35"/>
        <v>111.22395833333334</v>
      </c>
      <c r="K97" s="83">
        <f t="shared" si="36"/>
        <v>0</v>
      </c>
      <c r="L97" s="82">
        <f t="shared" si="37"/>
        <v>111.22395833333334</v>
      </c>
      <c r="M97" s="84">
        <f t="shared" si="38"/>
        <v>1328.7760416666667</v>
      </c>
      <c r="N97" s="96">
        <v>9198</v>
      </c>
      <c r="O97" s="95"/>
      <c r="P97" s="97">
        <v>9722</v>
      </c>
      <c r="Q97" s="135">
        <f t="shared" si="39"/>
        <v>18920</v>
      </c>
      <c r="R97" s="83">
        <f t="shared" si="40"/>
        <v>6</v>
      </c>
      <c r="S97" s="87">
        <f t="shared" si="41"/>
        <v>18914</v>
      </c>
      <c r="T97" s="88">
        <f t="shared" si="42"/>
        <v>18541.06104651163</v>
      </c>
      <c r="U97" s="89">
        <f t="shared" si="43"/>
        <v>0.92276114004629639</v>
      </c>
      <c r="V97" s="89">
        <f t="shared" si="44"/>
        <v>1.0204378245957864</v>
      </c>
      <c r="W97" s="89">
        <f t="shared" si="45"/>
        <v>0.99968287526427058</v>
      </c>
      <c r="X97" s="90">
        <f t="shared" si="46"/>
        <v>0.94132175925925932</v>
      </c>
      <c r="Y97" s="106"/>
      <c r="Z97" s="120">
        <v>6</v>
      </c>
      <c r="AA97" s="117"/>
      <c r="AB97" s="117"/>
      <c r="AC97" s="117"/>
      <c r="AD97" s="118"/>
      <c r="AE97" s="110">
        <f>Table24[[#This Row],[H. จำนวนชิ้น
งานทั้งหมด
ที่ผลิตได้ 
(Total Count)]]/512*1</f>
        <v>36.953125</v>
      </c>
      <c r="AF97" s="111">
        <f t="shared" si="29"/>
        <v>41.880208333333336</v>
      </c>
      <c r="AG97" s="111">
        <f t="shared" si="30"/>
        <v>21.555989583333332</v>
      </c>
      <c r="AH97" s="111">
        <f t="shared" si="31"/>
        <v>22.787760416666668</v>
      </c>
      <c r="AI97" s="111">
        <v>10</v>
      </c>
      <c r="AJ97" s="112">
        <v>5</v>
      </c>
      <c r="AK97" s="113">
        <v>10</v>
      </c>
      <c r="AL97" s="114">
        <f>SUMIFS(Table1[Column1],Table1[Date],'OEE AHV'!$B97,Table1[M/C],'OEE AHV'!$D97,Table1[Case downtime],'OEE AHV'!AL$2)</f>
        <v>0</v>
      </c>
      <c r="AM97" s="114">
        <f>SUMIFS(Table1[Column1],Table1[Date],'OEE AHV'!$B97,Table1[M/C],'OEE AHV'!$D97,Table1[Case downtime],'OEE AHV'!AM$2)</f>
        <v>0</v>
      </c>
      <c r="AN97" s="114">
        <f>SUMIFS(Table1[Column1],Table1[Date],'OEE AHV'!$B97,Table1[M/C],'OEE AHV'!$D97,Table1[Case downtime],'OEE AHV'!AN$2)</f>
        <v>0</v>
      </c>
      <c r="AO97" s="114">
        <f>SUMIFS(Table1[Column1],Table1[Date],'OEE AHV'!$B97,Table1[M/C],'OEE AHV'!$D97,Table1[Case downtime],'OEE AHV'!AO$2)</f>
        <v>0</v>
      </c>
      <c r="AP97" s="114">
        <f>SUMIFS(Table1[Column1],Table1[Date],'OEE AHV'!$B97,Table1[M/C],'OEE AHV'!$D97,Table1[Case downtime],'OEE AHV'!AP$2)</f>
        <v>0</v>
      </c>
      <c r="AQ97" s="114">
        <f>SUMIFS(Table1[Column1],Table1[Date],'OEE AHV'!$B97,Table1[M/C],'OEE AHV'!$D97,Table1[Case downtime],'OEE AHV'!AQ$2)</f>
        <v>0</v>
      </c>
      <c r="AR97" s="114">
        <f>SUMIFS(Table1[Column1],Table1[Date],'OEE AHV'!$B97,Table1[M/C],'OEE AHV'!$D97,Table1[Case downtime],'OEE AHV'!AR$2)</f>
        <v>0</v>
      </c>
      <c r="AS97" s="114">
        <f>SUMIFS(Table1[Column1],Table1[Date],'OEE AHV'!$B97,Table1[M/C],'OEE AHV'!$D97,Table1[Case downtime],'OEE AHV'!AS$2)</f>
        <v>0</v>
      </c>
      <c r="AT97" s="114">
        <f>SUMIFS(Table1[Column1],Table1[Date],'OEE AHV'!$B97,Table1[M/C],'OEE AHV'!$D97,Table1[Case downtime],'OEE AHV'!AT$2)</f>
        <v>0</v>
      </c>
      <c r="AU97" s="114">
        <f>SUMIFS(Table1[Column1],Table1[Date],'OEE AHV'!$B97,Table1[M/C],'OEE AHV'!$D97,Table1[Case downtime],'OEE AHV'!AU$2)</f>
        <v>0</v>
      </c>
      <c r="AV97" s="114">
        <f>SUMIFS(Table1[Column1],Table1[Date],'OEE AHV'!$B97,Table1[M/C],'OEE AHV'!$D97,Table1[Case downtime],'OEE AHV'!AV$2)</f>
        <v>0</v>
      </c>
      <c r="AW97" s="114">
        <f>SUMIFS(Table1[Column1],Table1[Date],'OEE AHV'!$B97,Table1[M/C],'OEE AHV'!$D97,Table1[Case downtime],'OEE AHV'!AW$2)</f>
        <v>0</v>
      </c>
      <c r="AX97" s="183">
        <f>SUMIFS(Table1[Column1],Table1[Date],'OEE AHV'!$B97,Table1[M/C],'OEE AHV'!$D97,Table1[Case downtime],'OEE AHV'!AX$2)</f>
        <v>0</v>
      </c>
    </row>
    <row r="98" spans="2:50" s="115" customFormat="1" ht="30" hidden="1" customHeight="1">
      <c r="B98" s="91">
        <v>46080</v>
      </c>
      <c r="C98" s="92" t="s">
        <v>136</v>
      </c>
      <c r="D98" s="92" t="s">
        <v>123</v>
      </c>
      <c r="E98" s="80">
        <v>4.3</v>
      </c>
      <c r="F98" s="81">
        <v>24</v>
      </c>
      <c r="G98" s="95">
        <f t="shared" si="47"/>
        <v>1440</v>
      </c>
      <c r="H98" s="82">
        <v>0</v>
      </c>
      <c r="I98" s="82">
        <f t="shared" si="48"/>
        <v>1440</v>
      </c>
      <c r="J98" s="82">
        <f t="shared" si="35"/>
        <v>113.57552083333333</v>
      </c>
      <c r="K98" s="83">
        <f t="shared" si="36"/>
        <v>0</v>
      </c>
      <c r="L98" s="82">
        <f t="shared" si="37"/>
        <v>113.57552083333333</v>
      </c>
      <c r="M98" s="84">
        <f t="shared" si="38"/>
        <v>1326.4244791666667</v>
      </c>
      <c r="N98" s="102">
        <v>9716</v>
      </c>
      <c r="O98" s="103"/>
      <c r="P98" s="104">
        <v>9720</v>
      </c>
      <c r="Q98" s="135">
        <f t="shared" si="39"/>
        <v>19436</v>
      </c>
      <c r="R98" s="83">
        <f t="shared" si="40"/>
        <v>1</v>
      </c>
      <c r="S98" s="87">
        <f t="shared" si="41"/>
        <v>19435</v>
      </c>
      <c r="T98" s="88">
        <f t="shared" si="42"/>
        <v>18508.24854651163</v>
      </c>
      <c r="U98" s="89">
        <f t="shared" si="43"/>
        <v>0.92112811053240751</v>
      </c>
      <c r="V98" s="89">
        <f t="shared" si="44"/>
        <v>1.050126377499033</v>
      </c>
      <c r="W98" s="89">
        <f t="shared" si="45"/>
        <v>0.99994854908417374</v>
      </c>
      <c r="X98" s="90">
        <f t="shared" si="46"/>
        <v>0.96725115740740752</v>
      </c>
      <c r="Y98" s="106"/>
      <c r="Z98" s="120">
        <v>1</v>
      </c>
      <c r="AA98" s="117"/>
      <c r="AB98" s="117"/>
      <c r="AC98" s="117"/>
      <c r="AD98" s="118"/>
      <c r="AE98" s="110">
        <f>Table24[[#This Row],[H. จำนวนชิ้น
งานทั้งหมด
ที่ผลิตได้ 
(Total Count)]]/512*1</f>
        <v>37.9609375</v>
      </c>
      <c r="AF98" s="111">
        <f t="shared" si="29"/>
        <v>43.022395833333334</v>
      </c>
      <c r="AG98" s="111">
        <f t="shared" si="30"/>
        <v>22.143880208333332</v>
      </c>
      <c r="AH98" s="111">
        <f t="shared" si="31"/>
        <v>23.409244791666666</v>
      </c>
      <c r="AI98" s="111">
        <v>10</v>
      </c>
      <c r="AJ98" s="112">
        <v>5</v>
      </c>
      <c r="AK98" s="113">
        <v>10</v>
      </c>
      <c r="AL98" s="114">
        <f>SUMIFS(Table1[Column1],Table1[Date],'OEE AHV'!$B98,Table1[M/C],'OEE AHV'!$D98,Table1[Case downtime],'OEE AHV'!AL$2)</f>
        <v>0</v>
      </c>
      <c r="AM98" s="114">
        <f>SUMIFS(Table1[Column1],Table1[Date],'OEE AHV'!$B98,Table1[M/C],'OEE AHV'!$D98,Table1[Case downtime],'OEE AHV'!AM$2)</f>
        <v>0</v>
      </c>
      <c r="AN98" s="114">
        <f>SUMIFS(Table1[Column1],Table1[Date],'OEE AHV'!$B98,Table1[M/C],'OEE AHV'!$D98,Table1[Case downtime],'OEE AHV'!AN$2)</f>
        <v>0</v>
      </c>
      <c r="AO98" s="114">
        <f>SUMIFS(Table1[Column1],Table1[Date],'OEE AHV'!$B98,Table1[M/C],'OEE AHV'!$D98,Table1[Case downtime],'OEE AHV'!AO$2)</f>
        <v>0</v>
      </c>
      <c r="AP98" s="114">
        <f>SUMIFS(Table1[Column1],Table1[Date],'OEE AHV'!$B98,Table1[M/C],'OEE AHV'!$D98,Table1[Case downtime],'OEE AHV'!AP$2)</f>
        <v>0</v>
      </c>
      <c r="AQ98" s="114">
        <f>SUMIFS(Table1[Column1],Table1[Date],'OEE AHV'!$B98,Table1[M/C],'OEE AHV'!$D98,Table1[Case downtime],'OEE AHV'!AQ$2)</f>
        <v>0</v>
      </c>
      <c r="AR98" s="114">
        <f>SUMIFS(Table1[Column1],Table1[Date],'OEE AHV'!$B98,Table1[M/C],'OEE AHV'!$D98,Table1[Case downtime],'OEE AHV'!AR$2)</f>
        <v>0</v>
      </c>
      <c r="AS98" s="114">
        <f>SUMIFS(Table1[Column1],Table1[Date],'OEE AHV'!$B98,Table1[M/C],'OEE AHV'!$D98,Table1[Case downtime],'OEE AHV'!AS$2)</f>
        <v>0</v>
      </c>
      <c r="AT98" s="114">
        <f>SUMIFS(Table1[Column1],Table1[Date],'OEE AHV'!$B98,Table1[M/C],'OEE AHV'!$D98,Table1[Case downtime],'OEE AHV'!AT$2)</f>
        <v>0</v>
      </c>
      <c r="AU98" s="114">
        <f>SUMIFS(Table1[Column1],Table1[Date],'OEE AHV'!$B98,Table1[M/C],'OEE AHV'!$D98,Table1[Case downtime],'OEE AHV'!AU$2)</f>
        <v>0</v>
      </c>
      <c r="AV98" s="114">
        <f>SUMIFS(Table1[Column1],Table1[Date],'OEE AHV'!$B98,Table1[M/C],'OEE AHV'!$D98,Table1[Case downtime],'OEE AHV'!AV$2)</f>
        <v>0</v>
      </c>
      <c r="AW98" s="114">
        <f>SUMIFS(Table1[Column1],Table1[Date],'OEE AHV'!$B98,Table1[M/C],'OEE AHV'!$D98,Table1[Case downtime],'OEE AHV'!AW$2)</f>
        <v>0</v>
      </c>
      <c r="AX98" s="183">
        <f>SUMIFS(Table1[Column1],Table1[Date],'OEE AHV'!$B98,Table1[M/C],'OEE AHV'!$D98,Table1[Case downtime],'OEE AHV'!AX$2)</f>
        <v>0</v>
      </c>
    </row>
    <row r="99" spans="2:50" s="115" customFormat="1" ht="30" hidden="1" customHeight="1">
      <c r="B99" s="91">
        <v>46055</v>
      </c>
      <c r="C99" s="92" t="s">
        <v>136</v>
      </c>
      <c r="D99" s="92" t="s">
        <v>124</v>
      </c>
      <c r="E99" s="80">
        <v>4.3</v>
      </c>
      <c r="F99" s="81">
        <v>24</v>
      </c>
      <c r="G99" s="95">
        <f t="shared" si="47"/>
        <v>1440</v>
      </c>
      <c r="H99" s="82">
        <v>0</v>
      </c>
      <c r="I99" s="82">
        <f t="shared" si="48"/>
        <v>1440</v>
      </c>
      <c r="J99" s="82">
        <f t="shared" ref="J99:J130" si="49">SUM(AF99:AK99)</f>
        <v>73.954427083333343</v>
      </c>
      <c r="K99" s="83">
        <f t="shared" ref="K99:K130" si="50">SUM(AL99:AX99)</f>
        <v>637</v>
      </c>
      <c r="L99" s="82">
        <f t="shared" si="37"/>
        <v>710.95442708333337</v>
      </c>
      <c r="M99" s="84">
        <f t="shared" si="38"/>
        <v>729.04557291666663</v>
      </c>
      <c r="N99" s="99">
        <v>2558</v>
      </c>
      <c r="O99" s="100"/>
      <c r="P99" s="101">
        <v>8184</v>
      </c>
      <c r="Q99" s="135">
        <f t="shared" si="39"/>
        <v>10742</v>
      </c>
      <c r="R99" s="83">
        <f t="shared" si="40"/>
        <v>0</v>
      </c>
      <c r="S99" s="87">
        <f t="shared" si="41"/>
        <v>10742</v>
      </c>
      <c r="T99" s="88">
        <f t="shared" si="42"/>
        <v>10172.728924418605</v>
      </c>
      <c r="U99" s="89">
        <f t="shared" si="43"/>
        <v>0.50628164785879626</v>
      </c>
      <c r="V99" s="89">
        <f t="shared" si="44"/>
        <v>1.0559605077271761</v>
      </c>
      <c r="W99" s="89">
        <f t="shared" si="45"/>
        <v>1</v>
      </c>
      <c r="X99" s="90">
        <f t="shared" si="46"/>
        <v>0.53461342592592587</v>
      </c>
      <c r="Y99" s="106"/>
      <c r="Z99" s="120">
        <v>0</v>
      </c>
      <c r="AA99" s="117"/>
      <c r="AB99" s="117"/>
      <c r="AC99" s="117"/>
      <c r="AD99" s="118"/>
      <c r="AE99" s="110">
        <f>$AE$98</f>
        <v>37.9609375</v>
      </c>
      <c r="AF99" s="111">
        <f t="shared" si="29"/>
        <v>23.777864583333333</v>
      </c>
      <c r="AG99" s="111">
        <f t="shared" si="30"/>
        <v>12.238606770833334</v>
      </c>
      <c r="AH99" s="111">
        <f t="shared" si="31"/>
        <v>12.937955729166667</v>
      </c>
      <c r="AI99" s="111">
        <v>10</v>
      </c>
      <c r="AJ99" s="112">
        <v>5</v>
      </c>
      <c r="AK99" s="113">
        <v>10</v>
      </c>
      <c r="AL99" s="114">
        <f>SUMIFS(Table1[Column1],Table1[Date],'OEE AHV'!$B99,Table1[M/C],'OEE AHV'!$D99,Table1[Case downtime],'OEE AHV'!AL$2)</f>
        <v>0</v>
      </c>
      <c r="AM99" s="114">
        <f>SUMIFS(Table1[Column1],Table1[Date],'OEE AHV'!$B99,Table1[M/C],'OEE AHV'!$D99,Table1[Case downtime],'OEE AHV'!AM$2)</f>
        <v>0</v>
      </c>
      <c r="AN99" s="114">
        <f>SUMIFS(Table1[Column1],Table1[Date],'OEE AHV'!$B99,Table1[M/C],'OEE AHV'!$D99,Table1[Case downtime],'OEE AHV'!AN$2)</f>
        <v>0</v>
      </c>
      <c r="AO99" s="114">
        <f>SUMIFS(Table1[Column1],Table1[Date],'OEE AHV'!$B99,Table1[M/C],'OEE AHV'!$D99,Table1[Case downtime],'OEE AHV'!AO$2)</f>
        <v>0</v>
      </c>
      <c r="AP99" s="114">
        <f>SUMIFS(Table1[Column1],Table1[Date],'OEE AHV'!$B99,Table1[M/C],'OEE AHV'!$D99,Table1[Case downtime],'OEE AHV'!AP$2)</f>
        <v>0</v>
      </c>
      <c r="AQ99" s="114">
        <f>SUMIFS(Table1[Column1],Table1[Date],'OEE AHV'!$B99,Table1[M/C],'OEE AHV'!$D99,Table1[Case downtime],'OEE AHV'!AQ$2)</f>
        <v>0</v>
      </c>
      <c r="AR99" s="114">
        <f>SUMIFS(Table1[Column1],Table1[Date],'OEE AHV'!$B99,Table1[M/C],'OEE AHV'!$D99,Table1[Case downtime],'OEE AHV'!AR$2)</f>
        <v>0</v>
      </c>
      <c r="AS99" s="114">
        <f>SUMIFS(Table1[Column1],Table1[Date],'OEE AHV'!$B99,Table1[M/C],'OEE AHV'!$D99,Table1[Case downtime],'OEE AHV'!AS$2)</f>
        <v>0</v>
      </c>
      <c r="AT99" s="114">
        <f>SUMIFS(Table1[Column1],Table1[Date],'OEE AHV'!$B99,Table1[M/C],'OEE AHV'!$D99,Table1[Case downtime],'OEE AHV'!AT$2)</f>
        <v>0</v>
      </c>
      <c r="AU99" s="114">
        <f>SUMIFS(Table1[Column1],Table1[Date],'OEE AHV'!$B99,Table1[M/C],'OEE AHV'!$D99,Table1[Case downtime],'OEE AHV'!AU$2)</f>
        <v>0</v>
      </c>
      <c r="AV99" s="114">
        <f>SUMIFS(Table1[Column1],Table1[Date],'OEE AHV'!$B99,Table1[M/C],'OEE AHV'!$D99,Table1[Case downtime],'OEE AHV'!AV$2)</f>
        <v>637</v>
      </c>
      <c r="AW99" s="114">
        <f>SUMIFS(Table1[Column1],Table1[Date],'OEE AHV'!$B99,Table1[M/C],'OEE AHV'!$D99,Table1[Case downtime],'OEE AHV'!AW$2)</f>
        <v>0</v>
      </c>
      <c r="AX99" s="183">
        <f>SUMIFS(Table1[Column1],Table1[Date],'OEE AHV'!$B99,Table1[M/C],'OEE AHV'!$D99,Table1[Case downtime],'OEE AHV'!AX$2)</f>
        <v>0</v>
      </c>
    </row>
    <row r="100" spans="2:50" s="115" customFormat="1" ht="30" hidden="1" customHeight="1">
      <c r="B100" s="91">
        <v>46056</v>
      </c>
      <c r="C100" s="92" t="s">
        <v>136</v>
      </c>
      <c r="D100" s="92" t="s">
        <v>124</v>
      </c>
      <c r="E100" s="80">
        <v>4.3</v>
      </c>
      <c r="F100" s="81">
        <v>24</v>
      </c>
      <c r="G100" s="95">
        <f t="shared" si="47"/>
        <v>1440</v>
      </c>
      <c r="H100" s="82">
        <v>0</v>
      </c>
      <c r="I100" s="82">
        <f t="shared" si="48"/>
        <v>1440</v>
      </c>
      <c r="J100" s="82">
        <f t="shared" si="49"/>
        <v>71.625651041666671</v>
      </c>
      <c r="K100" s="83">
        <f t="shared" si="50"/>
        <v>559</v>
      </c>
      <c r="L100" s="82">
        <f t="shared" si="37"/>
        <v>630.62565104166663</v>
      </c>
      <c r="M100" s="84">
        <f t="shared" si="38"/>
        <v>809.37434895833337</v>
      </c>
      <c r="N100" s="99">
        <v>4604</v>
      </c>
      <c r="O100" s="100"/>
      <c r="P100" s="101">
        <v>5627</v>
      </c>
      <c r="Q100" s="135">
        <f t="shared" si="39"/>
        <v>10231</v>
      </c>
      <c r="R100" s="83">
        <f t="shared" si="40"/>
        <v>0</v>
      </c>
      <c r="S100" s="87">
        <f t="shared" si="41"/>
        <v>10231</v>
      </c>
      <c r="T100" s="88">
        <f t="shared" si="42"/>
        <v>11293.595566860466</v>
      </c>
      <c r="U100" s="89">
        <f t="shared" si="43"/>
        <v>0.5620655201099537</v>
      </c>
      <c r="V100" s="89">
        <f t="shared" si="44"/>
        <v>0.9059116682043663</v>
      </c>
      <c r="W100" s="89">
        <f t="shared" si="45"/>
        <v>1</v>
      </c>
      <c r="X100" s="90">
        <f t="shared" si="46"/>
        <v>0.509181712962963</v>
      </c>
      <c r="Y100" s="106"/>
      <c r="Z100" s="120">
        <v>0</v>
      </c>
      <c r="AA100" s="117"/>
      <c r="AB100" s="117"/>
      <c r="AC100" s="117"/>
      <c r="AD100" s="118"/>
      <c r="AE100" s="110">
        <f>$AE$98</f>
        <v>37.9609375</v>
      </c>
      <c r="AF100" s="111">
        <f t="shared" si="29"/>
        <v>22.646744791666666</v>
      </c>
      <c r="AG100" s="111">
        <f t="shared" si="30"/>
        <v>11.656412760416666</v>
      </c>
      <c r="AH100" s="111">
        <f t="shared" si="31"/>
        <v>12.322493489583334</v>
      </c>
      <c r="AI100" s="111">
        <v>10</v>
      </c>
      <c r="AJ100" s="112">
        <v>5</v>
      </c>
      <c r="AK100" s="113">
        <v>10</v>
      </c>
      <c r="AL100" s="114">
        <f>SUMIFS(Table1[Column1],Table1[Date],'OEE AHV'!$B100,Table1[M/C],'OEE AHV'!$D100,Table1[Case downtime],'OEE AHV'!AL$2)</f>
        <v>235</v>
      </c>
      <c r="AM100" s="114">
        <f>SUMIFS(Table1[Column1],Table1[Date],'OEE AHV'!$B100,Table1[M/C],'OEE AHV'!$D100,Table1[Case downtime],'OEE AHV'!AM$2)</f>
        <v>0</v>
      </c>
      <c r="AN100" s="114">
        <f>SUMIFS(Table1[Column1],Table1[Date],'OEE AHV'!$B100,Table1[M/C],'OEE AHV'!$D100,Table1[Case downtime],'OEE AHV'!AN$2)</f>
        <v>0</v>
      </c>
      <c r="AO100" s="114">
        <f>SUMIFS(Table1[Column1],Table1[Date],'OEE AHV'!$B100,Table1[M/C],'OEE AHV'!$D100,Table1[Case downtime],'OEE AHV'!AO$2)</f>
        <v>0</v>
      </c>
      <c r="AP100" s="114">
        <f>SUMIFS(Table1[Column1],Table1[Date],'OEE AHV'!$B100,Table1[M/C],'OEE AHV'!$D100,Table1[Case downtime],'OEE AHV'!AP$2)</f>
        <v>0</v>
      </c>
      <c r="AQ100" s="114">
        <f>SUMIFS(Table1[Column1],Table1[Date],'OEE AHV'!$B100,Table1[M/C],'OEE AHV'!$D100,Table1[Case downtime],'OEE AHV'!AQ$2)</f>
        <v>0</v>
      </c>
      <c r="AR100" s="114">
        <f>SUMIFS(Table1[Column1],Table1[Date],'OEE AHV'!$B100,Table1[M/C],'OEE AHV'!$D100,Table1[Case downtime],'OEE AHV'!AR$2)</f>
        <v>0</v>
      </c>
      <c r="AS100" s="114">
        <f>SUMIFS(Table1[Column1],Table1[Date],'OEE AHV'!$B100,Table1[M/C],'OEE AHV'!$D100,Table1[Case downtime],'OEE AHV'!AS$2)</f>
        <v>0</v>
      </c>
      <c r="AT100" s="114">
        <f>SUMIFS(Table1[Column1],Table1[Date],'OEE AHV'!$B100,Table1[M/C],'OEE AHV'!$D100,Table1[Case downtime],'OEE AHV'!AT$2)</f>
        <v>0</v>
      </c>
      <c r="AU100" s="114">
        <f>SUMIFS(Table1[Column1],Table1[Date],'OEE AHV'!$B100,Table1[M/C],'OEE AHV'!$D100,Table1[Case downtime],'OEE AHV'!AU$2)</f>
        <v>0</v>
      </c>
      <c r="AV100" s="114">
        <f>SUMIFS(Table1[Column1],Table1[Date],'OEE AHV'!$B100,Table1[M/C],'OEE AHV'!$D100,Table1[Case downtime],'OEE AHV'!AV$2)</f>
        <v>324</v>
      </c>
      <c r="AW100" s="114">
        <f>SUMIFS(Table1[Column1],Table1[Date],'OEE AHV'!$B100,Table1[M/C],'OEE AHV'!$D100,Table1[Case downtime],'OEE AHV'!AW$2)</f>
        <v>0</v>
      </c>
      <c r="AX100" s="183">
        <f>SUMIFS(Table1[Column1],Table1[Date],'OEE AHV'!$B100,Table1[M/C],'OEE AHV'!$D100,Table1[Case downtime],'OEE AHV'!AX$2)</f>
        <v>0</v>
      </c>
    </row>
    <row r="101" spans="2:50" s="115" customFormat="1" ht="30" hidden="1" customHeight="1">
      <c r="B101" s="91">
        <v>46057</v>
      </c>
      <c r="C101" s="92" t="s">
        <v>136</v>
      </c>
      <c r="D101" s="92" t="s">
        <v>124</v>
      </c>
      <c r="E101" s="80">
        <v>4.3</v>
      </c>
      <c r="F101" s="81">
        <v>24</v>
      </c>
      <c r="G101" s="95">
        <f t="shared" si="47"/>
        <v>1440</v>
      </c>
      <c r="H101" s="82">
        <v>0</v>
      </c>
      <c r="I101" s="82">
        <f t="shared" si="48"/>
        <v>1440</v>
      </c>
      <c r="J101" s="82">
        <f t="shared" si="49"/>
        <v>97.260416666666671</v>
      </c>
      <c r="K101" s="83">
        <f t="shared" si="50"/>
        <v>65</v>
      </c>
      <c r="L101" s="82">
        <f t="shared" si="37"/>
        <v>162.26041666666669</v>
      </c>
      <c r="M101" s="84">
        <f t="shared" si="38"/>
        <v>1277.7395833333333</v>
      </c>
      <c r="N101" s="99">
        <v>7160</v>
      </c>
      <c r="O101" s="100"/>
      <c r="P101" s="101">
        <v>8696</v>
      </c>
      <c r="Q101" s="135">
        <f t="shared" si="39"/>
        <v>15856</v>
      </c>
      <c r="R101" s="83">
        <f t="shared" si="40"/>
        <v>0</v>
      </c>
      <c r="S101" s="87">
        <f t="shared" si="41"/>
        <v>15856</v>
      </c>
      <c r="T101" s="88">
        <f t="shared" si="42"/>
        <v>17828.924418604653</v>
      </c>
      <c r="U101" s="89">
        <f t="shared" si="43"/>
        <v>0.88731915509259252</v>
      </c>
      <c r="V101" s="89">
        <f t="shared" si="44"/>
        <v>0.88934136618214121</v>
      </c>
      <c r="W101" s="89">
        <f t="shared" si="45"/>
        <v>1</v>
      </c>
      <c r="X101" s="90">
        <f t="shared" si="46"/>
        <v>0.78912962962962951</v>
      </c>
      <c r="Y101" s="106"/>
      <c r="Z101" s="120">
        <v>0</v>
      </c>
      <c r="AA101" s="117"/>
      <c r="AB101" s="117"/>
      <c r="AC101" s="117"/>
      <c r="AD101" s="118"/>
      <c r="AE101" s="110">
        <f t="shared" ref="AE101:AE146" si="51">$AE$98</f>
        <v>37.9609375</v>
      </c>
      <c r="AF101" s="111">
        <f t="shared" si="29"/>
        <v>35.09791666666667</v>
      </c>
      <c r="AG101" s="111">
        <f t="shared" si="30"/>
        <v>18.065104166666668</v>
      </c>
      <c r="AH101" s="111">
        <f t="shared" si="31"/>
        <v>19.097395833333334</v>
      </c>
      <c r="AI101" s="111">
        <v>10</v>
      </c>
      <c r="AJ101" s="112">
        <v>5</v>
      </c>
      <c r="AK101" s="113">
        <v>10</v>
      </c>
      <c r="AL101" s="114">
        <f>SUMIFS(Table1[Column1],Table1[Date],'OEE AHV'!$B101,Table1[M/C],'OEE AHV'!$D101,Table1[Case downtime],'OEE AHV'!AL$2)</f>
        <v>62</v>
      </c>
      <c r="AM101" s="114">
        <f>SUMIFS(Table1[Column1],Table1[Date],'OEE AHV'!$B101,Table1[M/C],'OEE AHV'!$D101,Table1[Case downtime],'OEE AHV'!AM$2)</f>
        <v>3</v>
      </c>
      <c r="AN101" s="114">
        <f>SUMIFS(Table1[Column1],Table1[Date],'OEE AHV'!$B101,Table1[M/C],'OEE AHV'!$D101,Table1[Case downtime],'OEE AHV'!AN$2)</f>
        <v>0</v>
      </c>
      <c r="AO101" s="114">
        <f>SUMIFS(Table1[Column1],Table1[Date],'OEE AHV'!$B101,Table1[M/C],'OEE AHV'!$D101,Table1[Case downtime],'OEE AHV'!AO$2)</f>
        <v>0</v>
      </c>
      <c r="AP101" s="114">
        <f>SUMIFS(Table1[Column1],Table1[Date],'OEE AHV'!$B101,Table1[M/C],'OEE AHV'!$D101,Table1[Case downtime],'OEE AHV'!AP$2)</f>
        <v>0</v>
      </c>
      <c r="AQ101" s="114">
        <f>SUMIFS(Table1[Column1],Table1[Date],'OEE AHV'!$B101,Table1[M/C],'OEE AHV'!$D101,Table1[Case downtime],'OEE AHV'!AQ$2)</f>
        <v>0</v>
      </c>
      <c r="AR101" s="114">
        <f>SUMIFS(Table1[Column1],Table1[Date],'OEE AHV'!$B101,Table1[M/C],'OEE AHV'!$D101,Table1[Case downtime],'OEE AHV'!AR$2)</f>
        <v>0</v>
      </c>
      <c r="AS101" s="114">
        <f>SUMIFS(Table1[Column1],Table1[Date],'OEE AHV'!$B101,Table1[M/C],'OEE AHV'!$D101,Table1[Case downtime],'OEE AHV'!AS$2)</f>
        <v>0</v>
      </c>
      <c r="AT101" s="114">
        <f>SUMIFS(Table1[Column1],Table1[Date],'OEE AHV'!$B101,Table1[M/C],'OEE AHV'!$D101,Table1[Case downtime],'OEE AHV'!AT$2)</f>
        <v>0</v>
      </c>
      <c r="AU101" s="114">
        <f>SUMIFS(Table1[Column1],Table1[Date],'OEE AHV'!$B101,Table1[M/C],'OEE AHV'!$D101,Table1[Case downtime],'OEE AHV'!AU$2)</f>
        <v>0</v>
      </c>
      <c r="AV101" s="114">
        <f>SUMIFS(Table1[Column1],Table1[Date],'OEE AHV'!$B101,Table1[M/C],'OEE AHV'!$D101,Table1[Case downtime],'OEE AHV'!AV$2)</f>
        <v>0</v>
      </c>
      <c r="AW101" s="114">
        <f>SUMIFS(Table1[Column1],Table1[Date],'OEE AHV'!$B101,Table1[M/C],'OEE AHV'!$D101,Table1[Case downtime],'OEE AHV'!AW$2)</f>
        <v>0</v>
      </c>
      <c r="AX101" s="183">
        <f>SUMIFS(Table1[Column1],Table1[Date],'OEE AHV'!$B101,Table1[M/C],'OEE AHV'!$D101,Table1[Case downtime],'OEE AHV'!AX$2)</f>
        <v>0</v>
      </c>
    </row>
    <row r="102" spans="2:50" s="115" customFormat="1" ht="30" hidden="1" customHeight="1">
      <c r="B102" s="91">
        <v>46058</v>
      </c>
      <c r="C102" s="92" t="s">
        <v>136</v>
      </c>
      <c r="D102" s="92" t="s">
        <v>124</v>
      </c>
      <c r="E102" s="80">
        <v>4.3</v>
      </c>
      <c r="F102" s="81">
        <v>24</v>
      </c>
      <c r="G102" s="95">
        <f t="shared" si="47"/>
        <v>1440</v>
      </c>
      <c r="H102" s="82">
        <v>0</v>
      </c>
      <c r="I102" s="82">
        <f t="shared" si="48"/>
        <v>1440</v>
      </c>
      <c r="J102" s="82">
        <f t="shared" si="49"/>
        <v>104.296875</v>
      </c>
      <c r="K102" s="83">
        <f t="shared" si="50"/>
        <v>145</v>
      </c>
      <c r="L102" s="82">
        <f t="shared" si="37"/>
        <v>249.296875</v>
      </c>
      <c r="M102" s="84">
        <f t="shared" si="38"/>
        <v>1190.703125</v>
      </c>
      <c r="N102" s="99">
        <v>8188</v>
      </c>
      <c r="O102" s="100"/>
      <c r="P102" s="101">
        <v>9212</v>
      </c>
      <c r="Q102" s="135">
        <f t="shared" si="39"/>
        <v>17400</v>
      </c>
      <c r="R102" s="83">
        <f t="shared" si="40"/>
        <v>2</v>
      </c>
      <c r="S102" s="87">
        <f t="shared" si="41"/>
        <v>17398</v>
      </c>
      <c r="T102" s="88">
        <f t="shared" si="42"/>
        <v>16614.462209302324</v>
      </c>
      <c r="U102" s="89">
        <f t="shared" si="43"/>
        <v>0.82687717013888884</v>
      </c>
      <c r="V102" s="89">
        <f t="shared" si="44"/>
        <v>1.0472803621809594</v>
      </c>
      <c r="W102" s="89">
        <f t="shared" si="45"/>
        <v>0.99988505747126433</v>
      </c>
      <c r="X102" s="90">
        <f t="shared" si="46"/>
        <v>0.86587268518518534</v>
      </c>
      <c r="Y102" s="106"/>
      <c r="Z102" s="120">
        <v>2</v>
      </c>
      <c r="AA102" s="117"/>
      <c r="AB102" s="117"/>
      <c r="AC102" s="117"/>
      <c r="AD102" s="118"/>
      <c r="AE102" s="110">
        <f t="shared" si="51"/>
        <v>37.9609375</v>
      </c>
      <c r="AF102" s="111">
        <f t="shared" si="29"/>
        <v>38.515625</v>
      </c>
      <c r="AG102" s="111">
        <f t="shared" si="30"/>
        <v>19.82421875</v>
      </c>
      <c r="AH102" s="111">
        <f t="shared" si="31"/>
        <v>20.95703125</v>
      </c>
      <c r="AI102" s="111">
        <v>10</v>
      </c>
      <c r="AJ102" s="112">
        <v>5</v>
      </c>
      <c r="AK102" s="113">
        <v>10</v>
      </c>
      <c r="AL102" s="114">
        <f>SUMIFS(Table1[Column1],Table1[Date],'OEE AHV'!$B102,Table1[M/C],'OEE AHV'!$D102,Table1[Case downtime],'OEE AHV'!AL$2)</f>
        <v>65</v>
      </c>
      <c r="AM102" s="114">
        <f>SUMIFS(Table1[Column1],Table1[Date],'OEE AHV'!$B102,Table1[M/C],'OEE AHV'!$D102,Table1[Case downtime],'OEE AHV'!AM$2)</f>
        <v>0</v>
      </c>
      <c r="AN102" s="114">
        <f>SUMIFS(Table1[Column1],Table1[Date],'OEE AHV'!$B102,Table1[M/C],'OEE AHV'!$D102,Table1[Case downtime],'OEE AHV'!AN$2)</f>
        <v>5</v>
      </c>
      <c r="AO102" s="114">
        <f>SUMIFS(Table1[Column1],Table1[Date],'OEE AHV'!$B102,Table1[M/C],'OEE AHV'!$D102,Table1[Case downtime],'OEE AHV'!AO$2)</f>
        <v>0</v>
      </c>
      <c r="AP102" s="114">
        <f>SUMIFS(Table1[Column1],Table1[Date],'OEE AHV'!$B102,Table1[M/C],'OEE AHV'!$D102,Table1[Case downtime],'OEE AHV'!AP$2)</f>
        <v>0</v>
      </c>
      <c r="AQ102" s="114">
        <f>SUMIFS(Table1[Column1],Table1[Date],'OEE AHV'!$B102,Table1[M/C],'OEE AHV'!$D102,Table1[Case downtime],'OEE AHV'!AQ$2)</f>
        <v>0</v>
      </c>
      <c r="AR102" s="114">
        <f>SUMIFS(Table1[Column1],Table1[Date],'OEE AHV'!$B102,Table1[M/C],'OEE AHV'!$D102,Table1[Case downtime],'OEE AHV'!AR$2)</f>
        <v>0</v>
      </c>
      <c r="AS102" s="114">
        <f>SUMIFS(Table1[Column1],Table1[Date],'OEE AHV'!$B102,Table1[M/C],'OEE AHV'!$D102,Table1[Case downtime],'OEE AHV'!AS$2)</f>
        <v>0</v>
      </c>
      <c r="AT102" s="114">
        <f>SUMIFS(Table1[Column1],Table1[Date],'OEE AHV'!$B102,Table1[M/C],'OEE AHV'!$D102,Table1[Case downtime],'OEE AHV'!AT$2)</f>
        <v>0</v>
      </c>
      <c r="AU102" s="114">
        <f>SUMIFS(Table1[Column1],Table1[Date],'OEE AHV'!$B102,Table1[M/C],'OEE AHV'!$D102,Table1[Case downtime],'OEE AHV'!AU$2)</f>
        <v>0</v>
      </c>
      <c r="AV102" s="114">
        <f>SUMIFS(Table1[Column1],Table1[Date],'OEE AHV'!$B102,Table1[M/C],'OEE AHV'!$D102,Table1[Case downtime],'OEE AHV'!AV$2)</f>
        <v>75</v>
      </c>
      <c r="AW102" s="114">
        <f>SUMIFS(Table1[Column1],Table1[Date],'OEE AHV'!$B102,Table1[M/C],'OEE AHV'!$D102,Table1[Case downtime],'OEE AHV'!AW$2)</f>
        <v>0</v>
      </c>
      <c r="AX102" s="183">
        <f>SUMIFS(Table1[Column1],Table1[Date],'OEE AHV'!$B102,Table1[M/C],'OEE AHV'!$D102,Table1[Case downtime],'OEE AHV'!AX$2)</f>
        <v>0</v>
      </c>
    </row>
    <row r="103" spans="2:50" s="115" customFormat="1" ht="30" hidden="1" customHeight="1">
      <c r="B103" s="91">
        <v>46059</v>
      </c>
      <c r="C103" s="92" t="s">
        <v>136</v>
      </c>
      <c r="D103" s="92" t="s">
        <v>124</v>
      </c>
      <c r="E103" s="80">
        <v>4.3</v>
      </c>
      <c r="F103" s="81">
        <v>24</v>
      </c>
      <c r="G103" s="95">
        <f t="shared" si="47"/>
        <v>1440</v>
      </c>
      <c r="H103" s="82">
        <v>0</v>
      </c>
      <c r="I103" s="82">
        <f t="shared" si="48"/>
        <v>1440</v>
      </c>
      <c r="J103" s="82">
        <f t="shared" si="49"/>
        <v>113.61197916666667</v>
      </c>
      <c r="K103" s="83">
        <f t="shared" si="50"/>
        <v>0</v>
      </c>
      <c r="L103" s="82">
        <f t="shared" si="37"/>
        <v>113.61197916666667</v>
      </c>
      <c r="M103" s="84">
        <f t="shared" si="38"/>
        <v>1326.3880208333333</v>
      </c>
      <c r="N103" s="99">
        <v>9720</v>
      </c>
      <c r="O103" s="100"/>
      <c r="P103" s="101">
        <v>9724</v>
      </c>
      <c r="Q103" s="135">
        <f t="shared" si="39"/>
        <v>19444</v>
      </c>
      <c r="R103" s="83">
        <f t="shared" si="40"/>
        <v>1</v>
      </c>
      <c r="S103" s="87">
        <f t="shared" si="41"/>
        <v>19443</v>
      </c>
      <c r="T103" s="88">
        <f t="shared" si="42"/>
        <v>18507.739825581397</v>
      </c>
      <c r="U103" s="89">
        <f t="shared" si="43"/>
        <v>0.92110279224537028</v>
      </c>
      <c r="V103" s="89">
        <f t="shared" si="44"/>
        <v>1.0505874938399828</v>
      </c>
      <c r="W103" s="89">
        <f t="shared" si="45"/>
        <v>0.99994857025303441</v>
      </c>
      <c r="X103" s="90">
        <f t="shared" si="46"/>
        <v>0.96764930555555551</v>
      </c>
      <c r="Y103" s="106"/>
      <c r="Z103" s="120">
        <v>1</v>
      </c>
      <c r="AA103" s="117"/>
      <c r="AB103" s="117"/>
      <c r="AC103" s="117"/>
      <c r="AD103" s="118"/>
      <c r="AE103" s="110">
        <f t="shared" si="51"/>
        <v>37.9609375</v>
      </c>
      <c r="AF103" s="111">
        <f t="shared" si="29"/>
        <v>43.040104166666666</v>
      </c>
      <c r="AG103" s="111">
        <f t="shared" si="30"/>
        <v>22.152994791666668</v>
      </c>
      <c r="AH103" s="111">
        <f t="shared" si="31"/>
        <v>23.418880208333334</v>
      </c>
      <c r="AI103" s="111">
        <v>10</v>
      </c>
      <c r="AJ103" s="112">
        <v>5</v>
      </c>
      <c r="AK103" s="113">
        <v>10</v>
      </c>
      <c r="AL103" s="114">
        <f>SUMIFS(Table1[Column1],Table1[Date],'OEE AHV'!$B103,Table1[M/C],'OEE AHV'!$D103,Table1[Case downtime],'OEE AHV'!AL$2)</f>
        <v>0</v>
      </c>
      <c r="AM103" s="114">
        <f>SUMIFS(Table1[Column1],Table1[Date],'OEE AHV'!$B103,Table1[M/C],'OEE AHV'!$D103,Table1[Case downtime],'OEE AHV'!AM$2)</f>
        <v>0</v>
      </c>
      <c r="AN103" s="114">
        <f>SUMIFS(Table1[Column1],Table1[Date],'OEE AHV'!$B103,Table1[M/C],'OEE AHV'!$D103,Table1[Case downtime],'OEE AHV'!AN$2)</f>
        <v>0</v>
      </c>
      <c r="AO103" s="114">
        <f>SUMIFS(Table1[Column1],Table1[Date],'OEE AHV'!$B103,Table1[M/C],'OEE AHV'!$D103,Table1[Case downtime],'OEE AHV'!AO$2)</f>
        <v>0</v>
      </c>
      <c r="AP103" s="114">
        <f>SUMIFS(Table1[Column1],Table1[Date],'OEE AHV'!$B103,Table1[M/C],'OEE AHV'!$D103,Table1[Case downtime],'OEE AHV'!AP$2)</f>
        <v>0</v>
      </c>
      <c r="AQ103" s="114">
        <f>SUMIFS(Table1[Column1],Table1[Date],'OEE AHV'!$B103,Table1[M/C],'OEE AHV'!$D103,Table1[Case downtime],'OEE AHV'!AQ$2)</f>
        <v>0</v>
      </c>
      <c r="AR103" s="114">
        <f>SUMIFS(Table1[Column1],Table1[Date],'OEE AHV'!$B103,Table1[M/C],'OEE AHV'!$D103,Table1[Case downtime],'OEE AHV'!AR$2)</f>
        <v>0</v>
      </c>
      <c r="AS103" s="114">
        <f>SUMIFS(Table1[Column1],Table1[Date],'OEE AHV'!$B103,Table1[M/C],'OEE AHV'!$D103,Table1[Case downtime],'OEE AHV'!AS$2)</f>
        <v>0</v>
      </c>
      <c r="AT103" s="114">
        <f>SUMIFS(Table1[Column1],Table1[Date],'OEE AHV'!$B103,Table1[M/C],'OEE AHV'!$D103,Table1[Case downtime],'OEE AHV'!AT$2)</f>
        <v>0</v>
      </c>
      <c r="AU103" s="114">
        <f>SUMIFS(Table1[Column1],Table1[Date],'OEE AHV'!$B103,Table1[M/C],'OEE AHV'!$D103,Table1[Case downtime],'OEE AHV'!AU$2)</f>
        <v>0</v>
      </c>
      <c r="AV103" s="114">
        <f>SUMIFS(Table1[Column1],Table1[Date],'OEE AHV'!$B103,Table1[M/C],'OEE AHV'!$D103,Table1[Case downtime],'OEE AHV'!AV$2)</f>
        <v>0</v>
      </c>
      <c r="AW103" s="114">
        <f>SUMIFS(Table1[Column1],Table1[Date],'OEE AHV'!$B103,Table1[M/C],'OEE AHV'!$D103,Table1[Case downtime],'OEE AHV'!AW$2)</f>
        <v>0</v>
      </c>
      <c r="AX103" s="183">
        <f>SUMIFS(Table1[Column1],Table1[Date],'OEE AHV'!$B103,Table1[M/C],'OEE AHV'!$D103,Table1[Case downtime],'OEE AHV'!AX$2)</f>
        <v>0</v>
      </c>
    </row>
    <row r="104" spans="2:50" s="115" customFormat="1" ht="30" hidden="1" customHeight="1">
      <c r="B104" s="91">
        <v>46060</v>
      </c>
      <c r="C104" s="92" t="s">
        <v>136</v>
      </c>
      <c r="D104" s="92" t="s">
        <v>124</v>
      </c>
      <c r="E104" s="80">
        <v>4.3</v>
      </c>
      <c r="F104" s="81">
        <v>24</v>
      </c>
      <c r="G104" s="95">
        <f t="shared" si="47"/>
        <v>1440</v>
      </c>
      <c r="H104" s="82">
        <v>0</v>
      </c>
      <c r="I104" s="82">
        <f t="shared" si="48"/>
        <v>1440</v>
      </c>
      <c r="J104" s="82">
        <f t="shared" si="49"/>
        <v>111.27408854166667</v>
      </c>
      <c r="K104" s="83">
        <f t="shared" si="50"/>
        <v>48</v>
      </c>
      <c r="L104" s="82">
        <f t="shared" si="37"/>
        <v>159.27408854166669</v>
      </c>
      <c r="M104" s="84">
        <f t="shared" si="38"/>
        <v>1280.7259114583333</v>
      </c>
      <c r="N104" s="99">
        <v>9720</v>
      </c>
      <c r="O104" s="100"/>
      <c r="P104" s="101">
        <v>9211</v>
      </c>
      <c r="Q104" s="135">
        <f t="shared" si="39"/>
        <v>18931</v>
      </c>
      <c r="R104" s="83">
        <f t="shared" si="40"/>
        <v>3</v>
      </c>
      <c r="S104" s="87">
        <f t="shared" si="41"/>
        <v>18928</v>
      </c>
      <c r="T104" s="88">
        <f t="shared" si="42"/>
        <v>17870.594113372095</v>
      </c>
      <c r="U104" s="89">
        <f t="shared" si="43"/>
        <v>0.88939299406828698</v>
      </c>
      <c r="V104" s="89">
        <f t="shared" si="44"/>
        <v>1.0593380320710453</v>
      </c>
      <c r="W104" s="89">
        <f t="shared" si="45"/>
        <v>0.99984152976599228</v>
      </c>
      <c r="X104" s="90">
        <f t="shared" si="46"/>
        <v>0.94201851851851837</v>
      </c>
      <c r="Y104" s="106"/>
      <c r="Z104" s="120">
        <v>3</v>
      </c>
      <c r="AA104" s="117"/>
      <c r="AB104" s="117"/>
      <c r="AC104" s="117"/>
      <c r="AD104" s="118"/>
      <c r="AE104" s="110">
        <f t="shared" si="51"/>
        <v>37.9609375</v>
      </c>
      <c r="AF104" s="111">
        <f t="shared" ref="AF104:AF106" si="52">(Q104/512*68/60)</f>
        <v>41.90455729166667</v>
      </c>
      <c r="AG104" s="111">
        <f t="shared" ref="AG104:AG106" si="53">(Q104/512*35/60)</f>
        <v>21.568522135416668</v>
      </c>
      <c r="AH104" s="111">
        <f t="shared" ref="AH104:AH106" si="54">(Q104/512*37/60)</f>
        <v>22.801009114583334</v>
      </c>
      <c r="AI104" s="111">
        <v>10</v>
      </c>
      <c r="AJ104" s="112">
        <v>5</v>
      </c>
      <c r="AK104" s="113">
        <v>10</v>
      </c>
      <c r="AL104" s="114">
        <f>SUMIFS(Table1[Column1],Table1[Date],'OEE AHV'!$B104,Table1[M/C],'OEE AHV'!$D104,Table1[Case downtime],'OEE AHV'!AL$2)</f>
        <v>0</v>
      </c>
      <c r="AM104" s="114">
        <f>SUMIFS(Table1[Column1],Table1[Date],'OEE AHV'!$B104,Table1[M/C],'OEE AHV'!$D104,Table1[Case downtime],'OEE AHV'!AM$2)</f>
        <v>48</v>
      </c>
      <c r="AN104" s="114">
        <f>SUMIFS(Table1[Column1],Table1[Date],'OEE AHV'!$B104,Table1[M/C],'OEE AHV'!$D104,Table1[Case downtime],'OEE AHV'!AN$2)</f>
        <v>0</v>
      </c>
      <c r="AO104" s="114">
        <f>SUMIFS(Table1[Column1],Table1[Date],'OEE AHV'!$B104,Table1[M/C],'OEE AHV'!$D104,Table1[Case downtime],'OEE AHV'!AO$2)</f>
        <v>0</v>
      </c>
      <c r="AP104" s="114">
        <f>SUMIFS(Table1[Column1],Table1[Date],'OEE AHV'!$B104,Table1[M/C],'OEE AHV'!$D104,Table1[Case downtime],'OEE AHV'!AP$2)</f>
        <v>0</v>
      </c>
      <c r="AQ104" s="114">
        <f>SUMIFS(Table1[Column1],Table1[Date],'OEE AHV'!$B104,Table1[M/C],'OEE AHV'!$D104,Table1[Case downtime],'OEE AHV'!AQ$2)</f>
        <v>0</v>
      </c>
      <c r="AR104" s="114">
        <f>SUMIFS(Table1[Column1],Table1[Date],'OEE AHV'!$B104,Table1[M/C],'OEE AHV'!$D104,Table1[Case downtime],'OEE AHV'!AR$2)</f>
        <v>0</v>
      </c>
      <c r="AS104" s="114">
        <f>SUMIFS(Table1[Column1],Table1[Date],'OEE AHV'!$B104,Table1[M/C],'OEE AHV'!$D104,Table1[Case downtime],'OEE AHV'!AS$2)</f>
        <v>0</v>
      </c>
      <c r="AT104" s="114">
        <f>SUMIFS(Table1[Column1],Table1[Date],'OEE AHV'!$B104,Table1[M/C],'OEE AHV'!$D104,Table1[Case downtime],'OEE AHV'!AT$2)</f>
        <v>0</v>
      </c>
      <c r="AU104" s="114">
        <f>SUMIFS(Table1[Column1],Table1[Date],'OEE AHV'!$B104,Table1[M/C],'OEE AHV'!$D104,Table1[Case downtime],'OEE AHV'!AU$2)</f>
        <v>0</v>
      </c>
      <c r="AV104" s="114">
        <f>SUMIFS(Table1[Column1],Table1[Date],'OEE AHV'!$B104,Table1[M/C],'OEE AHV'!$D104,Table1[Case downtime],'OEE AHV'!AV$2)</f>
        <v>0</v>
      </c>
      <c r="AW104" s="114">
        <f>SUMIFS(Table1[Column1],Table1[Date],'OEE AHV'!$B104,Table1[M/C],'OEE AHV'!$D104,Table1[Case downtime],'OEE AHV'!AW$2)</f>
        <v>0</v>
      </c>
      <c r="AX104" s="183">
        <f>SUMIFS(Table1[Column1],Table1[Date],'OEE AHV'!$B104,Table1[M/C],'OEE AHV'!$D104,Table1[Case downtime],'OEE AHV'!AX$2)</f>
        <v>0</v>
      </c>
    </row>
    <row r="105" spans="2:50" s="115" customFormat="1" ht="30" hidden="1" customHeight="1">
      <c r="B105" s="91">
        <v>46061</v>
      </c>
      <c r="C105" s="92" t="s">
        <v>136</v>
      </c>
      <c r="D105" s="92" t="s">
        <v>124</v>
      </c>
      <c r="E105" s="80">
        <v>4.3</v>
      </c>
      <c r="F105" s="81">
        <v>12</v>
      </c>
      <c r="G105" s="95">
        <f t="shared" si="47"/>
        <v>720</v>
      </c>
      <c r="H105" s="82">
        <v>0</v>
      </c>
      <c r="I105" s="82">
        <f t="shared" si="48"/>
        <v>720</v>
      </c>
      <c r="J105" s="82">
        <f t="shared" si="49"/>
        <v>57.657552083333336</v>
      </c>
      <c r="K105" s="83">
        <f t="shared" si="50"/>
        <v>0</v>
      </c>
      <c r="L105" s="82">
        <f t="shared" si="37"/>
        <v>57.657552083333336</v>
      </c>
      <c r="M105" s="84">
        <f t="shared" si="38"/>
        <v>662.34244791666663</v>
      </c>
      <c r="N105" s="99">
        <v>0</v>
      </c>
      <c r="O105" s="100"/>
      <c r="P105" s="101">
        <v>7166</v>
      </c>
      <c r="Q105" s="135">
        <f t="shared" si="39"/>
        <v>7166</v>
      </c>
      <c r="R105" s="83">
        <f t="shared" si="40"/>
        <v>0</v>
      </c>
      <c r="S105" s="87">
        <f t="shared" si="41"/>
        <v>7166</v>
      </c>
      <c r="T105" s="88">
        <f t="shared" si="42"/>
        <v>9241.9876453488378</v>
      </c>
      <c r="U105" s="89">
        <f t="shared" si="43"/>
        <v>0.91992006655092584</v>
      </c>
      <c r="V105" s="89">
        <f t="shared" si="44"/>
        <v>0.77537433233925512</v>
      </c>
      <c r="W105" s="89">
        <f t="shared" si="45"/>
        <v>1</v>
      </c>
      <c r="X105" s="90">
        <f t="shared" si="46"/>
        <v>0.71328240740740723</v>
      </c>
      <c r="Y105" s="106"/>
      <c r="Z105" s="120">
        <v>0</v>
      </c>
      <c r="AA105" s="117"/>
      <c r="AB105" s="117"/>
      <c r="AC105" s="117"/>
      <c r="AD105" s="118"/>
      <c r="AE105" s="110">
        <f t="shared" si="51"/>
        <v>37.9609375</v>
      </c>
      <c r="AF105" s="111">
        <f t="shared" si="52"/>
        <v>15.862239583333333</v>
      </c>
      <c r="AG105" s="111">
        <f t="shared" si="53"/>
        <v>8.1643880208333339</v>
      </c>
      <c r="AH105" s="111">
        <f t="shared" si="54"/>
        <v>8.6309244791666675</v>
      </c>
      <c r="AI105" s="111">
        <v>10</v>
      </c>
      <c r="AJ105" s="112">
        <v>5</v>
      </c>
      <c r="AK105" s="113">
        <v>10</v>
      </c>
      <c r="AL105" s="114">
        <f>SUMIFS(Table1[Column1],Table1[Date],'OEE AHV'!$B105,Table1[M/C],'OEE AHV'!$D105,Table1[Case downtime],'OEE AHV'!AL$2)</f>
        <v>0</v>
      </c>
      <c r="AM105" s="114">
        <f>SUMIFS(Table1[Column1],Table1[Date],'OEE AHV'!$B105,Table1[M/C],'OEE AHV'!$D105,Table1[Case downtime],'OEE AHV'!AM$2)</f>
        <v>0</v>
      </c>
      <c r="AN105" s="114">
        <f>SUMIFS(Table1[Column1],Table1[Date],'OEE AHV'!$B105,Table1[M/C],'OEE AHV'!$D105,Table1[Case downtime],'OEE AHV'!AN$2)</f>
        <v>0</v>
      </c>
      <c r="AO105" s="114">
        <f>SUMIFS(Table1[Column1],Table1[Date],'OEE AHV'!$B105,Table1[M/C],'OEE AHV'!$D105,Table1[Case downtime],'OEE AHV'!AO$2)</f>
        <v>0</v>
      </c>
      <c r="AP105" s="114">
        <f>SUMIFS(Table1[Column1],Table1[Date],'OEE AHV'!$B105,Table1[M/C],'OEE AHV'!$D105,Table1[Case downtime],'OEE AHV'!AP$2)</f>
        <v>0</v>
      </c>
      <c r="AQ105" s="114">
        <f>SUMIFS(Table1[Column1],Table1[Date],'OEE AHV'!$B105,Table1[M/C],'OEE AHV'!$D105,Table1[Case downtime],'OEE AHV'!AQ$2)</f>
        <v>0</v>
      </c>
      <c r="AR105" s="114">
        <f>SUMIFS(Table1[Column1],Table1[Date],'OEE AHV'!$B105,Table1[M/C],'OEE AHV'!$D105,Table1[Case downtime],'OEE AHV'!AR$2)</f>
        <v>0</v>
      </c>
      <c r="AS105" s="114">
        <f>SUMIFS(Table1[Column1],Table1[Date],'OEE AHV'!$B105,Table1[M/C],'OEE AHV'!$D105,Table1[Case downtime],'OEE AHV'!AS$2)</f>
        <v>0</v>
      </c>
      <c r="AT105" s="114">
        <f>SUMIFS(Table1[Column1],Table1[Date],'OEE AHV'!$B105,Table1[M/C],'OEE AHV'!$D105,Table1[Case downtime],'OEE AHV'!AT$2)</f>
        <v>0</v>
      </c>
      <c r="AU105" s="114">
        <f>SUMIFS(Table1[Column1],Table1[Date],'OEE AHV'!$B105,Table1[M/C],'OEE AHV'!$D105,Table1[Case downtime],'OEE AHV'!AU$2)</f>
        <v>0</v>
      </c>
      <c r="AV105" s="114">
        <f>SUMIFS(Table1[Column1],Table1[Date],'OEE AHV'!$B105,Table1[M/C],'OEE AHV'!$D105,Table1[Case downtime],'OEE AHV'!AV$2)</f>
        <v>0</v>
      </c>
      <c r="AW105" s="114">
        <f>SUMIFS(Table1[Column1],Table1[Date],'OEE AHV'!$B105,Table1[M/C],'OEE AHV'!$D105,Table1[Case downtime],'OEE AHV'!AW$2)</f>
        <v>0</v>
      </c>
      <c r="AX105" s="183">
        <f>SUMIFS(Table1[Column1],Table1[Date],'OEE AHV'!$B105,Table1[M/C],'OEE AHV'!$D105,Table1[Case downtime],'OEE AHV'!AX$2)</f>
        <v>0</v>
      </c>
    </row>
    <row r="106" spans="2:50" s="115" customFormat="1" ht="30" hidden="1" customHeight="1">
      <c r="B106" s="91">
        <v>46062</v>
      </c>
      <c r="C106" s="92" t="s">
        <v>136</v>
      </c>
      <c r="D106" s="92" t="s">
        <v>124</v>
      </c>
      <c r="E106" s="80">
        <v>4.3</v>
      </c>
      <c r="F106" s="81">
        <v>24</v>
      </c>
      <c r="G106" s="95">
        <f t="shared" si="47"/>
        <v>1440</v>
      </c>
      <c r="H106" s="82">
        <v>0</v>
      </c>
      <c r="I106" s="82">
        <f t="shared" si="48"/>
        <v>1440</v>
      </c>
      <c r="J106" s="82">
        <f t="shared" si="49"/>
        <v>99.616536458333329</v>
      </c>
      <c r="K106" s="83">
        <f t="shared" si="50"/>
        <v>139</v>
      </c>
      <c r="L106" s="82">
        <f t="shared" si="37"/>
        <v>238.61653645833331</v>
      </c>
      <c r="M106" s="84">
        <f t="shared" si="38"/>
        <v>1201.3834635416667</v>
      </c>
      <c r="N106" s="99">
        <v>7164</v>
      </c>
      <c r="O106" s="100"/>
      <c r="P106" s="101">
        <v>9209</v>
      </c>
      <c r="Q106" s="135">
        <f t="shared" si="39"/>
        <v>16373</v>
      </c>
      <c r="R106" s="83">
        <f t="shared" si="40"/>
        <v>8</v>
      </c>
      <c r="S106" s="87">
        <f t="shared" si="41"/>
        <v>16365</v>
      </c>
      <c r="T106" s="88">
        <f t="shared" si="42"/>
        <v>16763.490188953489</v>
      </c>
      <c r="U106" s="89">
        <f t="shared" si="43"/>
        <v>0.83429407190393523</v>
      </c>
      <c r="V106" s="89">
        <f t="shared" si="44"/>
        <v>0.97670591359245662</v>
      </c>
      <c r="W106" s="89">
        <f t="shared" si="45"/>
        <v>0.99951139070420814</v>
      </c>
      <c r="X106" s="90">
        <f t="shared" si="46"/>
        <v>0.81446180555555558</v>
      </c>
      <c r="Y106" s="106"/>
      <c r="Z106" s="120">
        <v>8</v>
      </c>
      <c r="AA106" s="117"/>
      <c r="AB106" s="117"/>
      <c r="AC106" s="117"/>
      <c r="AD106" s="118"/>
      <c r="AE106" s="110">
        <f t="shared" si="51"/>
        <v>37.9609375</v>
      </c>
      <c r="AF106" s="111">
        <f t="shared" si="52"/>
        <v>36.242317708333331</v>
      </c>
      <c r="AG106" s="111">
        <f t="shared" si="53"/>
        <v>18.654134114583332</v>
      </c>
      <c r="AH106" s="111">
        <f t="shared" si="54"/>
        <v>19.720084635416665</v>
      </c>
      <c r="AI106" s="111">
        <v>10</v>
      </c>
      <c r="AJ106" s="112">
        <v>5</v>
      </c>
      <c r="AK106" s="113">
        <v>10</v>
      </c>
      <c r="AL106" s="114">
        <f>SUMIFS(Table1[Column1],Table1[Date],'OEE AHV'!$B106,Table1[M/C],'OEE AHV'!$D106,Table1[Case downtime],'OEE AHV'!AL$2)</f>
        <v>44</v>
      </c>
      <c r="AM106" s="114">
        <f>SUMIFS(Table1[Column1],Table1[Date],'OEE AHV'!$B106,Table1[M/C],'OEE AHV'!$D106,Table1[Case downtime],'OEE AHV'!AM$2)</f>
        <v>0</v>
      </c>
      <c r="AN106" s="114">
        <f>SUMIFS(Table1[Column1],Table1[Date],'OEE AHV'!$B106,Table1[M/C],'OEE AHV'!$D106,Table1[Case downtime],'OEE AHV'!AN$2)</f>
        <v>0</v>
      </c>
      <c r="AO106" s="114">
        <f>SUMIFS(Table1[Column1],Table1[Date],'OEE AHV'!$B106,Table1[M/C],'OEE AHV'!$D106,Table1[Case downtime],'OEE AHV'!AO$2)</f>
        <v>0</v>
      </c>
      <c r="AP106" s="114">
        <f>SUMIFS(Table1[Column1],Table1[Date],'OEE AHV'!$B106,Table1[M/C],'OEE AHV'!$D106,Table1[Case downtime],'OEE AHV'!AP$2)</f>
        <v>0</v>
      </c>
      <c r="AQ106" s="114">
        <f>SUMIFS(Table1[Column1],Table1[Date],'OEE AHV'!$B106,Table1[M/C],'OEE AHV'!$D106,Table1[Case downtime],'OEE AHV'!AQ$2)</f>
        <v>0</v>
      </c>
      <c r="AR106" s="114">
        <f>SUMIFS(Table1[Column1],Table1[Date],'OEE AHV'!$B106,Table1[M/C],'OEE AHV'!$D106,Table1[Case downtime],'OEE AHV'!AR$2)</f>
        <v>0</v>
      </c>
      <c r="AS106" s="114">
        <f>SUMIFS(Table1[Column1],Table1[Date],'OEE AHV'!$B106,Table1[M/C],'OEE AHV'!$D106,Table1[Case downtime],'OEE AHV'!AS$2)</f>
        <v>0</v>
      </c>
      <c r="AT106" s="114">
        <f>SUMIFS(Table1[Column1],Table1[Date],'OEE AHV'!$B106,Table1[M/C],'OEE AHV'!$D106,Table1[Case downtime],'OEE AHV'!AT$2)</f>
        <v>0</v>
      </c>
      <c r="AU106" s="114">
        <f>SUMIFS(Table1[Column1],Table1[Date],'OEE AHV'!$B106,Table1[M/C],'OEE AHV'!$D106,Table1[Case downtime],'OEE AHV'!AU$2)</f>
        <v>0</v>
      </c>
      <c r="AV106" s="114">
        <f>SUMIFS(Table1[Column1],Table1[Date],'OEE AHV'!$B106,Table1[M/C],'OEE AHV'!$D106,Table1[Case downtime],'OEE AHV'!AV$2)</f>
        <v>95</v>
      </c>
      <c r="AW106" s="114">
        <f>SUMIFS(Table1[Column1],Table1[Date],'OEE AHV'!$B106,Table1[M/C],'OEE AHV'!$D106,Table1[Case downtime],'OEE AHV'!AW$2)</f>
        <v>0</v>
      </c>
      <c r="AX106" s="183">
        <f>SUMIFS(Table1[Column1],Table1[Date],'OEE AHV'!$B106,Table1[M/C],'OEE AHV'!$D106,Table1[Case downtime],'OEE AHV'!AX$2)</f>
        <v>0</v>
      </c>
    </row>
    <row r="107" spans="2:50" s="115" customFormat="1" ht="30" hidden="1" customHeight="1">
      <c r="B107" s="91">
        <v>46063</v>
      </c>
      <c r="C107" s="92" t="s">
        <v>136</v>
      </c>
      <c r="D107" s="92" t="s">
        <v>124</v>
      </c>
      <c r="E107" s="98">
        <v>4.3</v>
      </c>
      <c r="F107" s="81">
        <v>24</v>
      </c>
      <c r="G107" s="95">
        <f t="shared" ref="G107:G113" si="55">F107*60</f>
        <v>1440</v>
      </c>
      <c r="H107" s="82">
        <v>0</v>
      </c>
      <c r="I107" s="82">
        <f t="shared" si="48"/>
        <v>1440</v>
      </c>
      <c r="J107" s="82">
        <f t="shared" si="49"/>
        <v>108.9453125</v>
      </c>
      <c r="K107" s="83">
        <f t="shared" si="50"/>
        <v>0</v>
      </c>
      <c r="L107" s="82">
        <f t="shared" si="37"/>
        <v>108.9453125</v>
      </c>
      <c r="M107" s="84">
        <f t="shared" si="38"/>
        <v>1331.0546875</v>
      </c>
      <c r="N107" s="99">
        <v>9720</v>
      </c>
      <c r="O107" s="100"/>
      <c r="P107" s="101">
        <v>8700</v>
      </c>
      <c r="Q107" s="135">
        <f t="shared" si="39"/>
        <v>18420</v>
      </c>
      <c r="R107" s="83">
        <f t="shared" si="40"/>
        <v>0</v>
      </c>
      <c r="S107" s="87">
        <f t="shared" si="41"/>
        <v>18420</v>
      </c>
      <c r="T107" s="88">
        <f t="shared" si="42"/>
        <v>18572.856104651164</v>
      </c>
      <c r="U107" s="89">
        <f t="shared" ref="U107:U114" si="56">IFERROR(M107/I107," ")</f>
        <v>0.92434353298611116</v>
      </c>
      <c r="V107" s="89">
        <f t="shared" ref="V107:V114" si="57">IFERROR(Q107/T107," ")</f>
        <v>0.99176991929567127</v>
      </c>
      <c r="W107" s="89">
        <f t="shared" ref="W107:W114" si="58">IFERROR(S107/Q107," ")</f>
        <v>1</v>
      </c>
      <c r="X107" s="90">
        <f t="shared" ref="X107:X114" si="59">IFERROR(U107*V107*W107," ")</f>
        <v>0.91673611111111108</v>
      </c>
      <c r="Y107" s="106"/>
      <c r="Z107" s="120">
        <v>0</v>
      </c>
      <c r="AA107" s="117"/>
      <c r="AB107" s="117"/>
      <c r="AC107" s="117"/>
      <c r="AD107" s="118"/>
      <c r="AE107" s="110">
        <f t="shared" si="51"/>
        <v>37.9609375</v>
      </c>
      <c r="AF107" s="111">
        <f t="shared" ref="AF107:AF143" si="60">(Q107/512*68/60)</f>
        <v>40.7734375</v>
      </c>
      <c r="AG107" s="111">
        <f t="shared" ref="AG107:AG143" si="61">(Q107/512*35/60)</f>
        <v>20.986328125</v>
      </c>
      <c r="AH107" s="111">
        <f t="shared" ref="AH107:AH143" si="62">(Q107/512*37/60)</f>
        <v>22.185546875</v>
      </c>
      <c r="AI107" s="111">
        <v>10</v>
      </c>
      <c r="AJ107" s="112">
        <v>5</v>
      </c>
      <c r="AK107" s="113">
        <v>10</v>
      </c>
      <c r="AL107" s="114">
        <f>SUMIFS(Table1[Column1],Table1[Date],'OEE AHV'!#REF!,Table1[M/C],'OEE AHV'!#REF!,Table1[Case downtime],'OEE AHV'!AL$2)</f>
        <v>0</v>
      </c>
      <c r="AM107" s="114">
        <f>SUMIFS(Table1[Column1],Table1[Date],'OEE AHV'!#REF!,Table1[M/C],'OEE AHV'!#REF!,Table1[Case downtime],'OEE AHV'!AM$2)</f>
        <v>0</v>
      </c>
      <c r="AN107" s="114">
        <f>SUMIFS(Table1[Column1],Table1[Date],'OEE AHV'!#REF!,Table1[M/C],'OEE AHV'!#REF!,Table1[Case downtime],'OEE AHV'!AN$2)</f>
        <v>0</v>
      </c>
      <c r="AO107" s="114">
        <f>SUMIFS(Table1[Column1],Table1[Date],'OEE AHV'!#REF!,Table1[M/C],'OEE AHV'!#REF!,Table1[Case downtime],'OEE AHV'!AO$2)</f>
        <v>0</v>
      </c>
      <c r="AP107" s="114">
        <f>SUMIFS(Table1[Column1],Table1[Date],'OEE AHV'!#REF!,Table1[M/C],'OEE AHV'!#REF!,Table1[Case downtime],'OEE AHV'!AP$2)</f>
        <v>0</v>
      </c>
      <c r="AQ107" s="114">
        <f>SUMIFS(Table1[Column1],Table1[Date],'OEE AHV'!#REF!,Table1[M/C],'OEE AHV'!#REF!,Table1[Case downtime],'OEE AHV'!AQ$2)</f>
        <v>0</v>
      </c>
      <c r="AR107" s="114">
        <f>SUMIFS(Table1[Column1],Table1[Date],'OEE AHV'!#REF!,Table1[M/C],'OEE AHV'!#REF!,Table1[Case downtime],'OEE AHV'!AR$2)</f>
        <v>0</v>
      </c>
      <c r="AS107" s="114">
        <f>SUMIFS(Table1[Column1],Table1[Date],'OEE AHV'!#REF!,Table1[M/C],'OEE AHV'!#REF!,Table1[Case downtime],'OEE AHV'!AS$2)</f>
        <v>0</v>
      </c>
      <c r="AT107" s="114">
        <f>SUMIFS(Table1[Column1],Table1[Date],'OEE AHV'!#REF!,Table1[M/C],'OEE AHV'!#REF!,Table1[Case downtime],'OEE AHV'!AT$2)</f>
        <v>0</v>
      </c>
      <c r="AU107" s="114">
        <f>SUMIFS(Table1[Column1],Table1[Date],'OEE AHV'!#REF!,Table1[M/C],'OEE AHV'!#REF!,Table1[Case downtime],'OEE AHV'!AU$2)</f>
        <v>0</v>
      </c>
      <c r="AV107" s="114">
        <f>SUMIFS(Table1[Column1],Table1[Date],'OEE AHV'!#REF!,Table1[M/C],'OEE AHV'!#REF!,Table1[Case downtime],'OEE AHV'!AV$2)</f>
        <v>0</v>
      </c>
      <c r="AW107" s="114">
        <f>SUMIFS(Table1[Column1],Table1[Date],'OEE AHV'!#REF!,Table1[M/C],'OEE AHV'!#REF!,Table1[Case downtime],'OEE AHV'!AW$2)</f>
        <v>0</v>
      </c>
      <c r="AX107" s="183">
        <f>SUMIFS(Table1[Column1],Table1[Date],'OEE AHV'!#REF!,Table1[M/C],'OEE AHV'!#REF!,Table1[Case downtime],'OEE AHV'!AX$2)</f>
        <v>0</v>
      </c>
    </row>
    <row r="108" spans="2:50" s="115" customFormat="1" ht="30" hidden="1" customHeight="1">
      <c r="B108" s="91">
        <v>46064</v>
      </c>
      <c r="C108" s="92" t="s">
        <v>136</v>
      </c>
      <c r="D108" s="92" t="s">
        <v>124</v>
      </c>
      <c r="E108" s="98">
        <v>4.3</v>
      </c>
      <c r="F108" s="81">
        <v>24</v>
      </c>
      <c r="G108" s="95">
        <f t="shared" si="55"/>
        <v>1440</v>
      </c>
      <c r="H108" s="82">
        <v>0</v>
      </c>
      <c r="I108" s="82">
        <f t="shared" si="48"/>
        <v>1440</v>
      </c>
      <c r="J108" s="82">
        <f t="shared" si="49"/>
        <v>106.64388020833334</v>
      </c>
      <c r="K108" s="83">
        <f t="shared" si="50"/>
        <v>0</v>
      </c>
      <c r="L108" s="82">
        <f t="shared" si="37"/>
        <v>106.64388020833334</v>
      </c>
      <c r="M108" s="84">
        <f t="shared" si="38"/>
        <v>1333.3561197916667</v>
      </c>
      <c r="N108" s="99">
        <v>9728</v>
      </c>
      <c r="O108" s="100"/>
      <c r="P108" s="101">
        <v>8187</v>
      </c>
      <c r="Q108" s="135">
        <f t="shared" si="39"/>
        <v>17915</v>
      </c>
      <c r="R108" s="83">
        <f t="shared" si="40"/>
        <v>2</v>
      </c>
      <c r="S108" s="87">
        <f t="shared" si="41"/>
        <v>17913</v>
      </c>
      <c r="T108" s="88">
        <f t="shared" si="42"/>
        <v>18604.969113372095</v>
      </c>
      <c r="U108" s="89">
        <f t="shared" si="56"/>
        <v>0.92594174985532418</v>
      </c>
      <c r="V108" s="89">
        <f t="shared" si="57"/>
        <v>0.96291479393662693</v>
      </c>
      <c r="W108" s="89">
        <f t="shared" si="58"/>
        <v>0.99988836170806583</v>
      </c>
      <c r="X108" s="90">
        <f t="shared" si="59"/>
        <v>0.89150347222222226</v>
      </c>
      <c r="Y108" s="106"/>
      <c r="Z108" s="120">
        <v>2</v>
      </c>
      <c r="AA108" s="117"/>
      <c r="AB108" s="117"/>
      <c r="AC108" s="117"/>
      <c r="AD108" s="118"/>
      <c r="AE108" s="110">
        <f t="shared" si="51"/>
        <v>37.9609375</v>
      </c>
      <c r="AF108" s="111">
        <f t="shared" si="60"/>
        <v>39.655598958333336</v>
      </c>
      <c r="AG108" s="111">
        <f t="shared" si="61"/>
        <v>20.410970052083332</v>
      </c>
      <c r="AH108" s="111">
        <f t="shared" si="62"/>
        <v>21.577311197916668</v>
      </c>
      <c r="AI108" s="111">
        <v>10</v>
      </c>
      <c r="AJ108" s="112">
        <v>5</v>
      </c>
      <c r="AK108" s="113">
        <v>10</v>
      </c>
      <c r="AL108" s="114">
        <f>SUMIFS(Table1[Column1],Table1[Date],'OEE AHV'!#REF!,Table1[M/C],'OEE AHV'!#REF!,Table1[Case downtime],'OEE AHV'!AL$2)</f>
        <v>0</v>
      </c>
      <c r="AM108" s="114">
        <f>SUMIFS(Table1[Column1],Table1[Date],'OEE AHV'!#REF!,Table1[M/C],'OEE AHV'!#REF!,Table1[Case downtime],'OEE AHV'!AM$2)</f>
        <v>0</v>
      </c>
      <c r="AN108" s="114">
        <f>SUMIFS(Table1[Column1],Table1[Date],'OEE AHV'!#REF!,Table1[M/C],'OEE AHV'!#REF!,Table1[Case downtime],'OEE AHV'!AN$2)</f>
        <v>0</v>
      </c>
      <c r="AO108" s="114">
        <f>SUMIFS(Table1[Column1],Table1[Date],'OEE AHV'!#REF!,Table1[M/C],'OEE AHV'!#REF!,Table1[Case downtime],'OEE AHV'!AO$2)</f>
        <v>0</v>
      </c>
      <c r="AP108" s="114">
        <f>SUMIFS(Table1[Column1],Table1[Date],'OEE AHV'!#REF!,Table1[M/C],'OEE AHV'!#REF!,Table1[Case downtime],'OEE AHV'!AP$2)</f>
        <v>0</v>
      </c>
      <c r="AQ108" s="114">
        <f>SUMIFS(Table1[Column1],Table1[Date],'OEE AHV'!#REF!,Table1[M/C],'OEE AHV'!#REF!,Table1[Case downtime],'OEE AHV'!AQ$2)</f>
        <v>0</v>
      </c>
      <c r="AR108" s="114">
        <f>SUMIFS(Table1[Column1],Table1[Date],'OEE AHV'!#REF!,Table1[M/C],'OEE AHV'!#REF!,Table1[Case downtime],'OEE AHV'!AR$2)</f>
        <v>0</v>
      </c>
      <c r="AS108" s="114">
        <f>SUMIFS(Table1[Column1],Table1[Date],'OEE AHV'!#REF!,Table1[M/C],'OEE AHV'!#REF!,Table1[Case downtime],'OEE AHV'!AS$2)</f>
        <v>0</v>
      </c>
      <c r="AT108" s="114">
        <f>SUMIFS(Table1[Column1],Table1[Date],'OEE AHV'!#REF!,Table1[M/C],'OEE AHV'!#REF!,Table1[Case downtime],'OEE AHV'!AT$2)</f>
        <v>0</v>
      </c>
      <c r="AU108" s="114">
        <f>SUMIFS(Table1[Column1],Table1[Date],'OEE AHV'!#REF!,Table1[M/C],'OEE AHV'!#REF!,Table1[Case downtime],'OEE AHV'!AU$2)</f>
        <v>0</v>
      </c>
      <c r="AV108" s="114">
        <f>SUMIFS(Table1[Column1],Table1[Date],'OEE AHV'!#REF!,Table1[M/C],'OEE AHV'!#REF!,Table1[Case downtime],'OEE AHV'!AV$2)</f>
        <v>0</v>
      </c>
      <c r="AW108" s="114">
        <f>SUMIFS(Table1[Column1],Table1[Date],'OEE AHV'!#REF!,Table1[M/C],'OEE AHV'!#REF!,Table1[Case downtime],'OEE AHV'!AW$2)</f>
        <v>0</v>
      </c>
      <c r="AX108" s="183">
        <f>SUMIFS(Table1[Column1],Table1[Date],'OEE AHV'!#REF!,Table1[M/C],'OEE AHV'!#REF!,Table1[Case downtime],'OEE AHV'!AX$2)</f>
        <v>0</v>
      </c>
    </row>
    <row r="109" spans="2:50" s="115" customFormat="1" ht="30" hidden="1" customHeight="1">
      <c r="B109" s="91">
        <v>46065</v>
      </c>
      <c r="C109" s="92" t="s">
        <v>136</v>
      </c>
      <c r="D109" s="92" t="s">
        <v>124</v>
      </c>
      <c r="E109" s="98">
        <v>4.3</v>
      </c>
      <c r="F109" s="81">
        <v>24</v>
      </c>
      <c r="G109" s="95">
        <f t="shared" si="55"/>
        <v>1440</v>
      </c>
      <c r="H109" s="82">
        <v>0</v>
      </c>
      <c r="I109" s="82">
        <f t="shared" si="48"/>
        <v>1440</v>
      </c>
      <c r="J109" s="82">
        <f t="shared" si="49"/>
        <v>97.260416666666671</v>
      </c>
      <c r="K109" s="83">
        <f t="shared" si="50"/>
        <v>0</v>
      </c>
      <c r="L109" s="82">
        <f t="shared" si="37"/>
        <v>97.260416666666671</v>
      </c>
      <c r="M109" s="84">
        <f t="shared" si="38"/>
        <v>1342.7395833333333</v>
      </c>
      <c r="N109" s="99">
        <v>8695</v>
      </c>
      <c r="O109" s="100"/>
      <c r="P109" s="101">
        <v>7161</v>
      </c>
      <c r="Q109" s="135">
        <f t="shared" si="39"/>
        <v>15856</v>
      </c>
      <c r="R109" s="83">
        <f t="shared" si="40"/>
        <v>13</v>
      </c>
      <c r="S109" s="87">
        <f t="shared" si="41"/>
        <v>15843</v>
      </c>
      <c r="T109" s="88">
        <f t="shared" si="42"/>
        <v>18735.901162790698</v>
      </c>
      <c r="U109" s="89">
        <f t="shared" si="56"/>
        <v>0.93245804398148147</v>
      </c>
      <c r="V109" s="89">
        <f t="shared" si="57"/>
        <v>0.84628969069765636</v>
      </c>
      <c r="W109" s="89">
        <f t="shared" si="58"/>
        <v>0.99918012108980825</v>
      </c>
      <c r="X109" s="90">
        <f t="shared" si="59"/>
        <v>0.78848263888888881</v>
      </c>
      <c r="Y109" s="106"/>
      <c r="Z109" s="120">
        <v>13</v>
      </c>
      <c r="AA109" s="117"/>
      <c r="AB109" s="117"/>
      <c r="AC109" s="117"/>
      <c r="AD109" s="118"/>
      <c r="AE109" s="110">
        <f t="shared" si="51"/>
        <v>37.9609375</v>
      </c>
      <c r="AF109" s="111">
        <f t="shared" si="60"/>
        <v>35.09791666666667</v>
      </c>
      <c r="AG109" s="111">
        <f t="shared" si="61"/>
        <v>18.065104166666668</v>
      </c>
      <c r="AH109" s="111">
        <f t="shared" si="62"/>
        <v>19.097395833333334</v>
      </c>
      <c r="AI109" s="111">
        <v>10</v>
      </c>
      <c r="AJ109" s="112">
        <v>5</v>
      </c>
      <c r="AK109" s="113">
        <v>10</v>
      </c>
      <c r="AL109" s="114">
        <f>SUMIFS(Table1[Column1],Table1[Date],'OEE AHV'!#REF!,Table1[M/C],'OEE AHV'!#REF!,Table1[Case downtime],'OEE AHV'!AL$2)</f>
        <v>0</v>
      </c>
      <c r="AM109" s="114">
        <f>SUMIFS(Table1[Column1],Table1[Date],'OEE AHV'!#REF!,Table1[M/C],'OEE AHV'!#REF!,Table1[Case downtime],'OEE AHV'!AM$2)</f>
        <v>0</v>
      </c>
      <c r="AN109" s="114">
        <f>SUMIFS(Table1[Column1],Table1[Date],'OEE AHV'!#REF!,Table1[M/C],'OEE AHV'!#REF!,Table1[Case downtime],'OEE AHV'!AN$2)</f>
        <v>0</v>
      </c>
      <c r="AO109" s="114">
        <f>SUMIFS(Table1[Column1],Table1[Date],'OEE AHV'!#REF!,Table1[M/C],'OEE AHV'!#REF!,Table1[Case downtime],'OEE AHV'!AO$2)</f>
        <v>0</v>
      </c>
      <c r="AP109" s="114">
        <f>SUMIFS(Table1[Column1],Table1[Date],'OEE AHV'!#REF!,Table1[M/C],'OEE AHV'!#REF!,Table1[Case downtime],'OEE AHV'!AP$2)</f>
        <v>0</v>
      </c>
      <c r="AQ109" s="114">
        <f>SUMIFS(Table1[Column1],Table1[Date],'OEE AHV'!#REF!,Table1[M/C],'OEE AHV'!#REF!,Table1[Case downtime],'OEE AHV'!AQ$2)</f>
        <v>0</v>
      </c>
      <c r="AR109" s="114">
        <f>SUMIFS(Table1[Column1],Table1[Date],'OEE AHV'!#REF!,Table1[M/C],'OEE AHV'!#REF!,Table1[Case downtime],'OEE AHV'!AR$2)</f>
        <v>0</v>
      </c>
      <c r="AS109" s="114">
        <f>SUMIFS(Table1[Column1],Table1[Date],'OEE AHV'!#REF!,Table1[M/C],'OEE AHV'!#REF!,Table1[Case downtime],'OEE AHV'!AS$2)</f>
        <v>0</v>
      </c>
      <c r="AT109" s="114">
        <f>SUMIFS(Table1[Column1],Table1[Date],'OEE AHV'!#REF!,Table1[M/C],'OEE AHV'!#REF!,Table1[Case downtime],'OEE AHV'!AT$2)</f>
        <v>0</v>
      </c>
      <c r="AU109" s="114">
        <f>SUMIFS(Table1[Column1],Table1[Date],'OEE AHV'!#REF!,Table1[M/C],'OEE AHV'!#REF!,Table1[Case downtime],'OEE AHV'!AU$2)</f>
        <v>0</v>
      </c>
      <c r="AV109" s="114">
        <f>SUMIFS(Table1[Column1],Table1[Date],'OEE AHV'!#REF!,Table1[M/C],'OEE AHV'!#REF!,Table1[Case downtime],'OEE AHV'!AV$2)</f>
        <v>0</v>
      </c>
      <c r="AW109" s="114">
        <f>SUMIFS(Table1[Column1],Table1[Date],'OEE AHV'!#REF!,Table1[M/C],'OEE AHV'!#REF!,Table1[Case downtime],'OEE AHV'!AW$2)</f>
        <v>0</v>
      </c>
      <c r="AX109" s="183">
        <f>SUMIFS(Table1[Column1],Table1[Date],'OEE AHV'!#REF!,Table1[M/C],'OEE AHV'!#REF!,Table1[Case downtime],'OEE AHV'!AX$2)</f>
        <v>0</v>
      </c>
    </row>
    <row r="110" spans="2:50" s="115" customFormat="1" ht="30" hidden="1" customHeight="1">
      <c r="B110" s="91">
        <v>46066</v>
      </c>
      <c r="C110" s="92" t="s">
        <v>136</v>
      </c>
      <c r="D110" s="92" t="s">
        <v>124</v>
      </c>
      <c r="E110" s="98">
        <v>4.3</v>
      </c>
      <c r="F110" s="81">
        <v>24</v>
      </c>
      <c r="G110" s="95">
        <f t="shared" si="55"/>
        <v>1440</v>
      </c>
      <c r="H110" s="82">
        <v>0</v>
      </c>
      <c r="I110" s="82">
        <f t="shared" si="48"/>
        <v>1440</v>
      </c>
      <c r="J110" s="82">
        <f t="shared" si="49"/>
        <v>113.59830729166667</v>
      </c>
      <c r="K110" s="83">
        <f t="shared" si="50"/>
        <v>0</v>
      </c>
      <c r="L110" s="82">
        <f t="shared" si="37"/>
        <v>113.59830729166667</v>
      </c>
      <c r="M110" s="84">
        <f t="shared" si="38"/>
        <v>1326.4016927083333</v>
      </c>
      <c r="N110" s="99">
        <v>9721</v>
      </c>
      <c r="O110" s="100"/>
      <c r="P110" s="101">
        <v>9720</v>
      </c>
      <c r="Q110" s="135">
        <f t="shared" si="39"/>
        <v>19441</v>
      </c>
      <c r="R110" s="83">
        <f t="shared" si="40"/>
        <v>7</v>
      </c>
      <c r="S110" s="87">
        <f t="shared" si="41"/>
        <v>19434</v>
      </c>
      <c r="T110" s="88">
        <f t="shared" si="42"/>
        <v>18507.930595930233</v>
      </c>
      <c r="U110" s="89">
        <f t="shared" si="56"/>
        <v>0.92111228660300926</v>
      </c>
      <c r="V110" s="89">
        <f t="shared" si="57"/>
        <v>1.050414572241531</v>
      </c>
      <c r="W110" s="89">
        <f t="shared" si="58"/>
        <v>0.99963993621727276</v>
      </c>
      <c r="X110" s="90">
        <f t="shared" si="59"/>
        <v>0.96720138888888885</v>
      </c>
      <c r="Y110" s="106"/>
      <c r="Z110" s="120">
        <v>7</v>
      </c>
      <c r="AA110" s="117"/>
      <c r="AB110" s="117"/>
      <c r="AC110" s="117"/>
      <c r="AD110" s="118"/>
      <c r="AE110" s="110">
        <f t="shared" si="51"/>
        <v>37.9609375</v>
      </c>
      <c r="AF110" s="111">
        <f t="shared" si="60"/>
        <v>43.03346354166667</v>
      </c>
      <c r="AG110" s="111">
        <f t="shared" si="61"/>
        <v>22.149576822916668</v>
      </c>
      <c r="AH110" s="111">
        <f t="shared" si="62"/>
        <v>23.415266927083334</v>
      </c>
      <c r="AI110" s="111">
        <v>10</v>
      </c>
      <c r="AJ110" s="112">
        <v>5</v>
      </c>
      <c r="AK110" s="113">
        <v>10</v>
      </c>
      <c r="AL110" s="114">
        <f>SUMIFS(Table1[Column1],Table1[Date],'OEE AHV'!#REF!,Table1[M/C],'OEE AHV'!#REF!,Table1[Case downtime],'OEE AHV'!AL$2)</f>
        <v>0</v>
      </c>
      <c r="AM110" s="114">
        <f>SUMIFS(Table1[Column1],Table1[Date],'OEE AHV'!#REF!,Table1[M/C],'OEE AHV'!#REF!,Table1[Case downtime],'OEE AHV'!AM$2)</f>
        <v>0</v>
      </c>
      <c r="AN110" s="114">
        <f>SUMIFS(Table1[Column1],Table1[Date],'OEE AHV'!#REF!,Table1[M/C],'OEE AHV'!#REF!,Table1[Case downtime],'OEE AHV'!AN$2)</f>
        <v>0</v>
      </c>
      <c r="AO110" s="114">
        <f>SUMIFS(Table1[Column1],Table1[Date],'OEE AHV'!#REF!,Table1[M/C],'OEE AHV'!#REF!,Table1[Case downtime],'OEE AHV'!AO$2)</f>
        <v>0</v>
      </c>
      <c r="AP110" s="114">
        <f>SUMIFS(Table1[Column1],Table1[Date],'OEE AHV'!#REF!,Table1[M/C],'OEE AHV'!#REF!,Table1[Case downtime],'OEE AHV'!AP$2)</f>
        <v>0</v>
      </c>
      <c r="AQ110" s="114">
        <f>SUMIFS(Table1[Column1],Table1[Date],'OEE AHV'!#REF!,Table1[M/C],'OEE AHV'!#REF!,Table1[Case downtime],'OEE AHV'!AQ$2)</f>
        <v>0</v>
      </c>
      <c r="AR110" s="114">
        <f>SUMIFS(Table1[Column1],Table1[Date],'OEE AHV'!#REF!,Table1[M/C],'OEE AHV'!#REF!,Table1[Case downtime],'OEE AHV'!AR$2)</f>
        <v>0</v>
      </c>
      <c r="AS110" s="114">
        <f>SUMIFS(Table1[Column1],Table1[Date],'OEE AHV'!#REF!,Table1[M/C],'OEE AHV'!#REF!,Table1[Case downtime],'OEE AHV'!AS$2)</f>
        <v>0</v>
      </c>
      <c r="AT110" s="114">
        <f>SUMIFS(Table1[Column1],Table1[Date],'OEE AHV'!#REF!,Table1[M/C],'OEE AHV'!#REF!,Table1[Case downtime],'OEE AHV'!AT$2)</f>
        <v>0</v>
      </c>
      <c r="AU110" s="114">
        <f>SUMIFS(Table1[Column1],Table1[Date],'OEE AHV'!#REF!,Table1[M/C],'OEE AHV'!#REF!,Table1[Case downtime],'OEE AHV'!AU$2)</f>
        <v>0</v>
      </c>
      <c r="AV110" s="114">
        <f>SUMIFS(Table1[Column1],Table1[Date],'OEE AHV'!#REF!,Table1[M/C],'OEE AHV'!#REF!,Table1[Case downtime],'OEE AHV'!AV$2)</f>
        <v>0</v>
      </c>
      <c r="AW110" s="114">
        <f>SUMIFS(Table1[Column1],Table1[Date],'OEE AHV'!#REF!,Table1[M/C],'OEE AHV'!#REF!,Table1[Case downtime],'OEE AHV'!AW$2)</f>
        <v>0</v>
      </c>
      <c r="AX110" s="183">
        <f>SUMIFS(Table1[Column1],Table1[Date],'OEE AHV'!#REF!,Table1[M/C],'OEE AHV'!#REF!,Table1[Case downtime],'OEE AHV'!AX$2)</f>
        <v>0</v>
      </c>
    </row>
    <row r="111" spans="2:50" s="115" customFormat="1" ht="30" hidden="1" customHeight="1">
      <c r="B111" s="91">
        <v>46067</v>
      </c>
      <c r="C111" s="92" t="s">
        <v>136</v>
      </c>
      <c r="D111" s="92" t="s">
        <v>124</v>
      </c>
      <c r="E111" s="98">
        <v>4.3</v>
      </c>
      <c r="F111" s="81">
        <v>24</v>
      </c>
      <c r="G111" s="95">
        <f t="shared" si="55"/>
        <v>1440</v>
      </c>
      <c r="H111" s="82">
        <v>0</v>
      </c>
      <c r="I111" s="82">
        <f t="shared" si="48"/>
        <v>1440</v>
      </c>
      <c r="J111" s="82">
        <f t="shared" si="49"/>
        <v>111.22395833333334</v>
      </c>
      <c r="K111" s="83">
        <f t="shared" si="50"/>
        <v>0</v>
      </c>
      <c r="L111" s="82">
        <f t="shared" si="37"/>
        <v>111.22395833333334</v>
      </c>
      <c r="M111" s="84">
        <f t="shared" si="38"/>
        <v>1328.7760416666667</v>
      </c>
      <c r="N111" s="99">
        <v>9208</v>
      </c>
      <c r="O111" s="100"/>
      <c r="P111" s="101">
        <v>9712</v>
      </c>
      <c r="Q111" s="135">
        <f t="shared" si="39"/>
        <v>18920</v>
      </c>
      <c r="R111" s="83">
        <f t="shared" si="40"/>
        <v>8</v>
      </c>
      <c r="S111" s="87">
        <f t="shared" si="41"/>
        <v>18912</v>
      </c>
      <c r="T111" s="88">
        <f t="shared" si="42"/>
        <v>18541.06104651163</v>
      </c>
      <c r="U111" s="89">
        <f t="shared" si="56"/>
        <v>0.92276114004629639</v>
      </c>
      <c r="V111" s="89">
        <f t="shared" si="57"/>
        <v>1.0204378245957864</v>
      </c>
      <c r="W111" s="89">
        <f t="shared" si="58"/>
        <v>0.99957716701902743</v>
      </c>
      <c r="X111" s="90">
        <f t="shared" si="59"/>
        <v>0.94122222222222229</v>
      </c>
      <c r="Y111" s="106"/>
      <c r="Z111" s="120">
        <v>8</v>
      </c>
      <c r="AA111" s="117"/>
      <c r="AB111" s="117"/>
      <c r="AC111" s="117"/>
      <c r="AD111" s="118"/>
      <c r="AE111" s="110">
        <f t="shared" si="51"/>
        <v>37.9609375</v>
      </c>
      <c r="AF111" s="111">
        <f t="shared" si="60"/>
        <v>41.880208333333336</v>
      </c>
      <c r="AG111" s="111">
        <f t="shared" si="61"/>
        <v>21.555989583333332</v>
      </c>
      <c r="AH111" s="111">
        <f t="shared" si="62"/>
        <v>22.787760416666668</v>
      </c>
      <c r="AI111" s="111">
        <v>10</v>
      </c>
      <c r="AJ111" s="112">
        <v>5</v>
      </c>
      <c r="AK111" s="113">
        <v>10</v>
      </c>
      <c r="AL111" s="114">
        <f>SUMIFS(Table1[Column1],Table1[Date],'OEE AHV'!#REF!,Table1[M/C],'OEE AHV'!#REF!,Table1[Case downtime],'OEE AHV'!AL$2)</f>
        <v>0</v>
      </c>
      <c r="AM111" s="114">
        <f>SUMIFS(Table1[Column1],Table1[Date],'OEE AHV'!#REF!,Table1[M/C],'OEE AHV'!#REF!,Table1[Case downtime],'OEE AHV'!AM$2)</f>
        <v>0</v>
      </c>
      <c r="AN111" s="114">
        <f>SUMIFS(Table1[Column1],Table1[Date],'OEE AHV'!#REF!,Table1[M/C],'OEE AHV'!#REF!,Table1[Case downtime],'OEE AHV'!AN$2)</f>
        <v>0</v>
      </c>
      <c r="AO111" s="114">
        <f>SUMIFS(Table1[Column1],Table1[Date],'OEE AHV'!#REF!,Table1[M/C],'OEE AHV'!#REF!,Table1[Case downtime],'OEE AHV'!AO$2)</f>
        <v>0</v>
      </c>
      <c r="AP111" s="114">
        <f>SUMIFS(Table1[Column1],Table1[Date],'OEE AHV'!#REF!,Table1[M/C],'OEE AHV'!#REF!,Table1[Case downtime],'OEE AHV'!AP$2)</f>
        <v>0</v>
      </c>
      <c r="AQ111" s="114">
        <f>SUMIFS(Table1[Column1],Table1[Date],'OEE AHV'!#REF!,Table1[M/C],'OEE AHV'!#REF!,Table1[Case downtime],'OEE AHV'!AQ$2)</f>
        <v>0</v>
      </c>
      <c r="AR111" s="114">
        <f>SUMIFS(Table1[Column1],Table1[Date],'OEE AHV'!#REF!,Table1[M/C],'OEE AHV'!#REF!,Table1[Case downtime],'OEE AHV'!AR$2)</f>
        <v>0</v>
      </c>
      <c r="AS111" s="114">
        <f>SUMIFS(Table1[Column1],Table1[Date],'OEE AHV'!#REF!,Table1[M/C],'OEE AHV'!#REF!,Table1[Case downtime],'OEE AHV'!AS$2)</f>
        <v>0</v>
      </c>
      <c r="AT111" s="114">
        <f>SUMIFS(Table1[Column1],Table1[Date],'OEE AHV'!#REF!,Table1[M/C],'OEE AHV'!#REF!,Table1[Case downtime],'OEE AHV'!AT$2)</f>
        <v>0</v>
      </c>
      <c r="AU111" s="114">
        <f>SUMIFS(Table1[Column1],Table1[Date],'OEE AHV'!#REF!,Table1[M/C],'OEE AHV'!#REF!,Table1[Case downtime],'OEE AHV'!AU$2)</f>
        <v>0</v>
      </c>
      <c r="AV111" s="114">
        <f>SUMIFS(Table1[Column1],Table1[Date],'OEE AHV'!#REF!,Table1[M/C],'OEE AHV'!#REF!,Table1[Case downtime],'OEE AHV'!AV$2)</f>
        <v>0</v>
      </c>
      <c r="AW111" s="114">
        <f>SUMIFS(Table1[Column1],Table1[Date],'OEE AHV'!#REF!,Table1[M/C],'OEE AHV'!#REF!,Table1[Case downtime],'OEE AHV'!AW$2)</f>
        <v>0</v>
      </c>
      <c r="AX111" s="183">
        <f>SUMIFS(Table1[Column1],Table1[Date],'OEE AHV'!#REF!,Table1[M/C],'OEE AHV'!#REF!,Table1[Case downtime],'OEE AHV'!AX$2)</f>
        <v>0</v>
      </c>
    </row>
    <row r="112" spans="2:50" s="115" customFormat="1" ht="30" hidden="1" customHeight="1">
      <c r="B112" s="91">
        <v>46069</v>
      </c>
      <c r="C112" s="92" t="s">
        <v>136</v>
      </c>
      <c r="D112" s="92" t="s">
        <v>124</v>
      </c>
      <c r="E112" s="98">
        <v>4.3</v>
      </c>
      <c r="F112" s="81">
        <v>24</v>
      </c>
      <c r="G112" s="95">
        <f t="shared" si="55"/>
        <v>1440</v>
      </c>
      <c r="H112" s="82">
        <v>0</v>
      </c>
      <c r="I112" s="82">
        <f t="shared" si="48"/>
        <v>1440</v>
      </c>
      <c r="J112" s="82">
        <f t="shared" si="49"/>
        <v>108.96354166666667</v>
      </c>
      <c r="K112" s="83">
        <f t="shared" si="50"/>
        <v>0</v>
      </c>
      <c r="L112" s="82">
        <f t="shared" si="37"/>
        <v>108.96354166666667</v>
      </c>
      <c r="M112" s="84">
        <f t="shared" si="38"/>
        <v>1331.0364583333333</v>
      </c>
      <c r="N112" s="99">
        <v>9208</v>
      </c>
      <c r="O112" s="100"/>
      <c r="P112" s="101">
        <v>9216</v>
      </c>
      <c r="Q112" s="135">
        <f t="shared" si="39"/>
        <v>18424</v>
      </c>
      <c r="R112" s="83">
        <f t="shared" si="40"/>
        <v>3</v>
      </c>
      <c r="S112" s="87">
        <f t="shared" si="41"/>
        <v>18421</v>
      </c>
      <c r="T112" s="88">
        <f t="shared" si="42"/>
        <v>18572.601744186046</v>
      </c>
      <c r="U112" s="89">
        <f t="shared" si="56"/>
        <v>0.92433087384259249</v>
      </c>
      <c r="V112" s="89">
        <f t="shared" si="57"/>
        <v>0.99199887305866752</v>
      </c>
      <c r="W112" s="89">
        <f t="shared" si="58"/>
        <v>0.9998371689101172</v>
      </c>
      <c r="X112" s="90">
        <f t="shared" si="59"/>
        <v>0.91678587962962954</v>
      </c>
      <c r="Y112" s="106"/>
      <c r="Z112" s="120">
        <v>3</v>
      </c>
      <c r="AA112" s="117"/>
      <c r="AB112" s="117"/>
      <c r="AC112" s="117"/>
      <c r="AD112" s="118"/>
      <c r="AE112" s="110">
        <f t="shared" si="51"/>
        <v>37.9609375</v>
      </c>
      <c r="AF112" s="111">
        <f t="shared" si="60"/>
        <v>40.782291666666666</v>
      </c>
      <c r="AG112" s="111">
        <f t="shared" si="61"/>
        <v>20.990885416666668</v>
      </c>
      <c r="AH112" s="111">
        <f t="shared" si="62"/>
        <v>22.190364583333334</v>
      </c>
      <c r="AI112" s="111">
        <v>10</v>
      </c>
      <c r="AJ112" s="112">
        <v>5</v>
      </c>
      <c r="AK112" s="113">
        <v>10</v>
      </c>
      <c r="AL112" s="114">
        <f>SUMIFS(Table1[Column1],Table1[Date],'OEE AHV'!#REF!,Table1[M/C],'OEE AHV'!#REF!,Table1[Case downtime],'OEE AHV'!AL$2)</f>
        <v>0</v>
      </c>
      <c r="AM112" s="114">
        <f>SUMIFS(Table1[Column1],Table1[Date],'OEE AHV'!#REF!,Table1[M/C],'OEE AHV'!#REF!,Table1[Case downtime],'OEE AHV'!AM$2)</f>
        <v>0</v>
      </c>
      <c r="AN112" s="114">
        <f>SUMIFS(Table1[Column1],Table1[Date],'OEE AHV'!#REF!,Table1[M/C],'OEE AHV'!#REF!,Table1[Case downtime],'OEE AHV'!AN$2)</f>
        <v>0</v>
      </c>
      <c r="AO112" s="114">
        <f>SUMIFS(Table1[Column1],Table1[Date],'OEE AHV'!#REF!,Table1[M/C],'OEE AHV'!#REF!,Table1[Case downtime],'OEE AHV'!AO$2)</f>
        <v>0</v>
      </c>
      <c r="AP112" s="114">
        <f>SUMIFS(Table1[Column1],Table1[Date],'OEE AHV'!#REF!,Table1[M/C],'OEE AHV'!#REF!,Table1[Case downtime],'OEE AHV'!AP$2)</f>
        <v>0</v>
      </c>
      <c r="AQ112" s="114">
        <f>SUMIFS(Table1[Column1],Table1[Date],'OEE AHV'!#REF!,Table1[M/C],'OEE AHV'!#REF!,Table1[Case downtime],'OEE AHV'!AQ$2)</f>
        <v>0</v>
      </c>
      <c r="AR112" s="114">
        <f>SUMIFS(Table1[Column1],Table1[Date],'OEE AHV'!#REF!,Table1[M/C],'OEE AHV'!#REF!,Table1[Case downtime],'OEE AHV'!AR$2)</f>
        <v>0</v>
      </c>
      <c r="AS112" s="114">
        <f>SUMIFS(Table1[Column1],Table1[Date],'OEE AHV'!#REF!,Table1[M/C],'OEE AHV'!#REF!,Table1[Case downtime],'OEE AHV'!AS$2)</f>
        <v>0</v>
      </c>
      <c r="AT112" s="114">
        <f>SUMIFS(Table1[Column1],Table1[Date],'OEE AHV'!#REF!,Table1[M/C],'OEE AHV'!#REF!,Table1[Case downtime],'OEE AHV'!AT$2)</f>
        <v>0</v>
      </c>
      <c r="AU112" s="114">
        <f>SUMIFS(Table1[Column1],Table1[Date],'OEE AHV'!#REF!,Table1[M/C],'OEE AHV'!#REF!,Table1[Case downtime],'OEE AHV'!AU$2)</f>
        <v>0</v>
      </c>
      <c r="AV112" s="114">
        <f>SUMIFS(Table1[Column1],Table1[Date],'OEE AHV'!#REF!,Table1[M/C],'OEE AHV'!#REF!,Table1[Case downtime],'OEE AHV'!AV$2)</f>
        <v>0</v>
      </c>
      <c r="AW112" s="114">
        <f>SUMIFS(Table1[Column1],Table1[Date],'OEE AHV'!#REF!,Table1[M/C],'OEE AHV'!#REF!,Table1[Case downtime],'OEE AHV'!AW$2)</f>
        <v>0</v>
      </c>
      <c r="AX112" s="183">
        <f>SUMIFS(Table1[Column1],Table1[Date],'OEE AHV'!#REF!,Table1[M/C],'OEE AHV'!#REF!,Table1[Case downtime],'OEE AHV'!AX$2)</f>
        <v>0</v>
      </c>
    </row>
    <row r="113" spans="2:50" s="115" customFormat="1" ht="30" hidden="1" customHeight="1">
      <c r="B113" s="91">
        <v>46070</v>
      </c>
      <c r="C113" s="92" t="s">
        <v>136</v>
      </c>
      <c r="D113" s="92" t="s">
        <v>124</v>
      </c>
      <c r="E113" s="98">
        <v>4.3</v>
      </c>
      <c r="F113" s="81">
        <v>24</v>
      </c>
      <c r="G113" s="95">
        <f t="shared" si="55"/>
        <v>1440</v>
      </c>
      <c r="H113" s="82">
        <v>0</v>
      </c>
      <c r="I113" s="82">
        <f t="shared" si="48"/>
        <v>1440</v>
      </c>
      <c r="J113" s="82">
        <f t="shared" si="49"/>
        <v>111.21940104166667</v>
      </c>
      <c r="K113" s="83">
        <f t="shared" si="50"/>
        <v>0</v>
      </c>
      <c r="L113" s="82">
        <f t="shared" si="37"/>
        <v>111.21940104166667</v>
      </c>
      <c r="M113" s="84">
        <f t="shared" si="38"/>
        <v>1328.7805989583333</v>
      </c>
      <c r="N113" s="99">
        <v>9208</v>
      </c>
      <c r="O113" s="100"/>
      <c r="P113" s="101">
        <v>9711</v>
      </c>
      <c r="Q113" s="135">
        <f t="shared" si="39"/>
        <v>18919</v>
      </c>
      <c r="R113" s="83">
        <f t="shared" si="40"/>
        <v>6</v>
      </c>
      <c r="S113" s="87">
        <f t="shared" si="41"/>
        <v>18913</v>
      </c>
      <c r="T113" s="88">
        <f t="shared" si="42"/>
        <v>18541.124636627908</v>
      </c>
      <c r="U113" s="89">
        <f t="shared" si="56"/>
        <v>0.92276430483217586</v>
      </c>
      <c r="V113" s="89">
        <f t="shared" si="57"/>
        <v>1.0203803906601006</v>
      </c>
      <c r="W113" s="89">
        <f t="shared" si="58"/>
        <v>0.99968285850203498</v>
      </c>
      <c r="X113" s="90">
        <f t="shared" si="59"/>
        <v>0.94127199074074053</v>
      </c>
      <c r="Y113" s="106"/>
      <c r="Z113" s="120">
        <v>6</v>
      </c>
      <c r="AA113" s="117"/>
      <c r="AB113" s="117"/>
      <c r="AC113" s="117"/>
      <c r="AD113" s="118"/>
      <c r="AE113" s="110">
        <f t="shared" si="51"/>
        <v>37.9609375</v>
      </c>
      <c r="AF113" s="111">
        <f t="shared" si="60"/>
        <v>41.877994791666666</v>
      </c>
      <c r="AG113" s="111">
        <f t="shared" si="61"/>
        <v>21.554850260416668</v>
      </c>
      <c r="AH113" s="111">
        <f t="shared" si="62"/>
        <v>22.786555989583334</v>
      </c>
      <c r="AI113" s="111">
        <v>10</v>
      </c>
      <c r="AJ113" s="112">
        <v>5</v>
      </c>
      <c r="AK113" s="113">
        <v>10</v>
      </c>
      <c r="AL113" s="114">
        <f>SUMIFS(Table1[Column1],Table1[Date],'OEE AHV'!#REF!,Table1[M/C],'OEE AHV'!#REF!,Table1[Case downtime],'OEE AHV'!AL$2)</f>
        <v>0</v>
      </c>
      <c r="AM113" s="114">
        <f>SUMIFS(Table1[Column1],Table1[Date],'OEE AHV'!#REF!,Table1[M/C],'OEE AHV'!#REF!,Table1[Case downtime],'OEE AHV'!AM$2)</f>
        <v>0</v>
      </c>
      <c r="AN113" s="114">
        <f>SUMIFS(Table1[Column1],Table1[Date],'OEE AHV'!#REF!,Table1[M/C],'OEE AHV'!#REF!,Table1[Case downtime],'OEE AHV'!AN$2)</f>
        <v>0</v>
      </c>
      <c r="AO113" s="114">
        <f>SUMIFS(Table1[Column1],Table1[Date],'OEE AHV'!#REF!,Table1[M/C],'OEE AHV'!#REF!,Table1[Case downtime],'OEE AHV'!AO$2)</f>
        <v>0</v>
      </c>
      <c r="AP113" s="114">
        <f>SUMIFS(Table1[Column1],Table1[Date],'OEE AHV'!#REF!,Table1[M/C],'OEE AHV'!#REF!,Table1[Case downtime],'OEE AHV'!AP$2)</f>
        <v>0</v>
      </c>
      <c r="AQ113" s="114">
        <f>SUMIFS(Table1[Column1],Table1[Date],'OEE AHV'!#REF!,Table1[M/C],'OEE AHV'!#REF!,Table1[Case downtime],'OEE AHV'!AQ$2)</f>
        <v>0</v>
      </c>
      <c r="AR113" s="114">
        <f>SUMIFS(Table1[Column1],Table1[Date],'OEE AHV'!#REF!,Table1[M/C],'OEE AHV'!#REF!,Table1[Case downtime],'OEE AHV'!AR$2)</f>
        <v>0</v>
      </c>
      <c r="AS113" s="114">
        <f>SUMIFS(Table1[Column1],Table1[Date],'OEE AHV'!#REF!,Table1[M/C],'OEE AHV'!#REF!,Table1[Case downtime],'OEE AHV'!AS$2)</f>
        <v>0</v>
      </c>
      <c r="AT113" s="114">
        <f>SUMIFS(Table1[Column1],Table1[Date],'OEE AHV'!#REF!,Table1[M/C],'OEE AHV'!#REF!,Table1[Case downtime],'OEE AHV'!AT$2)</f>
        <v>0</v>
      </c>
      <c r="AU113" s="114">
        <f>SUMIFS(Table1[Column1],Table1[Date],'OEE AHV'!#REF!,Table1[M/C],'OEE AHV'!#REF!,Table1[Case downtime],'OEE AHV'!AU$2)</f>
        <v>0</v>
      </c>
      <c r="AV113" s="114">
        <f>SUMIFS(Table1[Column1],Table1[Date],'OEE AHV'!#REF!,Table1[M/C],'OEE AHV'!#REF!,Table1[Case downtime],'OEE AHV'!AV$2)</f>
        <v>0</v>
      </c>
      <c r="AW113" s="114">
        <f>SUMIFS(Table1[Column1],Table1[Date],'OEE AHV'!#REF!,Table1[M/C],'OEE AHV'!#REF!,Table1[Case downtime],'OEE AHV'!AW$2)</f>
        <v>0</v>
      </c>
      <c r="AX113" s="183">
        <f>SUMIFS(Table1[Column1],Table1[Date],'OEE AHV'!#REF!,Table1[M/C],'OEE AHV'!#REF!,Table1[Case downtime],'OEE AHV'!AX$2)</f>
        <v>0</v>
      </c>
    </row>
    <row r="114" spans="2:50" s="115" customFormat="1" ht="30" hidden="1" customHeight="1">
      <c r="B114" s="91">
        <v>46071</v>
      </c>
      <c r="C114" s="92" t="s">
        <v>136</v>
      </c>
      <c r="D114" s="92" t="s">
        <v>124</v>
      </c>
      <c r="E114" s="98">
        <v>4.3</v>
      </c>
      <c r="F114" s="81">
        <v>24</v>
      </c>
      <c r="G114" s="95">
        <f t="shared" ref="G114:G142" si="63">F114*60</f>
        <v>1440</v>
      </c>
      <c r="H114" s="82">
        <v>0</v>
      </c>
      <c r="I114" s="82">
        <f t="shared" si="48"/>
        <v>1440</v>
      </c>
      <c r="J114" s="82">
        <f t="shared" si="49"/>
        <v>113.63020833333333</v>
      </c>
      <c r="K114" s="83">
        <f t="shared" si="50"/>
        <v>0</v>
      </c>
      <c r="L114" s="82">
        <f t="shared" si="37"/>
        <v>113.63020833333333</v>
      </c>
      <c r="M114" s="84">
        <f t="shared" si="38"/>
        <v>1326.3697916666667</v>
      </c>
      <c r="N114" s="99">
        <v>9724</v>
      </c>
      <c r="O114" s="100"/>
      <c r="P114" s="101">
        <v>9724</v>
      </c>
      <c r="Q114" s="135">
        <f t="shared" si="39"/>
        <v>19448</v>
      </c>
      <c r="R114" s="83">
        <f t="shared" si="40"/>
        <v>0</v>
      </c>
      <c r="S114" s="87">
        <f t="shared" si="41"/>
        <v>19448</v>
      </c>
      <c r="T114" s="88">
        <f t="shared" si="42"/>
        <v>18507.485465116279</v>
      </c>
      <c r="U114" s="89">
        <f t="shared" si="56"/>
        <v>0.92109013310185195</v>
      </c>
      <c r="V114" s="89">
        <f t="shared" si="57"/>
        <v>1.0508180615165925</v>
      </c>
      <c r="W114" s="89">
        <f t="shared" si="58"/>
        <v>1</v>
      </c>
      <c r="X114" s="90">
        <f t="shared" si="59"/>
        <v>0.96789814814814823</v>
      </c>
      <c r="Y114" s="106"/>
      <c r="Z114" s="120">
        <v>0</v>
      </c>
      <c r="AA114" s="117"/>
      <c r="AB114" s="117"/>
      <c r="AC114" s="117"/>
      <c r="AD114" s="118"/>
      <c r="AE114" s="110">
        <f t="shared" si="51"/>
        <v>37.9609375</v>
      </c>
      <c r="AF114" s="111">
        <f t="shared" si="60"/>
        <v>43.048958333333331</v>
      </c>
      <c r="AG114" s="111">
        <f t="shared" si="61"/>
        <v>22.157552083333332</v>
      </c>
      <c r="AH114" s="111">
        <f t="shared" si="62"/>
        <v>23.423697916666665</v>
      </c>
      <c r="AI114" s="111">
        <v>10</v>
      </c>
      <c r="AJ114" s="112">
        <v>5</v>
      </c>
      <c r="AK114" s="113">
        <v>10</v>
      </c>
      <c r="AL114" s="114">
        <f>SUMIFS(Table1[Column1],Table1[Date],'OEE AHV'!#REF!,Table1[M/C],'OEE AHV'!#REF!,Table1[Case downtime],'OEE AHV'!AL$2)</f>
        <v>0</v>
      </c>
      <c r="AM114" s="114">
        <f>SUMIFS(Table1[Column1],Table1[Date],'OEE AHV'!#REF!,Table1[M/C],'OEE AHV'!#REF!,Table1[Case downtime],'OEE AHV'!AM$2)</f>
        <v>0</v>
      </c>
      <c r="AN114" s="114">
        <f>SUMIFS(Table1[Column1],Table1[Date],'OEE AHV'!#REF!,Table1[M/C],'OEE AHV'!#REF!,Table1[Case downtime],'OEE AHV'!AN$2)</f>
        <v>0</v>
      </c>
      <c r="AO114" s="114">
        <f>SUMIFS(Table1[Column1],Table1[Date],'OEE AHV'!#REF!,Table1[M/C],'OEE AHV'!#REF!,Table1[Case downtime],'OEE AHV'!AO$2)</f>
        <v>0</v>
      </c>
      <c r="AP114" s="114">
        <f>SUMIFS(Table1[Column1],Table1[Date],'OEE AHV'!#REF!,Table1[M/C],'OEE AHV'!#REF!,Table1[Case downtime],'OEE AHV'!AP$2)</f>
        <v>0</v>
      </c>
      <c r="AQ114" s="114">
        <f>SUMIFS(Table1[Column1],Table1[Date],'OEE AHV'!#REF!,Table1[M/C],'OEE AHV'!#REF!,Table1[Case downtime],'OEE AHV'!AQ$2)</f>
        <v>0</v>
      </c>
      <c r="AR114" s="114">
        <f>SUMIFS(Table1[Column1],Table1[Date],'OEE AHV'!#REF!,Table1[M/C],'OEE AHV'!#REF!,Table1[Case downtime],'OEE AHV'!AR$2)</f>
        <v>0</v>
      </c>
      <c r="AS114" s="114">
        <f>SUMIFS(Table1[Column1],Table1[Date],'OEE AHV'!#REF!,Table1[M/C],'OEE AHV'!#REF!,Table1[Case downtime],'OEE AHV'!AS$2)</f>
        <v>0</v>
      </c>
      <c r="AT114" s="114">
        <f>SUMIFS(Table1[Column1],Table1[Date],'OEE AHV'!#REF!,Table1[M/C],'OEE AHV'!#REF!,Table1[Case downtime],'OEE AHV'!AT$2)</f>
        <v>0</v>
      </c>
      <c r="AU114" s="114">
        <f>SUMIFS(Table1[Column1],Table1[Date],'OEE AHV'!#REF!,Table1[M/C],'OEE AHV'!#REF!,Table1[Case downtime],'OEE AHV'!AU$2)</f>
        <v>0</v>
      </c>
      <c r="AV114" s="114">
        <f>SUMIFS(Table1[Column1],Table1[Date],'OEE AHV'!#REF!,Table1[M/C],'OEE AHV'!#REF!,Table1[Case downtime],'OEE AHV'!AV$2)</f>
        <v>0</v>
      </c>
      <c r="AW114" s="114">
        <f>SUMIFS(Table1[Column1],Table1[Date],'OEE AHV'!#REF!,Table1[M/C],'OEE AHV'!#REF!,Table1[Case downtime],'OEE AHV'!AW$2)</f>
        <v>0</v>
      </c>
      <c r="AX114" s="183">
        <f>SUMIFS(Table1[Column1],Table1[Date],'OEE AHV'!#REF!,Table1[M/C],'OEE AHV'!#REF!,Table1[Case downtime],'OEE AHV'!AX$2)</f>
        <v>0</v>
      </c>
    </row>
    <row r="115" spans="2:50" s="115" customFormat="1" ht="30" hidden="1" customHeight="1">
      <c r="B115" s="91">
        <v>46072</v>
      </c>
      <c r="C115" s="92" t="s">
        <v>136</v>
      </c>
      <c r="D115" s="92" t="s">
        <v>124</v>
      </c>
      <c r="E115" s="98">
        <v>4.3</v>
      </c>
      <c r="F115" s="81">
        <v>24</v>
      </c>
      <c r="G115" s="95">
        <f t="shared" si="63"/>
        <v>1440</v>
      </c>
      <c r="H115" s="82">
        <v>0</v>
      </c>
      <c r="I115" s="82">
        <f t="shared" si="48"/>
        <v>1440</v>
      </c>
      <c r="J115" s="82">
        <f t="shared" si="49"/>
        <v>113.59830729166667</v>
      </c>
      <c r="K115" s="83">
        <f t="shared" si="50"/>
        <v>0</v>
      </c>
      <c r="L115" s="82">
        <f t="shared" si="37"/>
        <v>113.59830729166667</v>
      </c>
      <c r="M115" s="84">
        <f t="shared" si="38"/>
        <v>1326.4016927083333</v>
      </c>
      <c r="N115" s="99">
        <v>9719</v>
      </c>
      <c r="O115" s="100"/>
      <c r="P115" s="101">
        <v>9722</v>
      </c>
      <c r="Q115" s="135">
        <f t="shared" si="39"/>
        <v>19441</v>
      </c>
      <c r="R115" s="83">
        <f t="shared" si="40"/>
        <v>11</v>
      </c>
      <c r="S115" s="87">
        <f t="shared" si="41"/>
        <v>19430</v>
      </c>
      <c r="T115" s="88">
        <f t="shared" si="42"/>
        <v>18507.930595930233</v>
      </c>
      <c r="U115" s="89">
        <f t="shared" si="43"/>
        <v>0.92111228660300926</v>
      </c>
      <c r="V115" s="89">
        <f t="shared" si="44"/>
        <v>1.050414572241531</v>
      </c>
      <c r="W115" s="89">
        <f t="shared" si="45"/>
        <v>0.99943418548428575</v>
      </c>
      <c r="X115" s="90">
        <f t="shared" si="46"/>
        <v>0.9670023148148148</v>
      </c>
      <c r="Y115" s="106"/>
      <c r="Z115" s="120">
        <v>11</v>
      </c>
      <c r="AA115" s="117"/>
      <c r="AB115" s="117"/>
      <c r="AC115" s="117"/>
      <c r="AD115" s="118"/>
      <c r="AE115" s="110">
        <f t="shared" si="51"/>
        <v>37.9609375</v>
      </c>
      <c r="AF115" s="111">
        <f t="shared" si="60"/>
        <v>43.03346354166667</v>
      </c>
      <c r="AG115" s="111">
        <f t="shared" si="61"/>
        <v>22.149576822916668</v>
      </c>
      <c r="AH115" s="111">
        <f t="shared" si="62"/>
        <v>23.415266927083334</v>
      </c>
      <c r="AI115" s="111">
        <v>10</v>
      </c>
      <c r="AJ115" s="112">
        <v>5</v>
      </c>
      <c r="AK115" s="113">
        <v>10</v>
      </c>
      <c r="AL115" s="114">
        <f>SUMIFS(Table1[Column1],Table1[Date],'OEE AHV'!#REF!,Table1[M/C],'OEE AHV'!#REF!,Table1[Case downtime],'OEE AHV'!AL$2)</f>
        <v>0</v>
      </c>
      <c r="AM115" s="114">
        <f>SUMIFS(Table1[Column1],Table1[Date],'OEE AHV'!#REF!,Table1[M/C],'OEE AHV'!#REF!,Table1[Case downtime],'OEE AHV'!AM$2)</f>
        <v>0</v>
      </c>
      <c r="AN115" s="114">
        <f>SUMIFS(Table1[Column1],Table1[Date],'OEE AHV'!#REF!,Table1[M/C],'OEE AHV'!#REF!,Table1[Case downtime],'OEE AHV'!AN$2)</f>
        <v>0</v>
      </c>
      <c r="AO115" s="114">
        <f>SUMIFS(Table1[Column1],Table1[Date],'OEE AHV'!#REF!,Table1[M/C],'OEE AHV'!#REF!,Table1[Case downtime],'OEE AHV'!AO$2)</f>
        <v>0</v>
      </c>
      <c r="AP115" s="114">
        <f>SUMIFS(Table1[Column1],Table1[Date],'OEE AHV'!#REF!,Table1[M/C],'OEE AHV'!#REF!,Table1[Case downtime],'OEE AHV'!AP$2)</f>
        <v>0</v>
      </c>
      <c r="AQ115" s="114">
        <f>SUMIFS(Table1[Column1],Table1[Date],'OEE AHV'!#REF!,Table1[M/C],'OEE AHV'!#REF!,Table1[Case downtime],'OEE AHV'!AQ$2)</f>
        <v>0</v>
      </c>
      <c r="AR115" s="114">
        <f>SUMIFS(Table1[Column1],Table1[Date],'OEE AHV'!#REF!,Table1[M/C],'OEE AHV'!#REF!,Table1[Case downtime],'OEE AHV'!AR$2)</f>
        <v>0</v>
      </c>
      <c r="AS115" s="114">
        <f>SUMIFS(Table1[Column1],Table1[Date],'OEE AHV'!#REF!,Table1[M/C],'OEE AHV'!#REF!,Table1[Case downtime],'OEE AHV'!AS$2)</f>
        <v>0</v>
      </c>
      <c r="AT115" s="114">
        <f>SUMIFS(Table1[Column1],Table1[Date],'OEE AHV'!#REF!,Table1[M/C],'OEE AHV'!#REF!,Table1[Case downtime],'OEE AHV'!AT$2)</f>
        <v>0</v>
      </c>
      <c r="AU115" s="114">
        <f>SUMIFS(Table1[Column1],Table1[Date],'OEE AHV'!#REF!,Table1[M/C],'OEE AHV'!#REF!,Table1[Case downtime],'OEE AHV'!AU$2)</f>
        <v>0</v>
      </c>
      <c r="AV115" s="114">
        <f>SUMIFS(Table1[Column1],Table1[Date],'OEE AHV'!#REF!,Table1[M/C],'OEE AHV'!#REF!,Table1[Case downtime],'OEE AHV'!AV$2)</f>
        <v>0</v>
      </c>
      <c r="AW115" s="114">
        <f>SUMIFS(Table1[Column1],Table1[Date],'OEE AHV'!#REF!,Table1[M/C],'OEE AHV'!#REF!,Table1[Case downtime],'OEE AHV'!AW$2)</f>
        <v>0</v>
      </c>
      <c r="AX115" s="183">
        <f>SUMIFS(Table1[Column1],Table1[Date],'OEE AHV'!#REF!,Table1[M/C],'OEE AHV'!#REF!,Table1[Case downtime],'OEE AHV'!AX$2)</f>
        <v>0</v>
      </c>
    </row>
    <row r="116" spans="2:50" s="115" customFormat="1" ht="30" hidden="1" customHeight="1">
      <c r="B116" s="91">
        <v>46073</v>
      </c>
      <c r="C116" s="92" t="s">
        <v>136</v>
      </c>
      <c r="D116" s="92" t="s">
        <v>124</v>
      </c>
      <c r="E116" s="98">
        <v>4.3</v>
      </c>
      <c r="F116" s="81">
        <v>24</v>
      </c>
      <c r="G116" s="95">
        <f t="shared" si="63"/>
        <v>1440</v>
      </c>
      <c r="H116" s="82">
        <v>0</v>
      </c>
      <c r="I116" s="82">
        <f t="shared" si="48"/>
        <v>1440</v>
      </c>
      <c r="J116" s="82">
        <f t="shared" si="49"/>
        <v>115.93619791666667</v>
      </c>
      <c r="K116" s="83">
        <f t="shared" si="50"/>
        <v>0</v>
      </c>
      <c r="L116" s="82">
        <f t="shared" si="37"/>
        <v>115.93619791666667</v>
      </c>
      <c r="M116" s="84">
        <f t="shared" si="38"/>
        <v>1324.0638020833333</v>
      </c>
      <c r="N116" s="99">
        <v>10228</v>
      </c>
      <c r="O116" s="100"/>
      <c r="P116" s="101">
        <v>9726</v>
      </c>
      <c r="Q116" s="137">
        <f t="shared" si="39"/>
        <v>19954</v>
      </c>
      <c r="R116" s="83">
        <f t="shared" si="40"/>
        <v>3</v>
      </c>
      <c r="S116" s="87">
        <f t="shared" si="41"/>
        <v>19951</v>
      </c>
      <c r="T116" s="88">
        <f t="shared" si="42"/>
        <v>18475.308866279069</v>
      </c>
      <c r="U116" s="89">
        <f t="shared" si="43"/>
        <v>0.91948875144675923</v>
      </c>
      <c r="V116" s="89">
        <f t="shared" si="44"/>
        <v>1.0800360710840304</v>
      </c>
      <c r="W116" s="89">
        <f t="shared" si="45"/>
        <v>0.99984965420467076</v>
      </c>
      <c r="X116" s="90">
        <f t="shared" si="46"/>
        <v>0.9929317129629629</v>
      </c>
      <c r="Y116" s="106"/>
      <c r="Z116" s="120">
        <v>3</v>
      </c>
      <c r="AA116" s="117"/>
      <c r="AB116" s="117"/>
      <c r="AC116" s="117"/>
      <c r="AD116" s="118"/>
      <c r="AE116" s="110">
        <f t="shared" si="51"/>
        <v>37.9609375</v>
      </c>
      <c r="AF116" s="111">
        <f t="shared" si="60"/>
        <v>44.169010416666666</v>
      </c>
      <c r="AG116" s="111">
        <f t="shared" si="61"/>
        <v>22.734049479166668</v>
      </c>
      <c r="AH116" s="111">
        <f t="shared" si="62"/>
        <v>24.033138020833334</v>
      </c>
      <c r="AI116" s="111">
        <v>10</v>
      </c>
      <c r="AJ116" s="112">
        <v>5</v>
      </c>
      <c r="AK116" s="113">
        <v>10</v>
      </c>
      <c r="AL116" s="114">
        <f>SUMIFS(Table1[Column1],Table1[Date],'OEE AHV'!#REF!,Table1[M/C],'OEE AHV'!#REF!,Table1[Case downtime],'OEE AHV'!AL$2)</f>
        <v>0</v>
      </c>
      <c r="AM116" s="114">
        <f>SUMIFS(Table1[Column1],Table1[Date],'OEE AHV'!#REF!,Table1[M/C],'OEE AHV'!#REF!,Table1[Case downtime],'OEE AHV'!AM$2)</f>
        <v>0</v>
      </c>
      <c r="AN116" s="114">
        <f>SUMIFS(Table1[Column1],Table1[Date],'OEE AHV'!#REF!,Table1[M/C],'OEE AHV'!#REF!,Table1[Case downtime],'OEE AHV'!AN$2)</f>
        <v>0</v>
      </c>
      <c r="AO116" s="114">
        <f>SUMIFS(Table1[Column1],Table1[Date],'OEE AHV'!#REF!,Table1[M/C],'OEE AHV'!#REF!,Table1[Case downtime],'OEE AHV'!AO$2)</f>
        <v>0</v>
      </c>
      <c r="AP116" s="114">
        <f>SUMIFS(Table1[Column1],Table1[Date],'OEE AHV'!#REF!,Table1[M/C],'OEE AHV'!#REF!,Table1[Case downtime],'OEE AHV'!AP$2)</f>
        <v>0</v>
      </c>
      <c r="AQ116" s="114">
        <f>SUMIFS(Table1[Column1],Table1[Date],'OEE AHV'!#REF!,Table1[M/C],'OEE AHV'!#REF!,Table1[Case downtime],'OEE AHV'!AQ$2)</f>
        <v>0</v>
      </c>
      <c r="AR116" s="114">
        <f>SUMIFS(Table1[Column1],Table1[Date],'OEE AHV'!#REF!,Table1[M/C],'OEE AHV'!#REF!,Table1[Case downtime],'OEE AHV'!AR$2)</f>
        <v>0</v>
      </c>
      <c r="AS116" s="114">
        <f>SUMIFS(Table1[Column1],Table1[Date],'OEE AHV'!#REF!,Table1[M/C],'OEE AHV'!#REF!,Table1[Case downtime],'OEE AHV'!AS$2)</f>
        <v>0</v>
      </c>
      <c r="AT116" s="114">
        <f>SUMIFS(Table1[Column1],Table1[Date],'OEE AHV'!#REF!,Table1[M/C],'OEE AHV'!#REF!,Table1[Case downtime],'OEE AHV'!AT$2)</f>
        <v>0</v>
      </c>
      <c r="AU116" s="114">
        <f>SUMIFS(Table1[Column1],Table1[Date],'OEE AHV'!#REF!,Table1[M/C],'OEE AHV'!#REF!,Table1[Case downtime],'OEE AHV'!AU$2)</f>
        <v>0</v>
      </c>
      <c r="AV116" s="114">
        <f>SUMIFS(Table1[Column1],Table1[Date],'OEE AHV'!#REF!,Table1[M/C],'OEE AHV'!#REF!,Table1[Case downtime],'OEE AHV'!AV$2)</f>
        <v>0</v>
      </c>
      <c r="AW116" s="114">
        <f>SUMIFS(Table1[Column1],Table1[Date],'OEE AHV'!#REF!,Table1[M/C],'OEE AHV'!#REF!,Table1[Case downtime],'OEE AHV'!AW$2)</f>
        <v>0</v>
      </c>
      <c r="AX116" s="183">
        <f>SUMIFS(Table1[Column1],Table1[Date],'OEE AHV'!#REF!,Table1[M/C],'OEE AHV'!#REF!,Table1[Case downtime],'OEE AHV'!AX$2)</f>
        <v>0</v>
      </c>
    </row>
    <row r="117" spans="2:50" s="115" customFormat="1" ht="30" hidden="1" customHeight="1">
      <c r="B117" s="91">
        <v>46074</v>
      </c>
      <c r="C117" s="92" t="s">
        <v>136</v>
      </c>
      <c r="D117" s="92" t="s">
        <v>124</v>
      </c>
      <c r="E117" s="98">
        <v>4.3</v>
      </c>
      <c r="F117" s="81">
        <v>24</v>
      </c>
      <c r="G117" s="95">
        <f t="shared" si="63"/>
        <v>1440</v>
      </c>
      <c r="H117" s="82">
        <v>0</v>
      </c>
      <c r="I117" s="82">
        <f t="shared" si="48"/>
        <v>1440</v>
      </c>
      <c r="J117" s="82">
        <f t="shared" si="49"/>
        <v>113.56184895833333</v>
      </c>
      <c r="K117" s="83">
        <f t="shared" si="50"/>
        <v>0</v>
      </c>
      <c r="L117" s="82">
        <f t="shared" si="37"/>
        <v>113.56184895833333</v>
      </c>
      <c r="M117" s="84">
        <f t="shared" si="38"/>
        <v>1326.4381510416667</v>
      </c>
      <c r="N117" s="99">
        <v>10231</v>
      </c>
      <c r="O117" s="100"/>
      <c r="P117" s="101">
        <v>9202</v>
      </c>
      <c r="Q117" s="135">
        <f t="shared" si="39"/>
        <v>19433</v>
      </c>
      <c r="R117" s="83">
        <f t="shared" si="40"/>
        <v>6</v>
      </c>
      <c r="S117" s="87">
        <f t="shared" si="41"/>
        <v>19427</v>
      </c>
      <c r="T117" s="88">
        <f t="shared" si="42"/>
        <v>18508.439316860466</v>
      </c>
      <c r="U117" s="89">
        <f t="shared" si="43"/>
        <v>0.92113760489004637</v>
      </c>
      <c r="V117" s="89">
        <f t="shared" si="44"/>
        <v>1.0499534654063076</v>
      </c>
      <c r="W117" s="89">
        <f t="shared" si="45"/>
        <v>0.99969124684814492</v>
      </c>
      <c r="X117" s="90">
        <f t="shared" si="46"/>
        <v>0.96685300925925932</v>
      </c>
      <c r="Y117" s="106"/>
      <c r="Z117" s="120">
        <v>6</v>
      </c>
      <c r="AA117" s="117"/>
      <c r="AB117" s="117"/>
      <c r="AC117" s="117"/>
      <c r="AD117" s="118"/>
      <c r="AE117" s="110">
        <f t="shared" si="51"/>
        <v>37.9609375</v>
      </c>
      <c r="AF117" s="111">
        <f t="shared" si="60"/>
        <v>43.015755208333331</v>
      </c>
      <c r="AG117" s="111">
        <f t="shared" si="61"/>
        <v>22.140462239583332</v>
      </c>
      <c r="AH117" s="111">
        <f t="shared" si="62"/>
        <v>23.405631510416665</v>
      </c>
      <c r="AI117" s="111">
        <v>10</v>
      </c>
      <c r="AJ117" s="112">
        <v>5</v>
      </c>
      <c r="AK117" s="113">
        <v>10</v>
      </c>
      <c r="AL117" s="114">
        <f>SUMIFS(Table1[Column1],Table1[Date],'OEE AHV'!#REF!,Table1[M/C],'OEE AHV'!#REF!,Table1[Case downtime],'OEE AHV'!AL$2)</f>
        <v>0</v>
      </c>
      <c r="AM117" s="114">
        <f>SUMIFS(Table1[Column1],Table1[Date],'OEE AHV'!#REF!,Table1[M/C],'OEE AHV'!#REF!,Table1[Case downtime],'OEE AHV'!AM$2)</f>
        <v>0</v>
      </c>
      <c r="AN117" s="114">
        <f>SUMIFS(Table1[Column1],Table1[Date],'OEE AHV'!#REF!,Table1[M/C],'OEE AHV'!#REF!,Table1[Case downtime],'OEE AHV'!AN$2)</f>
        <v>0</v>
      </c>
      <c r="AO117" s="114">
        <f>SUMIFS(Table1[Column1],Table1[Date],'OEE AHV'!#REF!,Table1[M/C],'OEE AHV'!#REF!,Table1[Case downtime],'OEE AHV'!AO$2)</f>
        <v>0</v>
      </c>
      <c r="AP117" s="114">
        <f>SUMIFS(Table1[Column1],Table1[Date],'OEE AHV'!#REF!,Table1[M/C],'OEE AHV'!#REF!,Table1[Case downtime],'OEE AHV'!AP$2)</f>
        <v>0</v>
      </c>
      <c r="AQ117" s="114">
        <f>SUMIFS(Table1[Column1],Table1[Date],'OEE AHV'!#REF!,Table1[M/C],'OEE AHV'!#REF!,Table1[Case downtime],'OEE AHV'!AQ$2)</f>
        <v>0</v>
      </c>
      <c r="AR117" s="114">
        <f>SUMIFS(Table1[Column1],Table1[Date],'OEE AHV'!#REF!,Table1[M/C],'OEE AHV'!#REF!,Table1[Case downtime],'OEE AHV'!AR$2)</f>
        <v>0</v>
      </c>
      <c r="AS117" s="114">
        <f>SUMIFS(Table1[Column1],Table1[Date],'OEE AHV'!#REF!,Table1[M/C],'OEE AHV'!#REF!,Table1[Case downtime],'OEE AHV'!AS$2)</f>
        <v>0</v>
      </c>
      <c r="AT117" s="114">
        <f>SUMIFS(Table1[Column1],Table1[Date],'OEE AHV'!#REF!,Table1[M/C],'OEE AHV'!#REF!,Table1[Case downtime],'OEE AHV'!AT$2)</f>
        <v>0</v>
      </c>
      <c r="AU117" s="114">
        <f>SUMIFS(Table1[Column1],Table1[Date],'OEE AHV'!#REF!,Table1[M/C],'OEE AHV'!#REF!,Table1[Case downtime],'OEE AHV'!AU$2)</f>
        <v>0</v>
      </c>
      <c r="AV117" s="114">
        <f>SUMIFS(Table1[Column1],Table1[Date],'OEE AHV'!#REF!,Table1[M/C],'OEE AHV'!#REF!,Table1[Case downtime],'OEE AHV'!AV$2)</f>
        <v>0</v>
      </c>
      <c r="AW117" s="114">
        <f>SUMIFS(Table1[Column1],Table1[Date],'OEE AHV'!#REF!,Table1[M/C],'OEE AHV'!#REF!,Table1[Case downtime],'OEE AHV'!AW$2)</f>
        <v>0</v>
      </c>
      <c r="AX117" s="183">
        <f>SUMIFS(Table1[Column1],Table1[Date],'OEE AHV'!#REF!,Table1[M/C],'OEE AHV'!#REF!,Table1[Case downtime],'OEE AHV'!AX$2)</f>
        <v>0</v>
      </c>
    </row>
    <row r="118" spans="2:50" s="115" customFormat="1" ht="30" hidden="1" customHeight="1">
      <c r="B118" s="91">
        <v>46076</v>
      </c>
      <c r="C118" s="92" t="s">
        <v>136</v>
      </c>
      <c r="D118" s="92" t="s">
        <v>124</v>
      </c>
      <c r="E118" s="98">
        <v>4.3</v>
      </c>
      <c r="F118" s="81">
        <v>24</v>
      </c>
      <c r="G118" s="95">
        <f t="shared" si="63"/>
        <v>1440</v>
      </c>
      <c r="H118" s="82">
        <v>0</v>
      </c>
      <c r="I118" s="82">
        <f t="shared" si="48"/>
        <v>1440</v>
      </c>
      <c r="J118" s="82">
        <f t="shared" si="49"/>
        <v>111.24674479166666</v>
      </c>
      <c r="K118" s="83">
        <f t="shared" si="50"/>
        <v>0</v>
      </c>
      <c r="L118" s="82">
        <f t="shared" si="37"/>
        <v>111.24674479166666</v>
      </c>
      <c r="M118" s="84">
        <f t="shared" si="38"/>
        <v>1328.7532552083333</v>
      </c>
      <c r="N118" s="99">
        <v>9207</v>
      </c>
      <c r="O118" s="100"/>
      <c r="P118" s="101">
        <v>9718</v>
      </c>
      <c r="Q118" s="138">
        <f t="shared" si="39"/>
        <v>18925</v>
      </c>
      <c r="R118" s="83">
        <f t="shared" si="40"/>
        <v>12</v>
      </c>
      <c r="S118" s="87">
        <f t="shared" si="41"/>
        <v>18913</v>
      </c>
      <c r="T118" s="88">
        <f t="shared" si="42"/>
        <v>18540.743095930233</v>
      </c>
      <c r="U118" s="89">
        <f t="shared" si="43"/>
        <v>0.92274531611689814</v>
      </c>
      <c r="V118" s="89">
        <f t="shared" si="44"/>
        <v>1.0207250001837367</v>
      </c>
      <c r="W118" s="89">
        <f t="shared" si="45"/>
        <v>0.99936591809775432</v>
      </c>
      <c r="X118" s="90">
        <f t="shared" si="46"/>
        <v>0.94127199074074086</v>
      </c>
      <c r="Y118" s="106"/>
      <c r="Z118" s="120">
        <v>12</v>
      </c>
      <c r="AA118" s="117"/>
      <c r="AB118" s="117"/>
      <c r="AC118" s="117"/>
      <c r="AD118" s="118"/>
      <c r="AE118" s="110">
        <f t="shared" si="51"/>
        <v>37.9609375</v>
      </c>
      <c r="AF118" s="111">
        <f t="shared" si="60"/>
        <v>41.891276041666664</v>
      </c>
      <c r="AG118" s="111">
        <f t="shared" si="61"/>
        <v>21.561686197916668</v>
      </c>
      <c r="AH118" s="111">
        <f t="shared" si="62"/>
        <v>22.793782552083332</v>
      </c>
      <c r="AI118" s="111">
        <v>10</v>
      </c>
      <c r="AJ118" s="112">
        <v>5</v>
      </c>
      <c r="AK118" s="113">
        <v>10</v>
      </c>
      <c r="AL118" s="114">
        <f>SUMIFS(Table1[Column1],Table1[Date],'OEE AHV'!#REF!,Table1[M/C],'OEE AHV'!#REF!,Table1[Case downtime],'OEE AHV'!AL$2)</f>
        <v>0</v>
      </c>
      <c r="AM118" s="114">
        <f>SUMIFS(Table1[Column1],Table1[Date],'OEE AHV'!#REF!,Table1[M/C],'OEE AHV'!#REF!,Table1[Case downtime],'OEE AHV'!AM$2)</f>
        <v>0</v>
      </c>
      <c r="AN118" s="114">
        <f>SUMIFS(Table1[Column1],Table1[Date],'OEE AHV'!#REF!,Table1[M/C],'OEE AHV'!#REF!,Table1[Case downtime],'OEE AHV'!AN$2)</f>
        <v>0</v>
      </c>
      <c r="AO118" s="114">
        <f>SUMIFS(Table1[Column1],Table1[Date],'OEE AHV'!#REF!,Table1[M/C],'OEE AHV'!#REF!,Table1[Case downtime],'OEE AHV'!AO$2)</f>
        <v>0</v>
      </c>
      <c r="AP118" s="114">
        <f>SUMIFS(Table1[Column1],Table1[Date],'OEE AHV'!#REF!,Table1[M/C],'OEE AHV'!#REF!,Table1[Case downtime],'OEE AHV'!AP$2)</f>
        <v>0</v>
      </c>
      <c r="AQ118" s="114">
        <f>SUMIFS(Table1[Column1],Table1[Date],'OEE AHV'!#REF!,Table1[M/C],'OEE AHV'!#REF!,Table1[Case downtime],'OEE AHV'!AQ$2)</f>
        <v>0</v>
      </c>
      <c r="AR118" s="114">
        <f>SUMIFS(Table1[Column1],Table1[Date],'OEE AHV'!#REF!,Table1[M/C],'OEE AHV'!#REF!,Table1[Case downtime],'OEE AHV'!AR$2)</f>
        <v>0</v>
      </c>
      <c r="AS118" s="114">
        <f>SUMIFS(Table1[Column1],Table1[Date],'OEE AHV'!#REF!,Table1[M/C],'OEE AHV'!#REF!,Table1[Case downtime],'OEE AHV'!AS$2)</f>
        <v>0</v>
      </c>
      <c r="AT118" s="114">
        <f>SUMIFS(Table1[Column1],Table1[Date],'OEE AHV'!#REF!,Table1[M/C],'OEE AHV'!#REF!,Table1[Case downtime],'OEE AHV'!AT$2)</f>
        <v>0</v>
      </c>
      <c r="AU118" s="114">
        <f>SUMIFS(Table1[Column1],Table1[Date],'OEE AHV'!#REF!,Table1[M/C],'OEE AHV'!#REF!,Table1[Case downtime],'OEE AHV'!AU$2)</f>
        <v>0</v>
      </c>
      <c r="AV118" s="114">
        <f>SUMIFS(Table1[Column1],Table1[Date],'OEE AHV'!#REF!,Table1[M/C],'OEE AHV'!#REF!,Table1[Case downtime],'OEE AHV'!AV$2)</f>
        <v>0</v>
      </c>
      <c r="AW118" s="114">
        <f>SUMIFS(Table1[Column1],Table1[Date],'OEE AHV'!#REF!,Table1[M/C],'OEE AHV'!#REF!,Table1[Case downtime],'OEE AHV'!AW$2)</f>
        <v>0</v>
      </c>
      <c r="AX118" s="183">
        <f>SUMIFS(Table1[Column1],Table1[Date],'OEE AHV'!#REF!,Table1[M/C],'OEE AHV'!#REF!,Table1[Case downtime],'OEE AHV'!AX$2)</f>
        <v>0</v>
      </c>
    </row>
    <row r="119" spans="2:50" s="115" customFormat="1" ht="30" hidden="1" customHeight="1">
      <c r="B119" s="91">
        <v>46077</v>
      </c>
      <c r="C119" s="92" t="s">
        <v>136</v>
      </c>
      <c r="D119" s="92" t="s">
        <v>124</v>
      </c>
      <c r="E119" s="98">
        <v>4.3</v>
      </c>
      <c r="F119" s="81">
        <v>24</v>
      </c>
      <c r="G119" s="95">
        <f t="shared" si="63"/>
        <v>1440</v>
      </c>
      <c r="H119" s="82">
        <v>0</v>
      </c>
      <c r="I119" s="82">
        <f t="shared" si="48"/>
        <v>1440</v>
      </c>
      <c r="J119" s="82">
        <f t="shared" si="49"/>
        <v>101.93619791666667</v>
      </c>
      <c r="K119" s="83">
        <f t="shared" si="50"/>
        <v>0</v>
      </c>
      <c r="L119" s="82">
        <f t="shared" si="37"/>
        <v>101.93619791666667</v>
      </c>
      <c r="M119" s="84">
        <f t="shared" si="38"/>
        <v>1338.0638020833333</v>
      </c>
      <c r="N119" s="99">
        <v>8694</v>
      </c>
      <c r="O119" s="100"/>
      <c r="P119" s="101">
        <v>8188</v>
      </c>
      <c r="Q119" s="135">
        <f>SUM(N119:P119)</f>
        <v>16882</v>
      </c>
      <c r="R119" s="105">
        <f>SUM(Z119:AD119)</f>
        <v>3</v>
      </c>
      <c r="S119" s="87">
        <f t="shared" ref="S119:S143" si="64">+Q119-R119</f>
        <v>16879</v>
      </c>
      <c r="T119" s="88">
        <f t="shared" si="42"/>
        <v>18670.657703488374</v>
      </c>
      <c r="U119" s="89">
        <f t="shared" ref="U119:U142" si="65">IFERROR(M119/I119," ")</f>
        <v>0.92921097366898142</v>
      </c>
      <c r="V119" s="89">
        <f t="shared" ref="V119:V142" si="66">IFERROR(Q119/T119," ")</f>
        <v>0.90419953426953004</v>
      </c>
      <c r="W119" s="89">
        <f t="shared" ref="W119:W142" si="67">IFERROR(S119/Q119," ")</f>
        <v>0.9998222959365004</v>
      </c>
      <c r="X119" s="90">
        <f t="shared" ref="X119:X142" si="68">IFERROR(U119*V119*W119," ")</f>
        <v>0.84004282407407393</v>
      </c>
      <c r="Y119" s="106"/>
      <c r="Z119" s="120">
        <v>3</v>
      </c>
      <c r="AA119" s="117"/>
      <c r="AB119" s="117"/>
      <c r="AC119" s="117"/>
      <c r="AD119" s="118"/>
      <c r="AE119" s="110">
        <f t="shared" si="51"/>
        <v>37.9609375</v>
      </c>
      <c r="AF119" s="111">
        <f t="shared" si="60"/>
        <v>37.369010416666669</v>
      </c>
      <c r="AG119" s="111">
        <f t="shared" si="61"/>
        <v>19.234049479166668</v>
      </c>
      <c r="AH119" s="111">
        <f t="shared" si="62"/>
        <v>20.333138020833335</v>
      </c>
      <c r="AI119" s="111">
        <v>10</v>
      </c>
      <c r="AJ119" s="112">
        <v>5</v>
      </c>
      <c r="AK119" s="113">
        <v>10</v>
      </c>
      <c r="AL119" s="114">
        <f>SUMIFS(Table1[Column1],Table1[Date],'OEE AHV'!#REF!,Table1[M/C],'OEE AHV'!#REF!,Table1[Case downtime],'OEE AHV'!AL$2)</f>
        <v>0</v>
      </c>
      <c r="AM119" s="114">
        <f>SUMIFS(Table1[Column1],Table1[Date],'OEE AHV'!#REF!,Table1[M/C],'OEE AHV'!#REF!,Table1[Case downtime],'OEE AHV'!AM$2)</f>
        <v>0</v>
      </c>
      <c r="AN119" s="114">
        <f>SUMIFS(Table1[Column1],Table1[Date],'OEE AHV'!#REF!,Table1[M/C],'OEE AHV'!#REF!,Table1[Case downtime],'OEE AHV'!AN$2)</f>
        <v>0</v>
      </c>
      <c r="AO119" s="114">
        <f>SUMIFS(Table1[Column1],Table1[Date],'OEE AHV'!#REF!,Table1[M/C],'OEE AHV'!#REF!,Table1[Case downtime],'OEE AHV'!AO$2)</f>
        <v>0</v>
      </c>
      <c r="AP119" s="114">
        <f>SUMIFS(Table1[Column1],Table1[Date],'OEE AHV'!#REF!,Table1[M/C],'OEE AHV'!#REF!,Table1[Case downtime],'OEE AHV'!AP$2)</f>
        <v>0</v>
      </c>
      <c r="AQ119" s="114">
        <f>SUMIFS(Table1[Column1],Table1[Date],'OEE AHV'!#REF!,Table1[M/C],'OEE AHV'!#REF!,Table1[Case downtime],'OEE AHV'!AQ$2)</f>
        <v>0</v>
      </c>
      <c r="AR119" s="114">
        <f>SUMIFS(Table1[Column1],Table1[Date],'OEE AHV'!#REF!,Table1[M/C],'OEE AHV'!#REF!,Table1[Case downtime],'OEE AHV'!AR$2)</f>
        <v>0</v>
      </c>
      <c r="AS119" s="114">
        <f>SUMIFS(Table1[Column1],Table1[Date],'OEE AHV'!#REF!,Table1[M/C],'OEE AHV'!#REF!,Table1[Case downtime],'OEE AHV'!AS$2)</f>
        <v>0</v>
      </c>
      <c r="AT119" s="114">
        <f>SUMIFS(Table1[Column1],Table1[Date],'OEE AHV'!#REF!,Table1[M/C],'OEE AHV'!#REF!,Table1[Case downtime],'OEE AHV'!AT$2)</f>
        <v>0</v>
      </c>
      <c r="AU119" s="114">
        <f>SUMIFS(Table1[Column1],Table1[Date],'OEE AHV'!#REF!,Table1[M/C],'OEE AHV'!#REF!,Table1[Case downtime],'OEE AHV'!AU$2)</f>
        <v>0</v>
      </c>
      <c r="AV119" s="114">
        <f>SUMIFS(Table1[Column1],Table1[Date],'OEE AHV'!#REF!,Table1[M/C],'OEE AHV'!#REF!,Table1[Case downtime],'OEE AHV'!AV$2)</f>
        <v>0</v>
      </c>
      <c r="AW119" s="114">
        <f>SUMIFS(Table1[Column1],Table1[Date],'OEE AHV'!#REF!,Table1[M/C],'OEE AHV'!#REF!,Table1[Case downtime],'OEE AHV'!AW$2)</f>
        <v>0</v>
      </c>
      <c r="AX119" s="183">
        <f>SUMIFS(Table1[Column1],Table1[Date],'OEE AHV'!#REF!,Table1[M/C],'OEE AHV'!#REF!,Table1[Case downtime],'OEE AHV'!AX$2)</f>
        <v>0</v>
      </c>
    </row>
    <row r="120" spans="2:50" s="115" customFormat="1" ht="30" hidden="1" customHeight="1">
      <c r="B120" s="91">
        <v>46078</v>
      </c>
      <c r="C120" s="92" t="s">
        <v>136</v>
      </c>
      <c r="D120" s="92" t="s">
        <v>124</v>
      </c>
      <c r="E120" s="98">
        <v>4.3</v>
      </c>
      <c r="F120" s="81">
        <v>24</v>
      </c>
      <c r="G120" s="95">
        <f t="shared" si="63"/>
        <v>1440</v>
      </c>
      <c r="H120" s="82">
        <v>0</v>
      </c>
      <c r="I120" s="82">
        <f t="shared" si="48"/>
        <v>1440</v>
      </c>
      <c r="J120" s="82">
        <f t="shared" si="49"/>
        <v>113.61197916666667</v>
      </c>
      <c r="K120" s="83">
        <f t="shared" si="50"/>
        <v>0</v>
      </c>
      <c r="L120" s="82">
        <f t="shared" si="37"/>
        <v>113.61197916666667</v>
      </c>
      <c r="M120" s="84">
        <f t="shared" si="38"/>
        <v>1326.3880208333333</v>
      </c>
      <c r="N120" s="99">
        <v>9720</v>
      </c>
      <c r="O120" s="100"/>
      <c r="P120" s="101">
        <v>9724</v>
      </c>
      <c r="Q120" s="135">
        <f t="shared" ref="Q120:Q124" si="69">SUM(N120:P120)</f>
        <v>19444</v>
      </c>
      <c r="R120" s="105">
        <f t="shared" ref="R120:R124" si="70">SUM(Z120:AD120)</f>
        <v>1</v>
      </c>
      <c r="S120" s="87">
        <f t="shared" si="64"/>
        <v>19443</v>
      </c>
      <c r="T120" s="88">
        <f t="shared" si="42"/>
        <v>18507.739825581397</v>
      </c>
      <c r="U120" s="89">
        <f t="shared" si="65"/>
        <v>0.92110279224537028</v>
      </c>
      <c r="V120" s="89">
        <f t="shared" si="66"/>
        <v>1.0505874938399828</v>
      </c>
      <c r="W120" s="89">
        <f t="shared" si="67"/>
        <v>0.99994857025303441</v>
      </c>
      <c r="X120" s="90">
        <f t="shared" si="68"/>
        <v>0.96764930555555551</v>
      </c>
      <c r="Y120" s="106"/>
      <c r="Z120" s="120">
        <v>1</v>
      </c>
      <c r="AA120" s="117"/>
      <c r="AB120" s="117"/>
      <c r="AC120" s="117"/>
      <c r="AD120" s="118"/>
      <c r="AE120" s="110">
        <f t="shared" si="51"/>
        <v>37.9609375</v>
      </c>
      <c r="AF120" s="111">
        <f t="shared" si="60"/>
        <v>43.040104166666666</v>
      </c>
      <c r="AG120" s="111">
        <f t="shared" si="61"/>
        <v>22.152994791666668</v>
      </c>
      <c r="AH120" s="111">
        <f t="shared" si="62"/>
        <v>23.418880208333334</v>
      </c>
      <c r="AI120" s="111">
        <v>10</v>
      </c>
      <c r="AJ120" s="112">
        <v>5</v>
      </c>
      <c r="AK120" s="113">
        <v>10</v>
      </c>
      <c r="AL120" s="114">
        <f>SUMIFS(Table1[Column1],Table1[Date],'OEE AHV'!#REF!,Table1[M/C],'OEE AHV'!#REF!,Table1[Case downtime],'OEE AHV'!AL$2)</f>
        <v>0</v>
      </c>
      <c r="AM120" s="114">
        <f>SUMIFS(Table1[Column1],Table1[Date],'OEE AHV'!#REF!,Table1[M/C],'OEE AHV'!#REF!,Table1[Case downtime],'OEE AHV'!AM$2)</f>
        <v>0</v>
      </c>
      <c r="AN120" s="114">
        <f>SUMIFS(Table1[Column1],Table1[Date],'OEE AHV'!#REF!,Table1[M/C],'OEE AHV'!#REF!,Table1[Case downtime],'OEE AHV'!AN$2)</f>
        <v>0</v>
      </c>
      <c r="AO120" s="114">
        <f>SUMIFS(Table1[Column1],Table1[Date],'OEE AHV'!#REF!,Table1[M/C],'OEE AHV'!#REF!,Table1[Case downtime],'OEE AHV'!AO$2)</f>
        <v>0</v>
      </c>
      <c r="AP120" s="114">
        <f>SUMIFS(Table1[Column1],Table1[Date],'OEE AHV'!#REF!,Table1[M/C],'OEE AHV'!#REF!,Table1[Case downtime],'OEE AHV'!AP$2)</f>
        <v>0</v>
      </c>
      <c r="AQ120" s="114">
        <f>SUMIFS(Table1[Column1],Table1[Date],'OEE AHV'!#REF!,Table1[M/C],'OEE AHV'!#REF!,Table1[Case downtime],'OEE AHV'!AQ$2)</f>
        <v>0</v>
      </c>
      <c r="AR120" s="114">
        <f>SUMIFS(Table1[Column1],Table1[Date],'OEE AHV'!#REF!,Table1[M/C],'OEE AHV'!#REF!,Table1[Case downtime],'OEE AHV'!AR$2)</f>
        <v>0</v>
      </c>
      <c r="AS120" s="114">
        <f>SUMIFS(Table1[Column1],Table1[Date],'OEE AHV'!#REF!,Table1[M/C],'OEE AHV'!#REF!,Table1[Case downtime],'OEE AHV'!AS$2)</f>
        <v>0</v>
      </c>
      <c r="AT120" s="114">
        <f>SUMIFS(Table1[Column1],Table1[Date],'OEE AHV'!#REF!,Table1[M/C],'OEE AHV'!#REF!,Table1[Case downtime],'OEE AHV'!AT$2)</f>
        <v>0</v>
      </c>
      <c r="AU120" s="114">
        <f>SUMIFS(Table1[Column1],Table1[Date],'OEE AHV'!#REF!,Table1[M/C],'OEE AHV'!#REF!,Table1[Case downtime],'OEE AHV'!AU$2)</f>
        <v>0</v>
      </c>
      <c r="AV120" s="114">
        <f>SUMIFS(Table1[Column1],Table1[Date],'OEE AHV'!#REF!,Table1[M/C],'OEE AHV'!#REF!,Table1[Case downtime],'OEE AHV'!AV$2)</f>
        <v>0</v>
      </c>
      <c r="AW120" s="114">
        <f>SUMIFS(Table1[Column1],Table1[Date],'OEE AHV'!#REF!,Table1[M/C],'OEE AHV'!#REF!,Table1[Case downtime],'OEE AHV'!AW$2)</f>
        <v>0</v>
      </c>
      <c r="AX120" s="183">
        <f>SUMIFS(Table1[Column1],Table1[Date],'OEE AHV'!#REF!,Table1[M/C],'OEE AHV'!#REF!,Table1[Case downtime],'OEE AHV'!AX$2)</f>
        <v>0</v>
      </c>
    </row>
    <row r="121" spans="2:50" s="115" customFormat="1" ht="30" hidden="1" customHeight="1">
      <c r="B121" s="91">
        <v>46079</v>
      </c>
      <c r="C121" s="92" t="s">
        <v>136</v>
      </c>
      <c r="D121" s="92" t="s">
        <v>124</v>
      </c>
      <c r="E121" s="98">
        <v>4.3</v>
      </c>
      <c r="F121" s="81">
        <v>24</v>
      </c>
      <c r="G121" s="95">
        <f t="shared" si="63"/>
        <v>1440</v>
      </c>
      <c r="H121" s="82">
        <v>0</v>
      </c>
      <c r="I121" s="82">
        <f t="shared" si="48"/>
        <v>1440</v>
      </c>
      <c r="J121" s="82">
        <f t="shared" si="49"/>
        <v>97.26953125</v>
      </c>
      <c r="K121" s="83">
        <f t="shared" si="50"/>
        <v>0</v>
      </c>
      <c r="L121" s="82">
        <f t="shared" si="37"/>
        <v>97.26953125</v>
      </c>
      <c r="M121" s="84">
        <f t="shared" si="38"/>
        <v>1342.73046875</v>
      </c>
      <c r="N121" s="99">
        <v>7670</v>
      </c>
      <c r="O121" s="100"/>
      <c r="P121" s="101">
        <v>8188</v>
      </c>
      <c r="Q121" s="135">
        <f t="shared" si="69"/>
        <v>15858</v>
      </c>
      <c r="R121" s="105">
        <f t="shared" si="70"/>
        <v>7</v>
      </c>
      <c r="S121" s="87">
        <f t="shared" si="64"/>
        <v>15851</v>
      </c>
      <c r="T121" s="88">
        <f t="shared" si="42"/>
        <v>18735.773982558141</v>
      </c>
      <c r="U121" s="89">
        <f t="shared" si="65"/>
        <v>0.93245171440972219</v>
      </c>
      <c r="V121" s="89">
        <f t="shared" si="66"/>
        <v>0.8464021830516758</v>
      </c>
      <c r="W121" s="89">
        <f t="shared" si="67"/>
        <v>0.99955858241896833</v>
      </c>
      <c r="X121" s="90">
        <f t="shared" si="68"/>
        <v>0.78888078703703701</v>
      </c>
      <c r="Y121" s="106"/>
      <c r="Z121" s="120">
        <v>7</v>
      </c>
      <c r="AA121" s="117"/>
      <c r="AB121" s="117"/>
      <c r="AC121" s="117"/>
      <c r="AD121" s="118"/>
      <c r="AE121" s="110">
        <f t="shared" si="51"/>
        <v>37.9609375</v>
      </c>
      <c r="AF121" s="111">
        <f t="shared" si="60"/>
        <v>35.102343750000003</v>
      </c>
      <c r="AG121" s="111">
        <f t="shared" si="61"/>
        <v>18.0673828125</v>
      </c>
      <c r="AH121" s="111">
        <f t="shared" si="62"/>
        <v>19.099804687500001</v>
      </c>
      <c r="AI121" s="111">
        <v>10</v>
      </c>
      <c r="AJ121" s="112">
        <v>5</v>
      </c>
      <c r="AK121" s="113">
        <v>10</v>
      </c>
      <c r="AL121" s="114">
        <f>SUMIFS(Table1[Column1],Table1[Date],'OEE AHV'!#REF!,Table1[M/C],'OEE AHV'!#REF!,Table1[Case downtime],'OEE AHV'!AL$2)</f>
        <v>0</v>
      </c>
      <c r="AM121" s="114">
        <f>SUMIFS(Table1[Column1],Table1[Date],'OEE AHV'!#REF!,Table1[M/C],'OEE AHV'!#REF!,Table1[Case downtime],'OEE AHV'!AM$2)</f>
        <v>0</v>
      </c>
      <c r="AN121" s="114">
        <f>SUMIFS(Table1[Column1],Table1[Date],'OEE AHV'!#REF!,Table1[M/C],'OEE AHV'!#REF!,Table1[Case downtime],'OEE AHV'!AN$2)</f>
        <v>0</v>
      </c>
      <c r="AO121" s="114">
        <f>SUMIFS(Table1[Column1],Table1[Date],'OEE AHV'!#REF!,Table1[M/C],'OEE AHV'!#REF!,Table1[Case downtime],'OEE AHV'!AO$2)</f>
        <v>0</v>
      </c>
      <c r="AP121" s="114">
        <f>SUMIFS(Table1[Column1],Table1[Date],'OEE AHV'!#REF!,Table1[M/C],'OEE AHV'!#REF!,Table1[Case downtime],'OEE AHV'!AP$2)</f>
        <v>0</v>
      </c>
      <c r="AQ121" s="114">
        <f>SUMIFS(Table1[Column1],Table1[Date],'OEE AHV'!#REF!,Table1[M/C],'OEE AHV'!#REF!,Table1[Case downtime],'OEE AHV'!AQ$2)</f>
        <v>0</v>
      </c>
      <c r="AR121" s="114">
        <f>SUMIFS(Table1[Column1],Table1[Date],'OEE AHV'!#REF!,Table1[M/C],'OEE AHV'!#REF!,Table1[Case downtime],'OEE AHV'!AR$2)</f>
        <v>0</v>
      </c>
      <c r="AS121" s="114">
        <f>SUMIFS(Table1[Column1],Table1[Date],'OEE AHV'!#REF!,Table1[M/C],'OEE AHV'!#REF!,Table1[Case downtime],'OEE AHV'!AS$2)</f>
        <v>0</v>
      </c>
      <c r="AT121" s="114">
        <f>SUMIFS(Table1[Column1],Table1[Date],'OEE AHV'!#REF!,Table1[M/C],'OEE AHV'!#REF!,Table1[Case downtime],'OEE AHV'!AT$2)</f>
        <v>0</v>
      </c>
      <c r="AU121" s="114">
        <f>SUMIFS(Table1[Column1],Table1[Date],'OEE AHV'!#REF!,Table1[M/C],'OEE AHV'!#REF!,Table1[Case downtime],'OEE AHV'!AU$2)</f>
        <v>0</v>
      </c>
      <c r="AV121" s="114">
        <f>SUMIFS(Table1[Column1],Table1[Date],'OEE AHV'!#REF!,Table1[M/C],'OEE AHV'!#REF!,Table1[Case downtime],'OEE AHV'!AV$2)</f>
        <v>0</v>
      </c>
      <c r="AW121" s="114">
        <f>SUMIFS(Table1[Column1],Table1[Date],'OEE AHV'!#REF!,Table1[M/C],'OEE AHV'!#REF!,Table1[Case downtime],'OEE AHV'!AW$2)</f>
        <v>0</v>
      </c>
      <c r="AX121" s="183">
        <f>SUMIFS(Table1[Column1],Table1[Date],'OEE AHV'!#REF!,Table1[M/C],'OEE AHV'!#REF!,Table1[Case downtime],'OEE AHV'!AX$2)</f>
        <v>0</v>
      </c>
    </row>
    <row r="122" spans="2:50" s="115" customFormat="1" ht="30" hidden="1" customHeight="1">
      <c r="B122" s="91">
        <v>46080</v>
      </c>
      <c r="C122" s="92" t="s">
        <v>136</v>
      </c>
      <c r="D122" s="92" t="s">
        <v>124</v>
      </c>
      <c r="E122" s="98">
        <v>4.3</v>
      </c>
      <c r="F122" s="81">
        <v>24</v>
      </c>
      <c r="G122" s="95">
        <f t="shared" si="63"/>
        <v>1440</v>
      </c>
      <c r="H122" s="82">
        <v>0</v>
      </c>
      <c r="I122" s="82">
        <f t="shared" si="48"/>
        <v>1440</v>
      </c>
      <c r="J122" s="82">
        <f t="shared" si="49"/>
        <v>106.57096354166667</v>
      </c>
      <c r="K122" s="83">
        <f t="shared" si="50"/>
        <v>0</v>
      </c>
      <c r="L122" s="82">
        <f t="shared" si="37"/>
        <v>106.57096354166667</v>
      </c>
      <c r="M122" s="84">
        <f t="shared" si="38"/>
        <v>1333.4290364583333</v>
      </c>
      <c r="N122" s="99">
        <v>9713</v>
      </c>
      <c r="O122" s="100"/>
      <c r="P122" s="101">
        <v>8186</v>
      </c>
      <c r="Q122" s="135">
        <f t="shared" si="69"/>
        <v>17899</v>
      </c>
      <c r="R122" s="105">
        <f t="shared" si="70"/>
        <v>2</v>
      </c>
      <c r="S122" s="87">
        <f t="shared" si="64"/>
        <v>17897</v>
      </c>
      <c r="T122" s="88">
        <f t="shared" si="42"/>
        <v>18605.986555232557</v>
      </c>
      <c r="U122" s="89">
        <f t="shared" si="65"/>
        <v>0.92599238642939807</v>
      </c>
      <c r="V122" s="89">
        <f t="shared" si="66"/>
        <v>0.96200220003739967</v>
      </c>
      <c r="W122" s="89">
        <f t="shared" si="67"/>
        <v>0.99988826191407343</v>
      </c>
      <c r="X122" s="90">
        <f t="shared" si="68"/>
        <v>0.89070717592592585</v>
      </c>
      <c r="Y122" s="106"/>
      <c r="Z122" s="120">
        <v>2</v>
      </c>
      <c r="AA122" s="117"/>
      <c r="AB122" s="117"/>
      <c r="AC122" s="117"/>
      <c r="AD122" s="118"/>
      <c r="AE122" s="110">
        <f t="shared" si="51"/>
        <v>37.9609375</v>
      </c>
      <c r="AF122" s="111">
        <f t="shared" si="60"/>
        <v>39.620182291666666</v>
      </c>
      <c r="AG122" s="111">
        <f t="shared" si="61"/>
        <v>20.392740885416668</v>
      </c>
      <c r="AH122" s="111">
        <f t="shared" si="62"/>
        <v>21.558040364583334</v>
      </c>
      <c r="AI122" s="111">
        <v>10</v>
      </c>
      <c r="AJ122" s="112">
        <v>5</v>
      </c>
      <c r="AK122" s="113">
        <v>10</v>
      </c>
      <c r="AL122" s="114">
        <f>SUMIFS(Table1[Column1],Table1[Date],'OEE AHV'!#REF!,Table1[M/C],'OEE AHV'!#REF!,Table1[Case downtime],'OEE AHV'!AL$2)</f>
        <v>0</v>
      </c>
      <c r="AM122" s="114">
        <f>SUMIFS(Table1[Column1],Table1[Date],'OEE AHV'!#REF!,Table1[M/C],'OEE AHV'!#REF!,Table1[Case downtime],'OEE AHV'!AM$2)</f>
        <v>0</v>
      </c>
      <c r="AN122" s="114">
        <f>SUMIFS(Table1[Column1],Table1[Date],'OEE AHV'!#REF!,Table1[M/C],'OEE AHV'!#REF!,Table1[Case downtime],'OEE AHV'!AN$2)</f>
        <v>0</v>
      </c>
      <c r="AO122" s="114">
        <f>SUMIFS(Table1[Column1],Table1[Date],'OEE AHV'!#REF!,Table1[M/C],'OEE AHV'!#REF!,Table1[Case downtime],'OEE AHV'!AO$2)</f>
        <v>0</v>
      </c>
      <c r="AP122" s="114">
        <f>SUMIFS(Table1[Column1],Table1[Date],'OEE AHV'!#REF!,Table1[M/C],'OEE AHV'!#REF!,Table1[Case downtime],'OEE AHV'!AP$2)</f>
        <v>0</v>
      </c>
      <c r="AQ122" s="114">
        <f>SUMIFS(Table1[Column1],Table1[Date],'OEE AHV'!#REF!,Table1[M/C],'OEE AHV'!#REF!,Table1[Case downtime],'OEE AHV'!AQ$2)</f>
        <v>0</v>
      </c>
      <c r="AR122" s="114">
        <f>SUMIFS(Table1[Column1],Table1[Date],'OEE AHV'!#REF!,Table1[M/C],'OEE AHV'!#REF!,Table1[Case downtime],'OEE AHV'!AR$2)</f>
        <v>0</v>
      </c>
      <c r="AS122" s="114">
        <f>SUMIFS(Table1[Column1],Table1[Date],'OEE AHV'!#REF!,Table1[M/C],'OEE AHV'!#REF!,Table1[Case downtime],'OEE AHV'!AS$2)</f>
        <v>0</v>
      </c>
      <c r="AT122" s="114">
        <f>SUMIFS(Table1[Column1],Table1[Date],'OEE AHV'!#REF!,Table1[M/C],'OEE AHV'!#REF!,Table1[Case downtime],'OEE AHV'!AT$2)</f>
        <v>0</v>
      </c>
      <c r="AU122" s="114">
        <f>SUMIFS(Table1[Column1],Table1[Date],'OEE AHV'!#REF!,Table1[M/C],'OEE AHV'!#REF!,Table1[Case downtime],'OEE AHV'!AU$2)</f>
        <v>0</v>
      </c>
      <c r="AV122" s="114">
        <f>SUMIFS(Table1[Column1],Table1[Date],'OEE AHV'!#REF!,Table1[M/C],'OEE AHV'!#REF!,Table1[Case downtime],'OEE AHV'!AV$2)</f>
        <v>0</v>
      </c>
      <c r="AW122" s="114">
        <f>SUMIFS(Table1[Column1],Table1[Date],'OEE AHV'!#REF!,Table1[M/C],'OEE AHV'!#REF!,Table1[Case downtime],'OEE AHV'!AW$2)</f>
        <v>0</v>
      </c>
      <c r="AX122" s="183">
        <f>SUMIFS(Table1[Column1],Table1[Date],'OEE AHV'!#REF!,Table1[M/C],'OEE AHV'!#REF!,Table1[Case downtime],'OEE AHV'!AX$2)</f>
        <v>0</v>
      </c>
    </row>
    <row r="123" spans="2:50" s="115" customFormat="1" ht="30" hidden="1" customHeight="1">
      <c r="B123" s="91">
        <v>46055</v>
      </c>
      <c r="C123" s="92" t="s">
        <v>136</v>
      </c>
      <c r="D123" s="92" t="s">
        <v>132</v>
      </c>
      <c r="E123" s="98">
        <v>4.3</v>
      </c>
      <c r="F123" s="81">
        <v>24</v>
      </c>
      <c r="G123" s="95">
        <f t="shared" si="63"/>
        <v>1440</v>
      </c>
      <c r="H123" s="82">
        <v>0</v>
      </c>
      <c r="I123" s="82">
        <f t="shared" si="48"/>
        <v>1440</v>
      </c>
      <c r="J123" s="82">
        <f t="shared" si="49"/>
        <v>73.954427083333343</v>
      </c>
      <c r="K123" s="83">
        <f t="shared" si="50"/>
        <v>0</v>
      </c>
      <c r="L123" s="82">
        <f t="shared" si="37"/>
        <v>73.954427083333343</v>
      </c>
      <c r="M123" s="84">
        <f t="shared" si="38"/>
        <v>1366.0455729166667</v>
      </c>
      <c r="N123" s="99">
        <v>7674</v>
      </c>
      <c r="O123" s="100"/>
      <c r="P123" s="101">
        <v>3068</v>
      </c>
      <c r="Q123" s="135">
        <f t="shared" si="69"/>
        <v>10742</v>
      </c>
      <c r="R123" s="105">
        <f t="shared" si="70"/>
        <v>1</v>
      </c>
      <c r="S123" s="87">
        <f t="shared" si="64"/>
        <v>10741</v>
      </c>
      <c r="T123" s="88">
        <f t="shared" si="42"/>
        <v>19061.101017441862</v>
      </c>
      <c r="U123" s="89">
        <f t="shared" si="65"/>
        <v>0.94864275896990746</v>
      </c>
      <c r="V123" s="89">
        <f t="shared" si="66"/>
        <v>0.56355611305824005</v>
      </c>
      <c r="W123" s="89">
        <f t="shared" si="67"/>
        <v>0.99990690746602118</v>
      </c>
      <c r="X123" s="90">
        <f t="shared" si="68"/>
        <v>0.53456365740740741</v>
      </c>
      <c r="Y123" s="106"/>
      <c r="Z123" s="120">
        <v>1</v>
      </c>
      <c r="AA123" s="117"/>
      <c r="AB123" s="117"/>
      <c r="AC123" s="117"/>
      <c r="AD123" s="118"/>
      <c r="AE123" s="110">
        <f t="shared" si="51"/>
        <v>37.9609375</v>
      </c>
      <c r="AF123" s="111">
        <f t="shared" si="60"/>
        <v>23.777864583333333</v>
      </c>
      <c r="AG123" s="111">
        <f t="shared" si="61"/>
        <v>12.238606770833334</v>
      </c>
      <c r="AH123" s="111">
        <f t="shared" si="62"/>
        <v>12.937955729166667</v>
      </c>
      <c r="AI123" s="111">
        <v>10</v>
      </c>
      <c r="AJ123" s="112">
        <v>5</v>
      </c>
      <c r="AK123" s="113">
        <v>10</v>
      </c>
      <c r="AL123" s="114">
        <f>SUMIFS(Table1[Column1],Table1[Date],'OEE AHV'!#REF!,Table1[M/C],'OEE AHV'!#REF!,Table1[Case downtime],'OEE AHV'!AL$2)</f>
        <v>0</v>
      </c>
      <c r="AM123" s="114">
        <f>SUMIFS(Table1[Column1],Table1[Date],'OEE AHV'!#REF!,Table1[M/C],'OEE AHV'!#REF!,Table1[Case downtime],'OEE AHV'!AM$2)</f>
        <v>0</v>
      </c>
      <c r="AN123" s="114">
        <f>SUMIFS(Table1[Column1],Table1[Date],'OEE AHV'!#REF!,Table1[M/C],'OEE AHV'!#REF!,Table1[Case downtime],'OEE AHV'!AN$2)</f>
        <v>0</v>
      </c>
      <c r="AO123" s="114">
        <f>SUMIFS(Table1[Column1],Table1[Date],'OEE AHV'!#REF!,Table1[M/C],'OEE AHV'!#REF!,Table1[Case downtime],'OEE AHV'!AO$2)</f>
        <v>0</v>
      </c>
      <c r="AP123" s="114">
        <f>SUMIFS(Table1[Column1],Table1[Date],'OEE AHV'!#REF!,Table1[M/C],'OEE AHV'!#REF!,Table1[Case downtime],'OEE AHV'!AP$2)</f>
        <v>0</v>
      </c>
      <c r="AQ123" s="114">
        <f>SUMIFS(Table1[Column1],Table1[Date],'OEE AHV'!#REF!,Table1[M/C],'OEE AHV'!#REF!,Table1[Case downtime],'OEE AHV'!AQ$2)</f>
        <v>0</v>
      </c>
      <c r="AR123" s="114">
        <f>SUMIFS(Table1[Column1],Table1[Date],'OEE AHV'!#REF!,Table1[M/C],'OEE AHV'!#REF!,Table1[Case downtime],'OEE AHV'!AR$2)</f>
        <v>0</v>
      </c>
      <c r="AS123" s="114">
        <f>SUMIFS(Table1[Column1],Table1[Date],'OEE AHV'!#REF!,Table1[M/C],'OEE AHV'!#REF!,Table1[Case downtime],'OEE AHV'!AS$2)</f>
        <v>0</v>
      </c>
      <c r="AT123" s="114">
        <f>SUMIFS(Table1[Column1],Table1[Date],'OEE AHV'!#REF!,Table1[M/C],'OEE AHV'!#REF!,Table1[Case downtime],'OEE AHV'!AT$2)</f>
        <v>0</v>
      </c>
      <c r="AU123" s="114">
        <f>SUMIFS(Table1[Column1],Table1[Date],'OEE AHV'!#REF!,Table1[M/C],'OEE AHV'!#REF!,Table1[Case downtime],'OEE AHV'!AU$2)</f>
        <v>0</v>
      </c>
      <c r="AV123" s="114">
        <f>SUMIFS(Table1[Column1],Table1[Date],'OEE AHV'!#REF!,Table1[M/C],'OEE AHV'!#REF!,Table1[Case downtime],'OEE AHV'!AV$2)</f>
        <v>0</v>
      </c>
      <c r="AW123" s="114">
        <f>SUMIFS(Table1[Column1],Table1[Date],'OEE AHV'!#REF!,Table1[M/C],'OEE AHV'!#REF!,Table1[Case downtime],'OEE AHV'!AW$2)</f>
        <v>0</v>
      </c>
      <c r="AX123" s="183">
        <f>SUMIFS(Table1[Column1],Table1[Date],'OEE AHV'!#REF!,Table1[M/C],'OEE AHV'!#REF!,Table1[Case downtime],'OEE AHV'!AX$2)</f>
        <v>0</v>
      </c>
    </row>
    <row r="124" spans="2:50" s="115" customFormat="1" ht="30" hidden="1" customHeight="1">
      <c r="B124" s="91">
        <v>46056</v>
      </c>
      <c r="C124" s="92" t="s">
        <v>136</v>
      </c>
      <c r="D124" s="92" t="s">
        <v>132</v>
      </c>
      <c r="E124" s="98">
        <v>4.3</v>
      </c>
      <c r="F124" s="81">
        <v>24</v>
      </c>
      <c r="G124" s="95">
        <f t="shared" si="63"/>
        <v>1440</v>
      </c>
      <c r="H124" s="82">
        <v>0</v>
      </c>
      <c r="I124" s="82">
        <f t="shared" si="48"/>
        <v>1440</v>
      </c>
      <c r="J124" s="82">
        <f t="shared" si="49"/>
        <v>80.881510416666657</v>
      </c>
      <c r="K124" s="83">
        <f t="shared" si="50"/>
        <v>0</v>
      </c>
      <c r="L124" s="82">
        <f t="shared" si="37"/>
        <v>80.881510416666657</v>
      </c>
      <c r="M124" s="84">
        <f t="shared" si="38"/>
        <v>1359.1184895833333</v>
      </c>
      <c r="N124" s="99">
        <v>6650</v>
      </c>
      <c r="O124" s="100"/>
      <c r="P124" s="101">
        <v>5612</v>
      </c>
      <c r="Q124" s="135">
        <f t="shared" si="69"/>
        <v>12262</v>
      </c>
      <c r="R124" s="105">
        <f t="shared" si="70"/>
        <v>1</v>
      </c>
      <c r="S124" s="87">
        <f t="shared" si="64"/>
        <v>12261</v>
      </c>
      <c r="T124" s="88">
        <f t="shared" si="42"/>
        <v>18964.444040697676</v>
      </c>
      <c r="U124" s="89">
        <f t="shared" si="65"/>
        <v>0.94383228443287037</v>
      </c>
      <c r="V124" s="89">
        <f t="shared" si="66"/>
        <v>0.64657840607854156</v>
      </c>
      <c r="W124" s="89">
        <f t="shared" si="67"/>
        <v>0.99991844723536127</v>
      </c>
      <c r="X124" s="90">
        <f t="shared" si="68"/>
        <v>0.61021180555555543</v>
      </c>
      <c r="Y124" s="106"/>
      <c r="Z124" s="120">
        <v>1</v>
      </c>
      <c r="AA124" s="117"/>
      <c r="AB124" s="117"/>
      <c r="AC124" s="117"/>
      <c r="AD124" s="118"/>
      <c r="AE124" s="110">
        <f t="shared" si="51"/>
        <v>37.9609375</v>
      </c>
      <c r="AF124" s="111">
        <f t="shared" si="60"/>
        <v>27.142447916666665</v>
      </c>
      <c r="AG124" s="111">
        <f t="shared" si="61"/>
        <v>13.970377604166666</v>
      </c>
      <c r="AH124" s="111">
        <f t="shared" si="62"/>
        <v>14.768684895833333</v>
      </c>
      <c r="AI124" s="111">
        <v>10</v>
      </c>
      <c r="AJ124" s="112">
        <v>5</v>
      </c>
      <c r="AK124" s="113">
        <v>10</v>
      </c>
      <c r="AL124" s="114">
        <f>SUMIFS(Table1[Column1],Table1[Date],'OEE AHV'!#REF!,Table1[M/C],'OEE AHV'!#REF!,Table1[Case downtime],'OEE AHV'!AL$2)</f>
        <v>0</v>
      </c>
      <c r="AM124" s="114">
        <f>SUMIFS(Table1[Column1],Table1[Date],'OEE AHV'!#REF!,Table1[M/C],'OEE AHV'!#REF!,Table1[Case downtime],'OEE AHV'!AM$2)</f>
        <v>0</v>
      </c>
      <c r="AN124" s="114">
        <f>SUMIFS(Table1[Column1],Table1[Date],'OEE AHV'!#REF!,Table1[M/C],'OEE AHV'!#REF!,Table1[Case downtime],'OEE AHV'!AN$2)</f>
        <v>0</v>
      </c>
      <c r="AO124" s="114">
        <f>SUMIFS(Table1[Column1],Table1[Date],'OEE AHV'!#REF!,Table1[M/C],'OEE AHV'!#REF!,Table1[Case downtime],'OEE AHV'!AO$2)</f>
        <v>0</v>
      </c>
      <c r="AP124" s="114">
        <f>SUMIFS(Table1[Column1],Table1[Date],'OEE AHV'!#REF!,Table1[M/C],'OEE AHV'!#REF!,Table1[Case downtime],'OEE AHV'!AP$2)</f>
        <v>0</v>
      </c>
      <c r="AQ124" s="114">
        <f>SUMIFS(Table1[Column1],Table1[Date],'OEE AHV'!#REF!,Table1[M/C],'OEE AHV'!#REF!,Table1[Case downtime],'OEE AHV'!AQ$2)</f>
        <v>0</v>
      </c>
      <c r="AR124" s="114">
        <f>SUMIFS(Table1[Column1],Table1[Date],'OEE AHV'!#REF!,Table1[M/C],'OEE AHV'!#REF!,Table1[Case downtime],'OEE AHV'!AR$2)</f>
        <v>0</v>
      </c>
      <c r="AS124" s="114">
        <f>SUMIFS(Table1[Column1],Table1[Date],'OEE AHV'!#REF!,Table1[M/C],'OEE AHV'!#REF!,Table1[Case downtime],'OEE AHV'!AS$2)</f>
        <v>0</v>
      </c>
      <c r="AT124" s="114">
        <f>SUMIFS(Table1[Column1],Table1[Date],'OEE AHV'!#REF!,Table1[M/C],'OEE AHV'!#REF!,Table1[Case downtime],'OEE AHV'!AT$2)</f>
        <v>0</v>
      </c>
      <c r="AU124" s="114">
        <f>SUMIFS(Table1[Column1],Table1[Date],'OEE AHV'!#REF!,Table1[M/C],'OEE AHV'!#REF!,Table1[Case downtime],'OEE AHV'!AU$2)</f>
        <v>0</v>
      </c>
      <c r="AV124" s="114">
        <f>SUMIFS(Table1[Column1],Table1[Date],'OEE AHV'!#REF!,Table1[M/C],'OEE AHV'!#REF!,Table1[Case downtime],'OEE AHV'!AV$2)</f>
        <v>0</v>
      </c>
      <c r="AW124" s="114">
        <f>SUMIFS(Table1[Column1],Table1[Date],'OEE AHV'!#REF!,Table1[M/C],'OEE AHV'!#REF!,Table1[Case downtime],'OEE AHV'!AW$2)</f>
        <v>0</v>
      </c>
      <c r="AX124" s="183">
        <f>SUMIFS(Table1[Column1],Table1[Date],'OEE AHV'!#REF!,Table1[M/C],'OEE AHV'!#REF!,Table1[Case downtime],'OEE AHV'!AX$2)</f>
        <v>0</v>
      </c>
    </row>
    <row r="125" spans="2:50" s="115" customFormat="1" ht="30" hidden="1" customHeight="1">
      <c r="B125" s="91">
        <v>46057</v>
      </c>
      <c r="C125" s="92" t="s">
        <v>136</v>
      </c>
      <c r="D125" s="92" t="s">
        <v>132</v>
      </c>
      <c r="E125" s="98">
        <v>4.3</v>
      </c>
      <c r="F125" s="81">
        <v>24</v>
      </c>
      <c r="G125" s="95">
        <f t="shared" si="63"/>
        <v>1440</v>
      </c>
      <c r="H125" s="82">
        <v>0</v>
      </c>
      <c r="I125" s="82">
        <f t="shared" si="48"/>
        <v>1440</v>
      </c>
      <c r="J125" s="82">
        <f t="shared" si="49"/>
        <v>101.88151041666666</v>
      </c>
      <c r="K125" s="83">
        <f t="shared" si="50"/>
        <v>0</v>
      </c>
      <c r="L125" s="82">
        <f t="shared" si="37"/>
        <v>101.88151041666666</v>
      </c>
      <c r="M125" s="84">
        <f t="shared" si="38"/>
        <v>1338.1184895833333</v>
      </c>
      <c r="N125" s="99">
        <v>7672</v>
      </c>
      <c r="O125" s="100"/>
      <c r="P125" s="101">
        <v>9198</v>
      </c>
      <c r="Q125" s="135">
        <f>SUM(N125:P125)</f>
        <v>16870</v>
      </c>
      <c r="R125" s="105">
        <f>SUM(Z125:AD125)</f>
        <v>2</v>
      </c>
      <c r="S125" s="87">
        <f t="shared" si="64"/>
        <v>16868</v>
      </c>
      <c r="T125" s="88">
        <f t="shared" si="42"/>
        <v>18671.420784883721</v>
      </c>
      <c r="U125" s="89">
        <f t="shared" si="65"/>
        <v>0.92924895109953698</v>
      </c>
      <c r="V125" s="89">
        <f t="shared" si="66"/>
        <v>0.90351988712384745</v>
      </c>
      <c r="W125" s="89">
        <f t="shared" si="67"/>
        <v>0.9998814463544754</v>
      </c>
      <c r="X125" s="90">
        <f t="shared" si="68"/>
        <v>0.83949537037037025</v>
      </c>
      <c r="Y125" s="106"/>
      <c r="Z125" s="120">
        <v>2</v>
      </c>
      <c r="AA125" s="117"/>
      <c r="AB125" s="117"/>
      <c r="AC125" s="117"/>
      <c r="AD125" s="118"/>
      <c r="AE125" s="110">
        <f t="shared" si="51"/>
        <v>37.9609375</v>
      </c>
      <c r="AF125" s="111">
        <f t="shared" si="60"/>
        <v>37.342447916666664</v>
      </c>
      <c r="AG125" s="111">
        <f t="shared" si="61"/>
        <v>19.220377604166668</v>
      </c>
      <c r="AH125" s="111">
        <f t="shared" si="62"/>
        <v>20.318684895833332</v>
      </c>
      <c r="AI125" s="111">
        <v>10</v>
      </c>
      <c r="AJ125" s="112">
        <v>5</v>
      </c>
      <c r="AK125" s="113">
        <v>10</v>
      </c>
      <c r="AL125" s="114">
        <f>SUMIFS(Table1[Column1],Table1[Date],'OEE AHV'!#REF!,Table1[M/C],'OEE AHV'!#REF!,Table1[Case downtime],'OEE AHV'!AL$2)</f>
        <v>0</v>
      </c>
      <c r="AM125" s="114">
        <f>SUMIFS(Table1[Column1],Table1[Date],'OEE AHV'!#REF!,Table1[M/C],'OEE AHV'!#REF!,Table1[Case downtime],'OEE AHV'!AM$2)</f>
        <v>0</v>
      </c>
      <c r="AN125" s="114">
        <f>SUMIFS(Table1[Column1],Table1[Date],'OEE AHV'!#REF!,Table1[M/C],'OEE AHV'!#REF!,Table1[Case downtime],'OEE AHV'!AN$2)</f>
        <v>0</v>
      </c>
      <c r="AO125" s="114">
        <f>SUMIFS(Table1[Column1],Table1[Date],'OEE AHV'!#REF!,Table1[M/C],'OEE AHV'!#REF!,Table1[Case downtime],'OEE AHV'!AO$2)</f>
        <v>0</v>
      </c>
      <c r="AP125" s="114">
        <f>SUMIFS(Table1[Column1],Table1[Date],'OEE AHV'!#REF!,Table1[M/C],'OEE AHV'!#REF!,Table1[Case downtime],'OEE AHV'!AP$2)</f>
        <v>0</v>
      </c>
      <c r="AQ125" s="114">
        <f>SUMIFS(Table1[Column1],Table1[Date],'OEE AHV'!#REF!,Table1[M/C],'OEE AHV'!#REF!,Table1[Case downtime],'OEE AHV'!AQ$2)</f>
        <v>0</v>
      </c>
      <c r="AR125" s="114">
        <f>SUMIFS(Table1[Column1],Table1[Date],'OEE AHV'!#REF!,Table1[M/C],'OEE AHV'!#REF!,Table1[Case downtime],'OEE AHV'!AR$2)</f>
        <v>0</v>
      </c>
      <c r="AS125" s="114">
        <f>SUMIFS(Table1[Column1],Table1[Date],'OEE AHV'!#REF!,Table1[M/C],'OEE AHV'!#REF!,Table1[Case downtime],'OEE AHV'!AS$2)</f>
        <v>0</v>
      </c>
      <c r="AT125" s="114">
        <f>SUMIFS(Table1[Column1],Table1[Date],'OEE AHV'!#REF!,Table1[M/C],'OEE AHV'!#REF!,Table1[Case downtime],'OEE AHV'!AT$2)</f>
        <v>0</v>
      </c>
      <c r="AU125" s="114">
        <f>SUMIFS(Table1[Column1],Table1[Date],'OEE AHV'!#REF!,Table1[M/C],'OEE AHV'!#REF!,Table1[Case downtime],'OEE AHV'!AU$2)</f>
        <v>0</v>
      </c>
      <c r="AV125" s="114">
        <f>SUMIFS(Table1[Column1],Table1[Date],'OEE AHV'!#REF!,Table1[M/C],'OEE AHV'!#REF!,Table1[Case downtime],'OEE AHV'!AV$2)</f>
        <v>0</v>
      </c>
      <c r="AW125" s="114">
        <f>SUMIFS(Table1[Column1],Table1[Date],'OEE AHV'!#REF!,Table1[M/C],'OEE AHV'!#REF!,Table1[Case downtime],'OEE AHV'!AW$2)</f>
        <v>0</v>
      </c>
      <c r="AX125" s="183">
        <f>SUMIFS(Table1[Column1],Table1[Date],'OEE AHV'!#REF!,Table1[M/C],'OEE AHV'!#REF!,Table1[Case downtime],'OEE AHV'!AX$2)</f>
        <v>0</v>
      </c>
    </row>
    <row r="126" spans="2:50" s="115" customFormat="1" ht="30" hidden="1" customHeight="1">
      <c r="B126" s="91">
        <v>46058</v>
      </c>
      <c r="C126" s="92" t="s">
        <v>136</v>
      </c>
      <c r="D126" s="92" t="s">
        <v>132</v>
      </c>
      <c r="E126" s="98">
        <v>4.3</v>
      </c>
      <c r="F126" s="81">
        <v>24</v>
      </c>
      <c r="G126" s="95">
        <f t="shared" si="63"/>
        <v>1440</v>
      </c>
      <c r="H126" s="82">
        <v>0</v>
      </c>
      <c r="I126" s="82">
        <f t="shared" si="48"/>
        <v>1440</v>
      </c>
      <c r="J126" s="82">
        <f t="shared" si="49"/>
        <v>106.57096354166667</v>
      </c>
      <c r="K126" s="83">
        <f t="shared" si="50"/>
        <v>0</v>
      </c>
      <c r="L126" s="82">
        <f t="shared" si="37"/>
        <v>106.57096354166667</v>
      </c>
      <c r="M126" s="84">
        <f t="shared" si="38"/>
        <v>1333.4290364583333</v>
      </c>
      <c r="N126" s="99">
        <v>8696</v>
      </c>
      <c r="O126" s="100"/>
      <c r="P126" s="101">
        <v>9203</v>
      </c>
      <c r="Q126" s="135">
        <f t="shared" ref="Q126:Q130" si="71">SUM(N126:P126)</f>
        <v>17899</v>
      </c>
      <c r="R126" s="105">
        <f t="shared" ref="R126:R130" si="72">SUM(Z126:AD126)</f>
        <v>7</v>
      </c>
      <c r="S126" s="87">
        <f t="shared" si="64"/>
        <v>17892</v>
      </c>
      <c r="T126" s="88">
        <f t="shared" si="42"/>
        <v>18605.986555232557</v>
      </c>
      <c r="U126" s="89">
        <f t="shared" si="65"/>
        <v>0.92599238642939807</v>
      </c>
      <c r="V126" s="89">
        <f t="shared" si="66"/>
        <v>0.96200220003739967</v>
      </c>
      <c r="W126" s="89">
        <f t="shared" si="67"/>
        <v>0.99960891669925689</v>
      </c>
      <c r="X126" s="90">
        <f t="shared" si="68"/>
        <v>0.89045833333333324</v>
      </c>
      <c r="Y126" s="106"/>
      <c r="Z126" s="120">
        <v>7</v>
      </c>
      <c r="AA126" s="117"/>
      <c r="AB126" s="117"/>
      <c r="AC126" s="117"/>
      <c r="AD126" s="118"/>
      <c r="AE126" s="110">
        <f t="shared" si="51"/>
        <v>37.9609375</v>
      </c>
      <c r="AF126" s="111">
        <f t="shared" si="60"/>
        <v>39.620182291666666</v>
      </c>
      <c r="AG126" s="111">
        <f t="shared" si="61"/>
        <v>20.392740885416668</v>
      </c>
      <c r="AH126" s="111">
        <f t="shared" si="62"/>
        <v>21.558040364583334</v>
      </c>
      <c r="AI126" s="111">
        <v>10</v>
      </c>
      <c r="AJ126" s="112">
        <v>5</v>
      </c>
      <c r="AK126" s="113">
        <v>10</v>
      </c>
      <c r="AL126" s="114">
        <f>SUMIFS(Table1[Column1],Table1[Date],'OEE AHV'!#REF!,Table1[M/C],'OEE AHV'!#REF!,Table1[Case downtime],'OEE AHV'!AL$2)</f>
        <v>0</v>
      </c>
      <c r="AM126" s="114">
        <f>SUMIFS(Table1[Column1],Table1[Date],'OEE AHV'!#REF!,Table1[M/C],'OEE AHV'!#REF!,Table1[Case downtime],'OEE AHV'!AM$2)</f>
        <v>0</v>
      </c>
      <c r="AN126" s="114">
        <f>SUMIFS(Table1[Column1],Table1[Date],'OEE AHV'!#REF!,Table1[M/C],'OEE AHV'!#REF!,Table1[Case downtime],'OEE AHV'!AN$2)</f>
        <v>0</v>
      </c>
      <c r="AO126" s="114">
        <f>SUMIFS(Table1[Column1],Table1[Date],'OEE AHV'!#REF!,Table1[M/C],'OEE AHV'!#REF!,Table1[Case downtime],'OEE AHV'!AO$2)</f>
        <v>0</v>
      </c>
      <c r="AP126" s="114">
        <f>SUMIFS(Table1[Column1],Table1[Date],'OEE AHV'!#REF!,Table1[M/C],'OEE AHV'!#REF!,Table1[Case downtime],'OEE AHV'!AP$2)</f>
        <v>0</v>
      </c>
      <c r="AQ126" s="114">
        <f>SUMIFS(Table1[Column1],Table1[Date],'OEE AHV'!#REF!,Table1[M/C],'OEE AHV'!#REF!,Table1[Case downtime],'OEE AHV'!AQ$2)</f>
        <v>0</v>
      </c>
      <c r="AR126" s="114">
        <f>SUMIFS(Table1[Column1],Table1[Date],'OEE AHV'!#REF!,Table1[M/C],'OEE AHV'!#REF!,Table1[Case downtime],'OEE AHV'!AR$2)</f>
        <v>0</v>
      </c>
      <c r="AS126" s="114">
        <f>SUMIFS(Table1[Column1],Table1[Date],'OEE AHV'!#REF!,Table1[M/C],'OEE AHV'!#REF!,Table1[Case downtime],'OEE AHV'!AS$2)</f>
        <v>0</v>
      </c>
      <c r="AT126" s="114">
        <f>SUMIFS(Table1[Column1],Table1[Date],'OEE AHV'!#REF!,Table1[M/C],'OEE AHV'!#REF!,Table1[Case downtime],'OEE AHV'!AT$2)</f>
        <v>0</v>
      </c>
      <c r="AU126" s="114">
        <f>SUMIFS(Table1[Column1],Table1[Date],'OEE AHV'!#REF!,Table1[M/C],'OEE AHV'!#REF!,Table1[Case downtime],'OEE AHV'!AU$2)</f>
        <v>0</v>
      </c>
      <c r="AV126" s="114">
        <f>SUMIFS(Table1[Column1],Table1[Date],'OEE AHV'!#REF!,Table1[M/C],'OEE AHV'!#REF!,Table1[Case downtime],'OEE AHV'!AV$2)</f>
        <v>0</v>
      </c>
      <c r="AW126" s="114">
        <f>SUMIFS(Table1[Column1],Table1[Date],'OEE AHV'!#REF!,Table1[M/C],'OEE AHV'!#REF!,Table1[Case downtime],'OEE AHV'!AW$2)</f>
        <v>0</v>
      </c>
      <c r="AX126" s="183">
        <f>SUMIFS(Table1[Column1],Table1[Date],'OEE AHV'!#REF!,Table1[M/C],'OEE AHV'!#REF!,Table1[Case downtime],'OEE AHV'!AX$2)</f>
        <v>0</v>
      </c>
    </row>
    <row r="127" spans="2:50" s="115" customFormat="1" ht="30" hidden="1" customHeight="1">
      <c r="B127" s="91">
        <v>46059</v>
      </c>
      <c r="C127" s="92" t="s">
        <v>136</v>
      </c>
      <c r="D127" s="92" t="s">
        <v>132</v>
      </c>
      <c r="E127" s="98">
        <v>4.3</v>
      </c>
      <c r="F127" s="81">
        <v>24</v>
      </c>
      <c r="G127" s="95">
        <f t="shared" si="63"/>
        <v>1440</v>
      </c>
      <c r="H127" s="82">
        <v>0</v>
      </c>
      <c r="I127" s="82">
        <f t="shared" si="48"/>
        <v>1440</v>
      </c>
      <c r="J127" s="82">
        <f t="shared" si="49"/>
        <v>108.90885416666667</v>
      </c>
      <c r="K127" s="83">
        <f t="shared" si="50"/>
        <v>0</v>
      </c>
      <c r="L127" s="82">
        <f t="shared" si="37"/>
        <v>108.90885416666667</v>
      </c>
      <c r="M127" s="84">
        <f t="shared" si="38"/>
        <v>1331.0911458333333</v>
      </c>
      <c r="N127" s="99">
        <v>8700</v>
      </c>
      <c r="O127" s="100"/>
      <c r="P127" s="101">
        <v>9712</v>
      </c>
      <c r="Q127" s="135">
        <f t="shared" si="71"/>
        <v>18412</v>
      </c>
      <c r="R127" s="105">
        <f t="shared" si="72"/>
        <v>1</v>
      </c>
      <c r="S127" s="87">
        <f t="shared" si="64"/>
        <v>18411</v>
      </c>
      <c r="T127" s="88">
        <f t="shared" si="42"/>
        <v>18573.364825581397</v>
      </c>
      <c r="U127" s="89">
        <f t="shared" si="65"/>
        <v>0.92436885127314805</v>
      </c>
      <c r="V127" s="89">
        <f t="shared" si="66"/>
        <v>0.99131203058267903</v>
      </c>
      <c r="W127" s="89">
        <f t="shared" si="67"/>
        <v>0.99994568759504676</v>
      </c>
      <c r="X127" s="90">
        <f t="shared" si="68"/>
        <v>0.91628819444444431</v>
      </c>
      <c r="Y127" s="106"/>
      <c r="Z127" s="120">
        <v>1</v>
      </c>
      <c r="AA127" s="117"/>
      <c r="AB127" s="117"/>
      <c r="AC127" s="117"/>
      <c r="AD127" s="118"/>
      <c r="AE127" s="110">
        <f t="shared" si="51"/>
        <v>37.9609375</v>
      </c>
      <c r="AF127" s="111">
        <f t="shared" si="60"/>
        <v>40.755729166666669</v>
      </c>
      <c r="AG127" s="111">
        <f t="shared" si="61"/>
        <v>20.977213541666668</v>
      </c>
      <c r="AH127" s="111">
        <f t="shared" si="62"/>
        <v>22.175911458333335</v>
      </c>
      <c r="AI127" s="111">
        <v>10</v>
      </c>
      <c r="AJ127" s="112">
        <v>5</v>
      </c>
      <c r="AK127" s="113">
        <v>10</v>
      </c>
      <c r="AL127" s="114">
        <f>SUMIFS(Table1[Column1],Table1[Date],'OEE AHV'!#REF!,Table1[M/C],'OEE AHV'!#REF!,Table1[Case downtime],'OEE AHV'!AL$2)</f>
        <v>0</v>
      </c>
      <c r="AM127" s="114">
        <f>SUMIFS(Table1[Column1],Table1[Date],'OEE AHV'!#REF!,Table1[M/C],'OEE AHV'!#REF!,Table1[Case downtime],'OEE AHV'!AM$2)</f>
        <v>0</v>
      </c>
      <c r="AN127" s="114">
        <f>SUMIFS(Table1[Column1],Table1[Date],'OEE AHV'!#REF!,Table1[M/C],'OEE AHV'!#REF!,Table1[Case downtime],'OEE AHV'!AN$2)</f>
        <v>0</v>
      </c>
      <c r="AO127" s="114">
        <f>SUMIFS(Table1[Column1],Table1[Date],'OEE AHV'!#REF!,Table1[M/C],'OEE AHV'!#REF!,Table1[Case downtime],'OEE AHV'!AO$2)</f>
        <v>0</v>
      </c>
      <c r="AP127" s="114">
        <f>SUMIFS(Table1[Column1],Table1[Date],'OEE AHV'!#REF!,Table1[M/C],'OEE AHV'!#REF!,Table1[Case downtime],'OEE AHV'!AP$2)</f>
        <v>0</v>
      </c>
      <c r="AQ127" s="114">
        <f>SUMIFS(Table1[Column1],Table1[Date],'OEE AHV'!#REF!,Table1[M/C],'OEE AHV'!#REF!,Table1[Case downtime],'OEE AHV'!AQ$2)</f>
        <v>0</v>
      </c>
      <c r="AR127" s="114">
        <f>SUMIFS(Table1[Column1],Table1[Date],'OEE AHV'!#REF!,Table1[M/C],'OEE AHV'!#REF!,Table1[Case downtime],'OEE AHV'!AR$2)</f>
        <v>0</v>
      </c>
      <c r="AS127" s="114">
        <f>SUMIFS(Table1[Column1],Table1[Date],'OEE AHV'!#REF!,Table1[M/C],'OEE AHV'!#REF!,Table1[Case downtime],'OEE AHV'!AS$2)</f>
        <v>0</v>
      </c>
      <c r="AT127" s="114">
        <f>SUMIFS(Table1[Column1],Table1[Date],'OEE AHV'!#REF!,Table1[M/C],'OEE AHV'!#REF!,Table1[Case downtime],'OEE AHV'!AT$2)</f>
        <v>0</v>
      </c>
      <c r="AU127" s="114">
        <f>SUMIFS(Table1[Column1],Table1[Date],'OEE AHV'!#REF!,Table1[M/C],'OEE AHV'!#REF!,Table1[Case downtime],'OEE AHV'!AU$2)</f>
        <v>0</v>
      </c>
      <c r="AV127" s="114">
        <f>SUMIFS(Table1[Column1],Table1[Date],'OEE AHV'!#REF!,Table1[M/C],'OEE AHV'!#REF!,Table1[Case downtime],'OEE AHV'!AV$2)</f>
        <v>0</v>
      </c>
      <c r="AW127" s="114">
        <f>SUMIFS(Table1[Column1],Table1[Date],'OEE AHV'!#REF!,Table1[M/C],'OEE AHV'!#REF!,Table1[Case downtime],'OEE AHV'!AW$2)</f>
        <v>0</v>
      </c>
      <c r="AX127" s="183">
        <f>SUMIFS(Table1[Column1],Table1[Date],'OEE AHV'!#REF!,Table1[M/C],'OEE AHV'!#REF!,Table1[Case downtime],'OEE AHV'!AX$2)</f>
        <v>0</v>
      </c>
    </row>
    <row r="128" spans="2:50" s="115" customFormat="1" ht="30" hidden="1" customHeight="1">
      <c r="B128" s="91">
        <v>46060</v>
      </c>
      <c r="C128" s="92" t="s">
        <v>136</v>
      </c>
      <c r="D128" s="92" t="s">
        <v>132</v>
      </c>
      <c r="E128" s="98">
        <v>4.3</v>
      </c>
      <c r="F128" s="81">
        <v>24</v>
      </c>
      <c r="G128" s="95">
        <f t="shared" si="63"/>
        <v>1440</v>
      </c>
      <c r="H128" s="82">
        <v>0</v>
      </c>
      <c r="I128" s="82">
        <f t="shared" si="48"/>
        <v>1440</v>
      </c>
      <c r="J128" s="82">
        <f t="shared" si="49"/>
        <v>111.27864583333334</v>
      </c>
      <c r="K128" s="83">
        <f t="shared" si="50"/>
        <v>0</v>
      </c>
      <c r="L128" s="82">
        <f t="shared" si="37"/>
        <v>111.27864583333334</v>
      </c>
      <c r="M128" s="84">
        <f t="shared" si="38"/>
        <v>1328.7213541666667</v>
      </c>
      <c r="N128" s="99">
        <v>9724</v>
      </c>
      <c r="O128" s="100"/>
      <c r="P128" s="101">
        <v>9208</v>
      </c>
      <c r="Q128" s="135">
        <f t="shared" si="71"/>
        <v>18932</v>
      </c>
      <c r="R128" s="105">
        <f t="shared" si="72"/>
        <v>4</v>
      </c>
      <c r="S128" s="87">
        <f t="shared" si="64"/>
        <v>18928</v>
      </c>
      <c r="T128" s="88">
        <f t="shared" si="42"/>
        <v>18540.297965116279</v>
      </c>
      <c r="U128" s="89">
        <f t="shared" si="65"/>
        <v>0.92272316261574083</v>
      </c>
      <c r="V128" s="89">
        <f t="shared" si="66"/>
        <v>1.0211270625542648</v>
      </c>
      <c r="W128" s="89">
        <f t="shared" si="67"/>
        <v>0.99978871751531795</v>
      </c>
      <c r="X128" s="90">
        <f t="shared" si="68"/>
        <v>0.94201851851851848</v>
      </c>
      <c r="Y128" s="106"/>
      <c r="Z128" s="120">
        <v>4</v>
      </c>
      <c r="AA128" s="117"/>
      <c r="AB128" s="117"/>
      <c r="AC128" s="117"/>
      <c r="AD128" s="118"/>
      <c r="AE128" s="110">
        <f t="shared" si="51"/>
        <v>37.9609375</v>
      </c>
      <c r="AF128" s="111">
        <f t="shared" si="60"/>
        <v>41.906770833333333</v>
      </c>
      <c r="AG128" s="111">
        <f t="shared" si="61"/>
        <v>21.569661458333332</v>
      </c>
      <c r="AH128" s="111">
        <f t="shared" si="62"/>
        <v>22.802213541666667</v>
      </c>
      <c r="AI128" s="111">
        <v>10</v>
      </c>
      <c r="AJ128" s="112">
        <v>5</v>
      </c>
      <c r="AK128" s="113">
        <v>10</v>
      </c>
      <c r="AL128" s="114">
        <f>SUMIFS(Table1[Column1],Table1[Date],'OEE AHV'!#REF!,Table1[M/C],'OEE AHV'!#REF!,Table1[Case downtime],'OEE AHV'!AL$2)</f>
        <v>0</v>
      </c>
      <c r="AM128" s="114">
        <f>SUMIFS(Table1[Column1],Table1[Date],'OEE AHV'!#REF!,Table1[M/C],'OEE AHV'!#REF!,Table1[Case downtime],'OEE AHV'!AM$2)</f>
        <v>0</v>
      </c>
      <c r="AN128" s="114">
        <f>SUMIFS(Table1[Column1],Table1[Date],'OEE AHV'!#REF!,Table1[M/C],'OEE AHV'!#REF!,Table1[Case downtime],'OEE AHV'!AN$2)</f>
        <v>0</v>
      </c>
      <c r="AO128" s="114">
        <f>SUMIFS(Table1[Column1],Table1[Date],'OEE AHV'!#REF!,Table1[M/C],'OEE AHV'!#REF!,Table1[Case downtime],'OEE AHV'!AO$2)</f>
        <v>0</v>
      </c>
      <c r="AP128" s="114">
        <f>SUMIFS(Table1[Column1],Table1[Date],'OEE AHV'!#REF!,Table1[M/C],'OEE AHV'!#REF!,Table1[Case downtime],'OEE AHV'!AP$2)</f>
        <v>0</v>
      </c>
      <c r="AQ128" s="114">
        <f>SUMIFS(Table1[Column1],Table1[Date],'OEE AHV'!#REF!,Table1[M/C],'OEE AHV'!#REF!,Table1[Case downtime],'OEE AHV'!AQ$2)</f>
        <v>0</v>
      </c>
      <c r="AR128" s="114">
        <f>SUMIFS(Table1[Column1],Table1[Date],'OEE AHV'!#REF!,Table1[M/C],'OEE AHV'!#REF!,Table1[Case downtime],'OEE AHV'!AR$2)</f>
        <v>0</v>
      </c>
      <c r="AS128" s="114">
        <f>SUMIFS(Table1[Column1],Table1[Date],'OEE AHV'!#REF!,Table1[M/C],'OEE AHV'!#REF!,Table1[Case downtime],'OEE AHV'!AS$2)</f>
        <v>0</v>
      </c>
      <c r="AT128" s="114">
        <f>SUMIFS(Table1[Column1],Table1[Date],'OEE AHV'!#REF!,Table1[M/C],'OEE AHV'!#REF!,Table1[Case downtime],'OEE AHV'!AT$2)</f>
        <v>0</v>
      </c>
      <c r="AU128" s="114">
        <f>SUMIFS(Table1[Column1],Table1[Date],'OEE AHV'!#REF!,Table1[M/C],'OEE AHV'!#REF!,Table1[Case downtime],'OEE AHV'!AU$2)</f>
        <v>0</v>
      </c>
      <c r="AV128" s="114">
        <f>SUMIFS(Table1[Column1],Table1[Date],'OEE AHV'!#REF!,Table1[M/C],'OEE AHV'!#REF!,Table1[Case downtime],'OEE AHV'!AV$2)</f>
        <v>0</v>
      </c>
      <c r="AW128" s="114">
        <f>SUMIFS(Table1[Column1],Table1[Date],'OEE AHV'!#REF!,Table1[M/C],'OEE AHV'!#REF!,Table1[Case downtime],'OEE AHV'!AW$2)</f>
        <v>0</v>
      </c>
      <c r="AX128" s="183">
        <f>SUMIFS(Table1[Column1],Table1[Date],'OEE AHV'!#REF!,Table1[M/C],'OEE AHV'!#REF!,Table1[Case downtime],'OEE AHV'!AX$2)</f>
        <v>0</v>
      </c>
    </row>
    <row r="129" spans="2:50" s="115" customFormat="1" ht="30" hidden="1" customHeight="1">
      <c r="B129" s="91">
        <v>46061</v>
      </c>
      <c r="C129" s="92" t="s">
        <v>136</v>
      </c>
      <c r="D129" s="92" t="s">
        <v>132</v>
      </c>
      <c r="E129" s="98">
        <v>4.3</v>
      </c>
      <c r="F129" s="81">
        <v>12</v>
      </c>
      <c r="G129" s="95">
        <f t="shared" si="63"/>
        <v>720</v>
      </c>
      <c r="H129" s="82">
        <v>0</v>
      </c>
      <c r="I129" s="82">
        <f t="shared" si="48"/>
        <v>720</v>
      </c>
      <c r="J129" s="82">
        <f t="shared" si="49"/>
        <v>48.305989583333329</v>
      </c>
      <c r="K129" s="83">
        <f t="shared" si="50"/>
        <v>0</v>
      </c>
      <c r="L129" s="82">
        <f t="shared" si="37"/>
        <v>48.305989583333329</v>
      </c>
      <c r="M129" s="84">
        <f t="shared" si="38"/>
        <v>671.69401041666663</v>
      </c>
      <c r="N129" s="99">
        <v>0</v>
      </c>
      <c r="O129" s="100"/>
      <c r="P129" s="101">
        <v>5114</v>
      </c>
      <c r="Q129" s="135">
        <f t="shared" si="71"/>
        <v>5114</v>
      </c>
      <c r="R129" s="105">
        <f t="shared" si="72"/>
        <v>0</v>
      </c>
      <c r="S129" s="87">
        <f t="shared" si="64"/>
        <v>5114</v>
      </c>
      <c r="T129" s="88">
        <f t="shared" si="42"/>
        <v>9372.4745639534885</v>
      </c>
      <c r="U129" s="89">
        <f t="shared" si="65"/>
        <v>0.93290834780092591</v>
      </c>
      <c r="V129" s="89">
        <f t="shared" si="66"/>
        <v>0.54564031783755695</v>
      </c>
      <c r="W129" s="89">
        <f t="shared" si="67"/>
        <v>1</v>
      </c>
      <c r="X129" s="90">
        <f t="shared" si="68"/>
        <v>0.50903240740740729</v>
      </c>
      <c r="Y129" s="106"/>
      <c r="Z129" s="120">
        <v>0</v>
      </c>
      <c r="AA129" s="117"/>
      <c r="AB129" s="117"/>
      <c r="AC129" s="117"/>
      <c r="AD129" s="118"/>
      <c r="AE129" s="110">
        <f t="shared" si="51"/>
        <v>37.9609375</v>
      </c>
      <c r="AF129" s="111">
        <f t="shared" si="60"/>
        <v>11.320052083333334</v>
      </c>
      <c r="AG129" s="111">
        <f t="shared" si="61"/>
        <v>5.826497395833333</v>
      </c>
      <c r="AH129" s="111">
        <f t="shared" si="62"/>
        <v>6.1594401041666664</v>
      </c>
      <c r="AI129" s="111">
        <v>10</v>
      </c>
      <c r="AJ129" s="112">
        <v>5</v>
      </c>
      <c r="AK129" s="113">
        <v>10</v>
      </c>
      <c r="AL129" s="114">
        <f>SUMIFS(Table1[Column1],Table1[Date],'OEE AHV'!#REF!,Table1[M/C],'OEE AHV'!#REF!,Table1[Case downtime],'OEE AHV'!AL$2)</f>
        <v>0</v>
      </c>
      <c r="AM129" s="114">
        <f>SUMIFS(Table1[Column1],Table1[Date],'OEE AHV'!#REF!,Table1[M/C],'OEE AHV'!#REF!,Table1[Case downtime],'OEE AHV'!AM$2)</f>
        <v>0</v>
      </c>
      <c r="AN129" s="114">
        <f>SUMIFS(Table1[Column1],Table1[Date],'OEE AHV'!#REF!,Table1[M/C],'OEE AHV'!#REF!,Table1[Case downtime],'OEE AHV'!AN$2)</f>
        <v>0</v>
      </c>
      <c r="AO129" s="114">
        <f>SUMIFS(Table1[Column1],Table1[Date],'OEE AHV'!#REF!,Table1[M/C],'OEE AHV'!#REF!,Table1[Case downtime],'OEE AHV'!AO$2)</f>
        <v>0</v>
      </c>
      <c r="AP129" s="114">
        <f>SUMIFS(Table1[Column1],Table1[Date],'OEE AHV'!#REF!,Table1[M/C],'OEE AHV'!#REF!,Table1[Case downtime],'OEE AHV'!AP$2)</f>
        <v>0</v>
      </c>
      <c r="AQ129" s="114">
        <f>SUMIFS(Table1[Column1],Table1[Date],'OEE AHV'!#REF!,Table1[M/C],'OEE AHV'!#REF!,Table1[Case downtime],'OEE AHV'!AQ$2)</f>
        <v>0</v>
      </c>
      <c r="AR129" s="114">
        <f>SUMIFS(Table1[Column1],Table1[Date],'OEE AHV'!#REF!,Table1[M/C],'OEE AHV'!#REF!,Table1[Case downtime],'OEE AHV'!AR$2)</f>
        <v>0</v>
      </c>
      <c r="AS129" s="114">
        <f>SUMIFS(Table1[Column1],Table1[Date],'OEE AHV'!#REF!,Table1[M/C],'OEE AHV'!#REF!,Table1[Case downtime],'OEE AHV'!AS$2)</f>
        <v>0</v>
      </c>
      <c r="AT129" s="114">
        <f>SUMIFS(Table1[Column1],Table1[Date],'OEE AHV'!#REF!,Table1[M/C],'OEE AHV'!#REF!,Table1[Case downtime],'OEE AHV'!AT$2)</f>
        <v>0</v>
      </c>
      <c r="AU129" s="114">
        <f>SUMIFS(Table1[Column1],Table1[Date],'OEE AHV'!#REF!,Table1[M/C],'OEE AHV'!#REF!,Table1[Case downtime],'OEE AHV'!AU$2)</f>
        <v>0</v>
      </c>
      <c r="AV129" s="114">
        <f>SUMIFS(Table1[Column1],Table1[Date],'OEE AHV'!#REF!,Table1[M/C],'OEE AHV'!#REF!,Table1[Case downtime],'OEE AHV'!AV$2)</f>
        <v>0</v>
      </c>
      <c r="AW129" s="114">
        <f>SUMIFS(Table1[Column1],Table1[Date],'OEE AHV'!#REF!,Table1[M/C],'OEE AHV'!#REF!,Table1[Case downtime],'OEE AHV'!AW$2)</f>
        <v>0</v>
      </c>
      <c r="AX129" s="183">
        <f>SUMIFS(Table1[Column1],Table1[Date],'OEE AHV'!#REF!,Table1[M/C],'OEE AHV'!#REF!,Table1[Case downtime],'OEE AHV'!AX$2)</f>
        <v>0</v>
      </c>
    </row>
    <row r="130" spans="2:50" s="115" customFormat="1" ht="30" hidden="1" customHeight="1">
      <c r="B130" s="91">
        <v>46062</v>
      </c>
      <c r="C130" s="92" t="s">
        <v>136</v>
      </c>
      <c r="D130" s="92" t="s">
        <v>132</v>
      </c>
      <c r="E130" s="98">
        <v>4.3</v>
      </c>
      <c r="F130" s="81">
        <v>24</v>
      </c>
      <c r="G130" s="95">
        <f t="shared" si="63"/>
        <v>1440</v>
      </c>
      <c r="H130" s="82">
        <v>0</v>
      </c>
      <c r="I130" s="82">
        <f t="shared" si="48"/>
        <v>1440</v>
      </c>
      <c r="J130" s="82">
        <f t="shared" si="49"/>
        <v>101.84049479166667</v>
      </c>
      <c r="K130" s="83">
        <f t="shared" si="50"/>
        <v>0</v>
      </c>
      <c r="L130" s="82">
        <f t="shared" si="37"/>
        <v>101.84049479166667</v>
      </c>
      <c r="M130" s="84">
        <f t="shared" si="38"/>
        <v>1338.1595052083333</v>
      </c>
      <c r="N130" s="99">
        <v>8171</v>
      </c>
      <c r="O130" s="100"/>
      <c r="P130" s="101">
        <v>8690</v>
      </c>
      <c r="Q130" s="135">
        <f t="shared" si="71"/>
        <v>16861</v>
      </c>
      <c r="R130" s="105">
        <f t="shared" si="72"/>
        <v>4</v>
      </c>
      <c r="S130" s="87">
        <f t="shared" si="64"/>
        <v>16857</v>
      </c>
      <c r="T130" s="88">
        <f t="shared" si="42"/>
        <v>18671.993095930233</v>
      </c>
      <c r="U130" s="89">
        <f t="shared" si="65"/>
        <v>0.92927743417245368</v>
      </c>
      <c r="V130" s="89">
        <f t="shared" si="66"/>
        <v>0.90301018822008028</v>
      </c>
      <c r="W130" s="89">
        <f t="shared" si="67"/>
        <v>0.9997627661467291</v>
      </c>
      <c r="X130" s="90">
        <f t="shared" si="68"/>
        <v>0.83894791666666646</v>
      </c>
      <c r="Y130" s="106"/>
      <c r="Z130" s="120">
        <v>4</v>
      </c>
      <c r="AA130" s="117"/>
      <c r="AB130" s="117"/>
      <c r="AC130" s="117"/>
      <c r="AD130" s="118"/>
      <c r="AE130" s="110">
        <f t="shared" si="51"/>
        <v>37.9609375</v>
      </c>
      <c r="AF130" s="111">
        <f t="shared" si="60"/>
        <v>37.32252604166667</v>
      </c>
      <c r="AG130" s="111">
        <f t="shared" si="61"/>
        <v>19.210123697916668</v>
      </c>
      <c r="AH130" s="111">
        <f t="shared" si="62"/>
        <v>20.307845052083334</v>
      </c>
      <c r="AI130" s="111">
        <v>10</v>
      </c>
      <c r="AJ130" s="112">
        <v>5</v>
      </c>
      <c r="AK130" s="113">
        <v>10</v>
      </c>
      <c r="AL130" s="114">
        <f>SUMIFS(Table1[Column1],Table1[Date],'OEE AHV'!#REF!,Table1[M/C],'OEE AHV'!#REF!,Table1[Case downtime],'OEE AHV'!AL$2)</f>
        <v>0</v>
      </c>
      <c r="AM130" s="114">
        <f>SUMIFS(Table1[Column1],Table1[Date],'OEE AHV'!#REF!,Table1[M/C],'OEE AHV'!#REF!,Table1[Case downtime],'OEE AHV'!AM$2)</f>
        <v>0</v>
      </c>
      <c r="AN130" s="114">
        <f>SUMIFS(Table1[Column1],Table1[Date],'OEE AHV'!#REF!,Table1[M/C],'OEE AHV'!#REF!,Table1[Case downtime],'OEE AHV'!AN$2)</f>
        <v>0</v>
      </c>
      <c r="AO130" s="114">
        <f>SUMIFS(Table1[Column1],Table1[Date],'OEE AHV'!#REF!,Table1[M/C],'OEE AHV'!#REF!,Table1[Case downtime],'OEE AHV'!AO$2)</f>
        <v>0</v>
      </c>
      <c r="AP130" s="114">
        <f>SUMIFS(Table1[Column1],Table1[Date],'OEE AHV'!#REF!,Table1[M/C],'OEE AHV'!#REF!,Table1[Case downtime],'OEE AHV'!AP$2)</f>
        <v>0</v>
      </c>
      <c r="AQ130" s="114">
        <f>SUMIFS(Table1[Column1],Table1[Date],'OEE AHV'!#REF!,Table1[M/C],'OEE AHV'!#REF!,Table1[Case downtime],'OEE AHV'!AQ$2)</f>
        <v>0</v>
      </c>
      <c r="AR130" s="114">
        <f>SUMIFS(Table1[Column1],Table1[Date],'OEE AHV'!#REF!,Table1[M/C],'OEE AHV'!#REF!,Table1[Case downtime],'OEE AHV'!AR$2)</f>
        <v>0</v>
      </c>
      <c r="AS130" s="114">
        <f>SUMIFS(Table1[Column1],Table1[Date],'OEE AHV'!#REF!,Table1[M/C],'OEE AHV'!#REF!,Table1[Case downtime],'OEE AHV'!AS$2)</f>
        <v>0</v>
      </c>
      <c r="AT130" s="114">
        <f>SUMIFS(Table1[Column1],Table1[Date],'OEE AHV'!#REF!,Table1[M/C],'OEE AHV'!#REF!,Table1[Case downtime],'OEE AHV'!AT$2)</f>
        <v>0</v>
      </c>
      <c r="AU130" s="114">
        <f>SUMIFS(Table1[Column1],Table1[Date],'OEE AHV'!#REF!,Table1[M/C],'OEE AHV'!#REF!,Table1[Case downtime],'OEE AHV'!AU$2)</f>
        <v>0</v>
      </c>
      <c r="AV130" s="114">
        <f>SUMIFS(Table1[Column1],Table1[Date],'OEE AHV'!#REF!,Table1[M/C],'OEE AHV'!#REF!,Table1[Case downtime],'OEE AHV'!AV$2)</f>
        <v>0</v>
      </c>
      <c r="AW130" s="114">
        <f>SUMIFS(Table1[Column1],Table1[Date],'OEE AHV'!#REF!,Table1[M/C],'OEE AHV'!#REF!,Table1[Case downtime],'OEE AHV'!AW$2)</f>
        <v>0</v>
      </c>
      <c r="AX130" s="183">
        <f>SUMIFS(Table1[Column1],Table1[Date],'OEE AHV'!#REF!,Table1[M/C],'OEE AHV'!#REF!,Table1[Case downtime],'OEE AHV'!AX$2)</f>
        <v>0</v>
      </c>
    </row>
    <row r="131" spans="2:50" s="115" customFormat="1" ht="30" hidden="1" customHeight="1">
      <c r="B131" s="91">
        <v>46063</v>
      </c>
      <c r="C131" s="92" t="s">
        <v>136</v>
      </c>
      <c r="D131" s="92" t="s">
        <v>132</v>
      </c>
      <c r="E131" s="98">
        <v>4.3</v>
      </c>
      <c r="F131" s="81">
        <v>24</v>
      </c>
      <c r="G131" s="95">
        <f t="shared" si="63"/>
        <v>1440</v>
      </c>
      <c r="H131" s="82">
        <v>0</v>
      </c>
      <c r="I131" s="82">
        <f t="shared" si="48"/>
        <v>1440</v>
      </c>
      <c r="J131" s="82">
        <f t="shared" ref="J131:J145" si="73">SUM(AF131:AK131)</f>
        <v>97.278645833333343</v>
      </c>
      <c r="K131" s="83">
        <f t="shared" ref="K131:K146" si="74">SUM(AL131:AX131)</f>
        <v>0</v>
      </c>
      <c r="L131" s="82">
        <f t="shared" si="37"/>
        <v>97.278645833333343</v>
      </c>
      <c r="M131" s="84">
        <f t="shared" si="38"/>
        <v>1342.7213541666667</v>
      </c>
      <c r="N131" s="99">
        <v>9720</v>
      </c>
      <c r="O131" s="100"/>
      <c r="P131" s="101">
        <v>6140</v>
      </c>
      <c r="Q131" s="135">
        <f>SUM(N131:P131)</f>
        <v>15860</v>
      </c>
      <c r="R131" s="105">
        <f>SUM(Z131:AD131)</f>
        <v>3</v>
      </c>
      <c r="S131" s="87">
        <f t="shared" si="64"/>
        <v>15857</v>
      </c>
      <c r="T131" s="88">
        <f t="shared" si="42"/>
        <v>18735.646802325584</v>
      </c>
      <c r="U131" s="89">
        <f t="shared" si="65"/>
        <v>0.93244538483796302</v>
      </c>
      <c r="V131" s="89">
        <f t="shared" si="66"/>
        <v>0.84651467693292337</v>
      </c>
      <c r="W131" s="89">
        <f t="shared" si="67"/>
        <v>0.99981084489281213</v>
      </c>
      <c r="X131" s="90">
        <f t="shared" si="68"/>
        <v>0.78917939814814819</v>
      </c>
      <c r="Y131" s="106"/>
      <c r="Z131" s="120">
        <v>3</v>
      </c>
      <c r="AA131" s="117"/>
      <c r="AB131" s="117"/>
      <c r="AC131" s="117"/>
      <c r="AD131" s="118"/>
      <c r="AE131" s="110">
        <f t="shared" si="51"/>
        <v>37.9609375</v>
      </c>
      <c r="AF131" s="111">
        <f t="shared" si="60"/>
        <v>35.106770833333336</v>
      </c>
      <c r="AG131" s="111">
        <f t="shared" si="61"/>
        <v>18.069661458333332</v>
      </c>
      <c r="AH131" s="111">
        <f t="shared" si="62"/>
        <v>19.102213541666668</v>
      </c>
      <c r="AI131" s="111">
        <v>10</v>
      </c>
      <c r="AJ131" s="112">
        <v>5</v>
      </c>
      <c r="AK131" s="113">
        <v>10</v>
      </c>
      <c r="AL131" s="114">
        <f>SUMIFS(Table1[Column1],Table1[Date],'OEE AHV'!#REF!,Table1[M/C],'OEE AHV'!#REF!,Table1[Case downtime],'OEE AHV'!AL$2)</f>
        <v>0</v>
      </c>
      <c r="AM131" s="114">
        <f>SUMIFS(Table1[Column1],Table1[Date],'OEE AHV'!#REF!,Table1[M/C],'OEE AHV'!#REF!,Table1[Case downtime],'OEE AHV'!AM$2)</f>
        <v>0</v>
      </c>
      <c r="AN131" s="114">
        <f>SUMIFS(Table1[Column1],Table1[Date],'OEE AHV'!#REF!,Table1[M/C],'OEE AHV'!#REF!,Table1[Case downtime],'OEE AHV'!AN$2)</f>
        <v>0</v>
      </c>
      <c r="AO131" s="114">
        <f>SUMIFS(Table1[Column1],Table1[Date],'OEE AHV'!#REF!,Table1[M/C],'OEE AHV'!#REF!,Table1[Case downtime],'OEE AHV'!AO$2)</f>
        <v>0</v>
      </c>
      <c r="AP131" s="114">
        <f>SUMIFS(Table1[Column1],Table1[Date],'OEE AHV'!#REF!,Table1[M/C],'OEE AHV'!#REF!,Table1[Case downtime],'OEE AHV'!AP$2)</f>
        <v>0</v>
      </c>
      <c r="AQ131" s="114">
        <f>SUMIFS(Table1[Column1],Table1[Date],'OEE AHV'!#REF!,Table1[M/C],'OEE AHV'!#REF!,Table1[Case downtime],'OEE AHV'!AQ$2)</f>
        <v>0</v>
      </c>
      <c r="AR131" s="114">
        <f>SUMIFS(Table1[Column1],Table1[Date],'OEE AHV'!#REF!,Table1[M/C],'OEE AHV'!#REF!,Table1[Case downtime],'OEE AHV'!AR$2)</f>
        <v>0</v>
      </c>
      <c r="AS131" s="114">
        <f>SUMIFS(Table1[Column1],Table1[Date],'OEE AHV'!#REF!,Table1[M/C],'OEE AHV'!#REF!,Table1[Case downtime],'OEE AHV'!AS$2)</f>
        <v>0</v>
      </c>
      <c r="AT131" s="114">
        <f>SUMIFS(Table1[Column1],Table1[Date],'OEE AHV'!#REF!,Table1[M/C],'OEE AHV'!#REF!,Table1[Case downtime],'OEE AHV'!AT$2)</f>
        <v>0</v>
      </c>
      <c r="AU131" s="114">
        <f>SUMIFS(Table1[Column1],Table1[Date],'OEE AHV'!#REF!,Table1[M/C],'OEE AHV'!#REF!,Table1[Case downtime],'OEE AHV'!AU$2)</f>
        <v>0</v>
      </c>
      <c r="AV131" s="114">
        <f>SUMIFS(Table1[Column1],Table1[Date],'OEE AHV'!#REF!,Table1[M/C],'OEE AHV'!#REF!,Table1[Case downtime],'OEE AHV'!AV$2)</f>
        <v>0</v>
      </c>
      <c r="AW131" s="114">
        <f>SUMIFS(Table1[Column1],Table1[Date],'OEE AHV'!#REF!,Table1[M/C],'OEE AHV'!#REF!,Table1[Case downtime],'OEE AHV'!AW$2)</f>
        <v>0</v>
      </c>
      <c r="AX131" s="183">
        <f>SUMIFS(Table1[Column1],Table1[Date],'OEE AHV'!#REF!,Table1[M/C],'OEE AHV'!#REF!,Table1[Case downtime],'OEE AHV'!AX$2)</f>
        <v>0</v>
      </c>
    </row>
    <row r="132" spans="2:50" s="115" customFormat="1" ht="30" hidden="1" customHeight="1">
      <c r="B132" s="91">
        <v>46064</v>
      </c>
      <c r="C132" s="92" t="s">
        <v>136</v>
      </c>
      <c r="D132" s="92" t="s">
        <v>132</v>
      </c>
      <c r="E132" s="98">
        <v>4.3</v>
      </c>
      <c r="F132" s="81">
        <v>24</v>
      </c>
      <c r="G132" s="95">
        <f t="shared" si="63"/>
        <v>1440</v>
      </c>
      <c r="H132" s="82">
        <v>0</v>
      </c>
      <c r="I132" s="82">
        <f t="shared" si="48"/>
        <v>1440</v>
      </c>
      <c r="J132" s="82">
        <f t="shared" si="73"/>
        <v>101.85872395833334</v>
      </c>
      <c r="K132" s="83">
        <f t="shared" si="74"/>
        <v>0</v>
      </c>
      <c r="L132" s="82">
        <f t="shared" ref="L132:L143" si="75">+K132+J132</f>
        <v>101.85872395833334</v>
      </c>
      <c r="M132" s="84">
        <f t="shared" ref="M132:M143" si="76">+I132-L132</f>
        <v>1338.1412760416667</v>
      </c>
      <c r="N132" s="99">
        <v>9711</v>
      </c>
      <c r="O132" s="100"/>
      <c r="P132" s="101">
        <v>7154</v>
      </c>
      <c r="Q132" s="135">
        <f t="shared" ref="Q132:Q136" si="77">SUM(N132:P132)</f>
        <v>16865</v>
      </c>
      <c r="R132" s="105">
        <f t="shared" ref="R132:R136" si="78">SUM(Z132:AD132)</f>
        <v>2</v>
      </c>
      <c r="S132" s="87">
        <f t="shared" si="64"/>
        <v>16863</v>
      </c>
      <c r="T132" s="88">
        <f t="shared" ref="T132:T142" si="79">IFERROR((M132*60)/E132,"-")</f>
        <v>18671.738735465118</v>
      </c>
      <c r="U132" s="89">
        <f t="shared" si="65"/>
        <v>0.92926477502893523</v>
      </c>
      <c r="V132" s="89">
        <f t="shared" si="66"/>
        <v>0.90323671720869803</v>
      </c>
      <c r="W132" s="89">
        <f t="shared" si="67"/>
        <v>0.99988141120664098</v>
      </c>
      <c r="X132" s="90">
        <f t="shared" si="68"/>
        <v>0.83924652777777775</v>
      </c>
      <c r="Y132" s="106"/>
      <c r="Z132" s="120">
        <v>2</v>
      </c>
      <c r="AA132" s="117"/>
      <c r="AB132" s="117"/>
      <c r="AC132" s="117"/>
      <c r="AD132" s="118"/>
      <c r="AE132" s="110">
        <f t="shared" si="51"/>
        <v>37.9609375</v>
      </c>
      <c r="AF132" s="111">
        <f t="shared" si="60"/>
        <v>37.331380208333336</v>
      </c>
      <c r="AG132" s="111">
        <f t="shared" si="61"/>
        <v>19.214680989583332</v>
      </c>
      <c r="AH132" s="111">
        <f t="shared" si="62"/>
        <v>20.312662760416668</v>
      </c>
      <c r="AI132" s="111">
        <v>10</v>
      </c>
      <c r="AJ132" s="112">
        <v>5</v>
      </c>
      <c r="AK132" s="113">
        <v>10</v>
      </c>
      <c r="AL132" s="114">
        <f>SUMIFS(Table1[Column1],Table1[Date],'OEE AHV'!#REF!,Table1[M/C],'OEE AHV'!#REF!,Table1[Case downtime],'OEE AHV'!AL$2)</f>
        <v>0</v>
      </c>
      <c r="AM132" s="114">
        <f>SUMIFS(Table1[Column1],Table1[Date],'OEE AHV'!#REF!,Table1[M/C],'OEE AHV'!#REF!,Table1[Case downtime],'OEE AHV'!AM$2)</f>
        <v>0</v>
      </c>
      <c r="AN132" s="114">
        <f>SUMIFS(Table1[Column1],Table1[Date],'OEE AHV'!#REF!,Table1[M/C],'OEE AHV'!#REF!,Table1[Case downtime],'OEE AHV'!AN$2)</f>
        <v>0</v>
      </c>
      <c r="AO132" s="114">
        <f>SUMIFS(Table1[Column1],Table1[Date],'OEE AHV'!#REF!,Table1[M/C],'OEE AHV'!#REF!,Table1[Case downtime],'OEE AHV'!AO$2)</f>
        <v>0</v>
      </c>
      <c r="AP132" s="114">
        <f>SUMIFS(Table1[Column1],Table1[Date],'OEE AHV'!#REF!,Table1[M/C],'OEE AHV'!#REF!,Table1[Case downtime],'OEE AHV'!AP$2)</f>
        <v>0</v>
      </c>
      <c r="AQ132" s="114">
        <f>SUMIFS(Table1[Column1],Table1[Date],'OEE AHV'!#REF!,Table1[M/C],'OEE AHV'!#REF!,Table1[Case downtime],'OEE AHV'!AQ$2)</f>
        <v>0</v>
      </c>
      <c r="AR132" s="114">
        <f>SUMIFS(Table1[Column1],Table1[Date],'OEE AHV'!#REF!,Table1[M/C],'OEE AHV'!#REF!,Table1[Case downtime],'OEE AHV'!AR$2)</f>
        <v>0</v>
      </c>
      <c r="AS132" s="114">
        <f>SUMIFS(Table1[Column1],Table1[Date],'OEE AHV'!#REF!,Table1[M/C],'OEE AHV'!#REF!,Table1[Case downtime],'OEE AHV'!AS$2)</f>
        <v>0</v>
      </c>
      <c r="AT132" s="114">
        <f>SUMIFS(Table1[Column1],Table1[Date],'OEE AHV'!#REF!,Table1[M/C],'OEE AHV'!#REF!,Table1[Case downtime],'OEE AHV'!AT$2)</f>
        <v>0</v>
      </c>
      <c r="AU132" s="114">
        <f>SUMIFS(Table1[Column1],Table1[Date],'OEE AHV'!#REF!,Table1[M/C],'OEE AHV'!#REF!,Table1[Case downtime],'OEE AHV'!AU$2)</f>
        <v>0</v>
      </c>
      <c r="AV132" s="114">
        <f>SUMIFS(Table1[Column1],Table1[Date],'OEE AHV'!#REF!,Table1[M/C],'OEE AHV'!#REF!,Table1[Case downtime],'OEE AHV'!AV$2)</f>
        <v>0</v>
      </c>
      <c r="AW132" s="114">
        <f>SUMIFS(Table1[Column1],Table1[Date],'OEE AHV'!#REF!,Table1[M/C],'OEE AHV'!#REF!,Table1[Case downtime],'OEE AHV'!AW$2)</f>
        <v>0</v>
      </c>
      <c r="AX132" s="183">
        <f>SUMIFS(Table1[Column1],Table1[Date],'OEE AHV'!#REF!,Table1[M/C],'OEE AHV'!#REF!,Table1[Case downtime],'OEE AHV'!AX$2)</f>
        <v>0</v>
      </c>
    </row>
    <row r="133" spans="2:50" s="115" customFormat="1" ht="30" hidden="1" customHeight="1">
      <c r="B133" s="91">
        <v>46065</v>
      </c>
      <c r="C133" s="92" t="s">
        <v>136</v>
      </c>
      <c r="D133" s="92" t="s">
        <v>132</v>
      </c>
      <c r="E133" s="98">
        <v>4.3</v>
      </c>
      <c r="F133" s="81">
        <v>24</v>
      </c>
      <c r="G133" s="95">
        <f t="shared" si="63"/>
        <v>1440</v>
      </c>
      <c r="H133" s="82">
        <v>0</v>
      </c>
      <c r="I133" s="82">
        <f t="shared" si="48"/>
        <v>1440</v>
      </c>
      <c r="J133" s="82">
        <f t="shared" si="73"/>
        <v>111.27408854166667</v>
      </c>
      <c r="K133" s="83">
        <f t="shared" si="74"/>
        <v>0</v>
      </c>
      <c r="L133" s="82">
        <f t="shared" si="75"/>
        <v>111.27408854166667</v>
      </c>
      <c r="M133" s="84">
        <f t="shared" si="76"/>
        <v>1328.7259114583333</v>
      </c>
      <c r="N133" s="99">
        <v>9212</v>
      </c>
      <c r="O133" s="100"/>
      <c r="P133" s="101">
        <v>9719</v>
      </c>
      <c r="Q133" s="135">
        <f t="shared" si="77"/>
        <v>18931</v>
      </c>
      <c r="R133" s="105">
        <f t="shared" si="78"/>
        <v>9</v>
      </c>
      <c r="S133" s="87">
        <f t="shared" si="64"/>
        <v>18922</v>
      </c>
      <c r="T133" s="88">
        <f t="shared" si="79"/>
        <v>18540.361555232557</v>
      </c>
      <c r="U133" s="89">
        <f t="shared" si="65"/>
        <v>0.92272632740162031</v>
      </c>
      <c r="V133" s="89">
        <f t="shared" si="66"/>
        <v>1.0210696238907593</v>
      </c>
      <c r="W133" s="89">
        <f t="shared" si="67"/>
        <v>0.99952458929797683</v>
      </c>
      <c r="X133" s="90">
        <f t="shared" si="68"/>
        <v>0.94171990740740741</v>
      </c>
      <c r="Y133" s="106"/>
      <c r="Z133" s="120">
        <v>9</v>
      </c>
      <c r="AA133" s="117"/>
      <c r="AB133" s="117"/>
      <c r="AC133" s="117"/>
      <c r="AD133" s="118"/>
      <c r="AE133" s="110">
        <f t="shared" si="51"/>
        <v>37.9609375</v>
      </c>
      <c r="AF133" s="111">
        <f t="shared" si="60"/>
        <v>41.90455729166667</v>
      </c>
      <c r="AG133" s="111">
        <f t="shared" si="61"/>
        <v>21.568522135416668</v>
      </c>
      <c r="AH133" s="111">
        <f t="shared" si="62"/>
        <v>22.801009114583334</v>
      </c>
      <c r="AI133" s="111">
        <v>10</v>
      </c>
      <c r="AJ133" s="112">
        <v>5</v>
      </c>
      <c r="AK133" s="113">
        <v>10</v>
      </c>
      <c r="AL133" s="114">
        <f>SUMIFS(Table1[Column1],Table1[Date],'OEE AHV'!#REF!,Table1[M/C],'OEE AHV'!#REF!,Table1[Case downtime],'OEE AHV'!AL$2)</f>
        <v>0</v>
      </c>
      <c r="AM133" s="114">
        <f>SUMIFS(Table1[Column1],Table1[Date],'OEE AHV'!#REF!,Table1[M/C],'OEE AHV'!#REF!,Table1[Case downtime],'OEE AHV'!AM$2)</f>
        <v>0</v>
      </c>
      <c r="AN133" s="114">
        <f>SUMIFS(Table1[Column1],Table1[Date],'OEE AHV'!#REF!,Table1[M/C],'OEE AHV'!#REF!,Table1[Case downtime],'OEE AHV'!AN$2)</f>
        <v>0</v>
      </c>
      <c r="AO133" s="114">
        <f>SUMIFS(Table1[Column1],Table1[Date],'OEE AHV'!#REF!,Table1[M/C],'OEE AHV'!#REF!,Table1[Case downtime],'OEE AHV'!AO$2)</f>
        <v>0</v>
      </c>
      <c r="AP133" s="114">
        <f>SUMIFS(Table1[Column1],Table1[Date],'OEE AHV'!#REF!,Table1[M/C],'OEE AHV'!#REF!,Table1[Case downtime],'OEE AHV'!AP$2)</f>
        <v>0</v>
      </c>
      <c r="AQ133" s="114">
        <f>SUMIFS(Table1[Column1],Table1[Date],'OEE AHV'!#REF!,Table1[M/C],'OEE AHV'!#REF!,Table1[Case downtime],'OEE AHV'!AQ$2)</f>
        <v>0</v>
      </c>
      <c r="AR133" s="114">
        <f>SUMIFS(Table1[Column1],Table1[Date],'OEE AHV'!#REF!,Table1[M/C],'OEE AHV'!#REF!,Table1[Case downtime],'OEE AHV'!AR$2)</f>
        <v>0</v>
      </c>
      <c r="AS133" s="114">
        <f>SUMIFS(Table1[Column1],Table1[Date],'OEE AHV'!#REF!,Table1[M/C],'OEE AHV'!#REF!,Table1[Case downtime],'OEE AHV'!AS$2)</f>
        <v>0</v>
      </c>
      <c r="AT133" s="114">
        <f>SUMIFS(Table1[Column1],Table1[Date],'OEE AHV'!#REF!,Table1[M/C],'OEE AHV'!#REF!,Table1[Case downtime],'OEE AHV'!AT$2)</f>
        <v>0</v>
      </c>
      <c r="AU133" s="114">
        <f>SUMIFS(Table1[Column1],Table1[Date],'OEE AHV'!#REF!,Table1[M/C],'OEE AHV'!#REF!,Table1[Case downtime],'OEE AHV'!AU$2)</f>
        <v>0</v>
      </c>
      <c r="AV133" s="114">
        <f>SUMIFS(Table1[Column1],Table1[Date],'OEE AHV'!#REF!,Table1[M/C],'OEE AHV'!#REF!,Table1[Case downtime],'OEE AHV'!AV$2)</f>
        <v>0</v>
      </c>
      <c r="AW133" s="114">
        <f>SUMIFS(Table1[Column1],Table1[Date],'OEE AHV'!#REF!,Table1[M/C],'OEE AHV'!#REF!,Table1[Case downtime],'OEE AHV'!AW$2)</f>
        <v>0</v>
      </c>
      <c r="AX133" s="183">
        <f>SUMIFS(Table1[Column1],Table1[Date],'OEE AHV'!#REF!,Table1[M/C],'OEE AHV'!#REF!,Table1[Case downtime],'OEE AHV'!AX$2)</f>
        <v>0</v>
      </c>
    </row>
    <row r="134" spans="2:50" s="115" customFormat="1" ht="30" hidden="1" customHeight="1">
      <c r="B134" s="91">
        <v>46066</v>
      </c>
      <c r="C134" s="92" t="s">
        <v>136</v>
      </c>
      <c r="D134" s="92" t="s">
        <v>132</v>
      </c>
      <c r="E134" s="98">
        <v>4.3</v>
      </c>
      <c r="F134" s="81">
        <v>24</v>
      </c>
      <c r="G134" s="95">
        <f t="shared" si="63"/>
        <v>1440</v>
      </c>
      <c r="H134" s="82">
        <v>0</v>
      </c>
      <c r="I134" s="82">
        <f t="shared" si="48"/>
        <v>1440</v>
      </c>
      <c r="J134" s="82">
        <f t="shared" si="73"/>
        <v>111.21484375</v>
      </c>
      <c r="K134" s="83">
        <f t="shared" si="74"/>
        <v>0</v>
      </c>
      <c r="L134" s="82">
        <f t="shared" si="75"/>
        <v>111.21484375</v>
      </c>
      <c r="M134" s="84">
        <f t="shared" si="76"/>
        <v>1328.78515625</v>
      </c>
      <c r="N134" s="99">
        <v>9719</v>
      </c>
      <c r="O134" s="100"/>
      <c r="P134" s="101">
        <v>9199</v>
      </c>
      <c r="Q134" s="135">
        <f t="shared" si="77"/>
        <v>18918</v>
      </c>
      <c r="R134" s="105">
        <f t="shared" si="78"/>
        <v>7</v>
      </c>
      <c r="S134" s="87">
        <f t="shared" si="64"/>
        <v>18911</v>
      </c>
      <c r="T134" s="88">
        <f t="shared" si="79"/>
        <v>18541.188226744187</v>
      </c>
      <c r="U134" s="89">
        <f t="shared" si="65"/>
        <v>0.92276746961805556</v>
      </c>
      <c r="V134" s="89">
        <f t="shared" si="66"/>
        <v>1.0203229571183734</v>
      </c>
      <c r="W134" s="89">
        <f t="shared" si="67"/>
        <v>0.99962998202769848</v>
      </c>
      <c r="X134" s="90">
        <f t="shared" si="68"/>
        <v>0.94117245370370362</v>
      </c>
      <c r="Y134" s="106"/>
      <c r="Z134" s="120">
        <v>7</v>
      </c>
      <c r="AA134" s="117"/>
      <c r="AB134" s="117"/>
      <c r="AC134" s="117"/>
      <c r="AD134" s="118"/>
      <c r="AE134" s="110">
        <f t="shared" si="51"/>
        <v>37.9609375</v>
      </c>
      <c r="AF134" s="111">
        <f t="shared" si="60"/>
        <v>41.875781250000003</v>
      </c>
      <c r="AG134" s="111">
        <f t="shared" si="61"/>
        <v>21.5537109375</v>
      </c>
      <c r="AH134" s="111">
        <f t="shared" si="62"/>
        <v>22.785351562500001</v>
      </c>
      <c r="AI134" s="111">
        <v>10</v>
      </c>
      <c r="AJ134" s="112">
        <v>5</v>
      </c>
      <c r="AK134" s="113">
        <v>10</v>
      </c>
      <c r="AL134" s="114">
        <f>SUMIFS(Table1[Column1],Table1[Date],'OEE AHV'!#REF!,Table1[M/C],'OEE AHV'!#REF!,Table1[Case downtime],'OEE AHV'!AL$2)</f>
        <v>0</v>
      </c>
      <c r="AM134" s="114">
        <f>SUMIFS(Table1[Column1],Table1[Date],'OEE AHV'!#REF!,Table1[M/C],'OEE AHV'!#REF!,Table1[Case downtime],'OEE AHV'!AM$2)</f>
        <v>0</v>
      </c>
      <c r="AN134" s="114">
        <f>SUMIFS(Table1[Column1],Table1[Date],'OEE AHV'!#REF!,Table1[M/C],'OEE AHV'!#REF!,Table1[Case downtime],'OEE AHV'!AN$2)</f>
        <v>0</v>
      </c>
      <c r="AO134" s="114">
        <f>SUMIFS(Table1[Column1],Table1[Date],'OEE AHV'!#REF!,Table1[M/C],'OEE AHV'!#REF!,Table1[Case downtime],'OEE AHV'!AO$2)</f>
        <v>0</v>
      </c>
      <c r="AP134" s="114">
        <f>SUMIFS(Table1[Column1],Table1[Date],'OEE AHV'!#REF!,Table1[M/C],'OEE AHV'!#REF!,Table1[Case downtime],'OEE AHV'!AP$2)</f>
        <v>0</v>
      </c>
      <c r="AQ134" s="114">
        <f>SUMIFS(Table1[Column1],Table1[Date],'OEE AHV'!#REF!,Table1[M/C],'OEE AHV'!#REF!,Table1[Case downtime],'OEE AHV'!AQ$2)</f>
        <v>0</v>
      </c>
      <c r="AR134" s="114">
        <f>SUMIFS(Table1[Column1],Table1[Date],'OEE AHV'!#REF!,Table1[M/C],'OEE AHV'!#REF!,Table1[Case downtime],'OEE AHV'!AR$2)</f>
        <v>0</v>
      </c>
      <c r="AS134" s="114">
        <f>SUMIFS(Table1[Column1],Table1[Date],'OEE AHV'!#REF!,Table1[M/C],'OEE AHV'!#REF!,Table1[Case downtime],'OEE AHV'!AS$2)</f>
        <v>0</v>
      </c>
      <c r="AT134" s="114">
        <f>SUMIFS(Table1[Column1],Table1[Date],'OEE AHV'!#REF!,Table1[M/C],'OEE AHV'!#REF!,Table1[Case downtime],'OEE AHV'!AT$2)</f>
        <v>0</v>
      </c>
      <c r="AU134" s="114">
        <f>SUMIFS(Table1[Column1],Table1[Date],'OEE AHV'!#REF!,Table1[M/C],'OEE AHV'!#REF!,Table1[Case downtime],'OEE AHV'!AU$2)</f>
        <v>0</v>
      </c>
      <c r="AV134" s="114">
        <f>SUMIFS(Table1[Column1],Table1[Date],'OEE AHV'!#REF!,Table1[M/C],'OEE AHV'!#REF!,Table1[Case downtime],'OEE AHV'!AV$2)</f>
        <v>0</v>
      </c>
      <c r="AW134" s="114">
        <f>SUMIFS(Table1[Column1],Table1[Date],'OEE AHV'!#REF!,Table1[M/C],'OEE AHV'!#REF!,Table1[Case downtime],'OEE AHV'!AW$2)</f>
        <v>0</v>
      </c>
      <c r="AX134" s="183">
        <f>SUMIFS(Table1[Column1],Table1[Date],'OEE AHV'!#REF!,Table1[M/C],'OEE AHV'!#REF!,Table1[Case downtime],'OEE AHV'!AX$2)</f>
        <v>0</v>
      </c>
    </row>
    <row r="135" spans="2:50" s="115" customFormat="1" ht="30" hidden="1" customHeight="1">
      <c r="B135" s="91">
        <v>46067</v>
      </c>
      <c r="C135" s="92" t="s">
        <v>136</v>
      </c>
      <c r="D135" s="92" t="s">
        <v>132</v>
      </c>
      <c r="E135" s="98">
        <v>4.3</v>
      </c>
      <c r="F135" s="81">
        <v>24</v>
      </c>
      <c r="G135" s="95">
        <f t="shared" si="63"/>
        <v>1440</v>
      </c>
      <c r="H135" s="82">
        <v>0</v>
      </c>
      <c r="I135" s="82">
        <f t="shared" si="48"/>
        <v>1440</v>
      </c>
      <c r="J135" s="82">
        <f t="shared" si="73"/>
        <v>111.255859375</v>
      </c>
      <c r="K135" s="83">
        <f t="shared" si="74"/>
        <v>0</v>
      </c>
      <c r="L135" s="82">
        <f t="shared" si="75"/>
        <v>111.255859375</v>
      </c>
      <c r="M135" s="84">
        <f t="shared" si="76"/>
        <v>1328.744140625</v>
      </c>
      <c r="N135" s="99">
        <v>9205</v>
      </c>
      <c r="O135" s="100"/>
      <c r="P135" s="101">
        <v>9722</v>
      </c>
      <c r="Q135" s="135">
        <f t="shared" si="77"/>
        <v>18927</v>
      </c>
      <c r="R135" s="105">
        <f t="shared" si="78"/>
        <v>11</v>
      </c>
      <c r="S135" s="87">
        <f t="shared" si="64"/>
        <v>18916</v>
      </c>
      <c r="T135" s="88">
        <f t="shared" si="79"/>
        <v>18540.615915697676</v>
      </c>
      <c r="U135" s="89">
        <f t="shared" si="65"/>
        <v>0.92273898654513886</v>
      </c>
      <c r="V135" s="89">
        <f t="shared" si="66"/>
        <v>1.0208398731767689</v>
      </c>
      <c r="W135" s="89">
        <f t="shared" si="67"/>
        <v>0.99941881967559576</v>
      </c>
      <c r="X135" s="90">
        <f t="shared" si="68"/>
        <v>0.94142129629629623</v>
      </c>
      <c r="Y135" s="106"/>
      <c r="Z135" s="120">
        <v>11</v>
      </c>
      <c r="AA135" s="117"/>
      <c r="AB135" s="117"/>
      <c r="AC135" s="117"/>
      <c r="AD135" s="118"/>
      <c r="AE135" s="110">
        <f t="shared" si="51"/>
        <v>37.9609375</v>
      </c>
      <c r="AF135" s="111">
        <f t="shared" si="60"/>
        <v>41.895703124999997</v>
      </c>
      <c r="AG135" s="111">
        <f t="shared" si="61"/>
        <v>21.56396484375</v>
      </c>
      <c r="AH135" s="111">
        <f t="shared" si="62"/>
        <v>22.796191406249999</v>
      </c>
      <c r="AI135" s="111">
        <v>10</v>
      </c>
      <c r="AJ135" s="112">
        <v>5</v>
      </c>
      <c r="AK135" s="113">
        <v>10</v>
      </c>
      <c r="AL135" s="114">
        <f>SUMIFS(Table1[Column1],Table1[Date],'OEE AHV'!#REF!,Table1[M/C],'OEE AHV'!#REF!,Table1[Case downtime],'OEE AHV'!AL$2)</f>
        <v>0</v>
      </c>
      <c r="AM135" s="114">
        <f>SUMIFS(Table1[Column1],Table1[Date],'OEE AHV'!#REF!,Table1[M/C],'OEE AHV'!#REF!,Table1[Case downtime],'OEE AHV'!AM$2)</f>
        <v>0</v>
      </c>
      <c r="AN135" s="114">
        <f>SUMIFS(Table1[Column1],Table1[Date],'OEE AHV'!#REF!,Table1[M/C],'OEE AHV'!#REF!,Table1[Case downtime],'OEE AHV'!AN$2)</f>
        <v>0</v>
      </c>
      <c r="AO135" s="114">
        <f>SUMIFS(Table1[Column1],Table1[Date],'OEE AHV'!#REF!,Table1[M/C],'OEE AHV'!#REF!,Table1[Case downtime],'OEE AHV'!AO$2)</f>
        <v>0</v>
      </c>
      <c r="AP135" s="114">
        <f>SUMIFS(Table1[Column1],Table1[Date],'OEE AHV'!#REF!,Table1[M/C],'OEE AHV'!#REF!,Table1[Case downtime],'OEE AHV'!AP$2)</f>
        <v>0</v>
      </c>
      <c r="AQ135" s="114">
        <f>SUMIFS(Table1[Column1],Table1[Date],'OEE AHV'!#REF!,Table1[M/C],'OEE AHV'!#REF!,Table1[Case downtime],'OEE AHV'!AQ$2)</f>
        <v>0</v>
      </c>
      <c r="AR135" s="114">
        <f>SUMIFS(Table1[Column1],Table1[Date],'OEE AHV'!#REF!,Table1[M/C],'OEE AHV'!#REF!,Table1[Case downtime],'OEE AHV'!AR$2)</f>
        <v>0</v>
      </c>
      <c r="AS135" s="114">
        <f>SUMIFS(Table1[Column1],Table1[Date],'OEE AHV'!#REF!,Table1[M/C],'OEE AHV'!#REF!,Table1[Case downtime],'OEE AHV'!AS$2)</f>
        <v>0</v>
      </c>
      <c r="AT135" s="114">
        <f>SUMIFS(Table1[Column1],Table1[Date],'OEE AHV'!#REF!,Table1[M/C],'OEE AHV'!#REF!,Table1[Case downtime],'OEE AHV'!AT$2)</f>
        <v>0</v>
      </c>
      <c r="AU135" s="114">
        <f>SUMIFS(Table1[Column1],Table1[Date],'OEE AHV'!#REF!,Table1[M/C],'OEE AHV'!#REF!,Table1[Case downtime],'OEE AHV'!AU$2)</f>
        <v>0</v>
      </c>
      <c r="AV135" s="114">
        <f>SUMIFS(Table1[Column1],Table1[Date],'OEE AHV'!#REF!,Table1[M/C],'OEE AHV'!#REF!,Table1[Case downtime],'OEE AHV'!AV$2)</f>
        <v>0</v>
      </c>
      <c r="AW135" s="114">
        <f>SUMIFS(Table1[Column1],Table1[Date],'OEE AHV'!#REF!,Table1[M/C],'OEE AHV'!#REF!,Table1[Case downtime],'OEE AHV'!AW$2)</f>
        <v>0</v>
      </c>
      <c r="AX135" s="183">
        <f>SUMIFS(Table1[Column1],Table1[Date],'OEE AHV'!#REF!,Table1[M/C],'OEE AHV'!#REF!,Table1[Case downtime],'OEE AHV'!AX$2)</f>
        <v>0</v>
      </c>
    </row>
    <row r="136" spans="2:50" s="115" customFormat="1" ht="30" hidden="1" customHeight="1">
      <c r="B136" s="91">
        <v>46069</v>
      </c>
      <c r="C136" s="92" t="s">
        <v>136</v>
      </c>
      <c r="D136" s="92" t="s">
        <v>132</v>
      </c>
      <c r="E136" s="98">
        <v>4.3</v>
      </c>
      <c r="F136" s="81">
        <v>24</v>
      </c>
      <c r="G136" s="95">
        <f t="shared" si="63"/>
        <v>1440</v>
      </c>
      <c r="H136" s="82">
        <v>0</v>
      </c>
      <c r="I136" s="82">
        <f t="shared" si="48"/>
        <v>1440</v>
      </c>
      <c r="J136" s="82">
        <f t="shared" si="73"/>
        <v>90.296875</v>
      </c>
      <c r="K136" s="83">
        <f t="shared" si="74"/>
        <v>0</v>
      </c>
      <c r="L136" s="82">
        <f t="shared" si="75"/>
        <v>90.296875</v>
      </c>
      <c r="M136" s="84">
        <f t="shared" si="76"/>
        <v>1349.703125</v>
      </c>
      <c r="N136" s="99">
        <v>6140</v>
      </c>
      <c r="O136" s="100"/>
      <c r="P136" s="101">
        <v>8188</v>
      </c>
      <c r="Q136" s="135">
        <f t="shared" si="77"/>
        <v>14328</v>
      </c>
      <c r="R136" s="105">
        <f t="shared" si="78"/>
        <v>7</v>
      </c>
      <c r="S136" s="87">
        <f t="shared" si="64"/>
        <v>14321</v>
      </c>
      <c r="T136" s="88">
        <f t="shared" si="79"/>
        <v>18833.066860465118</v>
      </c>
      <c r="U136" s="89">
        <f t="shared" si="65"/>
        <v>0.93729383680555556</v>
      </c>
      <c r="V136" s="89">
        <f t="shared" si="66"/>
        <v>0.76078952547435197</v>
      </c>
      <c r="W136" s="89">
        <f t="shared" si="67"/>
        <v>0.99951144611948628</v>
      </c>
      <c r="X136" s="90">
        <f t="shared" si="68"/>
        <v>0.71273495370370366</v>
      </c>
      <c r="Y136" s="106"/>
      <c r="Z136" s="120">
        <v>7</v>
      </c>
      <c r="AA136" s="117"/>
      <c r="AB136" s="117"/>
      <c r="AC136" s="117"/>
      <c r="AD136" s="118"/>
      <c r="AE136" s="110">
        <f t="shared" si="51"/>
        <v>37.9609375</v>
      </c>
      <c r="AF136" s="111">
        <f t="shared" si="60"/>
        <v>31.715624999999999</v>
      </c>
      <c r="AG136" s="111">
        <f t="shared" si="61"/>
        <v>16.32421875</v>
      </c>
      <c r="AH136" s="111">
        <f t="shared" si="62"/>
        <v>17.257031250000001</v>
      </c>
      <c r="AI136" s="111">
        <v>10</v>
      </c>
      <c r="AJ136" s="112">
        <v>5</v>
      </c>
      <c r="AK136" s="113">
        <v>10</v>
      </c>
      <c r="AL136" s="114">
        <f>SUMIFS(Table1[Column1],Table1[Date],'OEE AHV'!#REF!,Table1[M/C],'OEE AHV'!#REF!,Table1[Case downtime],'OEE AHV'!AL$2)</f>
        <v>0</v>
      </c>
      <c r="AM136" s="114">
        <f>SUMIFS(Table1[Column1],Table1[Date],'OEE AHV'!#REF!,Table1[M/C],'OEE AHV'!#REF!,Table1[Case downtime],'OEE AHV'!AM$2)</f>
        <v>0</v>
      </c>
      <c r="AN136" s="114">
        <f>SUMIFS(Table1[Column1],Table1[Date],'OEE AHV'!#REF!,Table1[M/C],'OEE AHV'!#REF!,Table1[Case downtime],'OEE AHV'!AN$2)</f>
        <v>0</v>
      </c>
      <c r="AO136" s="114">
        <f>SUMIFS(Table1[Column1],Table1[Date],'OEE AHV'!#REF!,Table1[M/C],'OEE AHV'!#REF!,Table1[Case downtime],'OEE AHV'!AO$2)</f>
        <v>0</v>
      </c>
      <c r="AP136" s="114">
        <f>SUMIFS(Table1[Column1],Table1[Date],'OEE AHV'!#REF!,Table1[M/C],'OEE AHV'!#REF!,Table1[Case downtime],'OEE AHV'!AP$2)</f>
        <v>0</v>
      </c>
      <c r="AQ136" s="114">
        <f>SUMIFS(Table1[Column1],Table1[Date],'OEE AHV'!#REF!,Table1[M/C],'OEE AHV'!#REF!,Table1[Case downtime],'OEE AHV'!AQ$2)</f>
        <v>0</v>
      </c>
      <c r="AR136" s="114">
        <f>SUMIFS(Table1[Column1],Table1[Date],'OEE AHV'!#REF!,Table1[M/C],'OEE AHV'!#REF!,Table1[Case downtime],'OEE AHV'!AR$2)</f>
        <v>0</v>
      </c>
      <c r="AS136" s="114">
        <f>SUMIFS(Table1[Column1],Table1[Date],'OEE AHV'!#REF!,Table1[M/C],'OEE AHV'!#REF!,Table1[Case downtime],'OEE AHV'!AS$2)</f>
        <v>0</v>
      </c>
      <c r="AT136" s="114">
        <f>SUMIFS(Table1[Column1],Table1[Date],'OEE AHV'!#REF!,Table1[M/C],'OEE AHV'!#REF!,Table1[Case downtime],'OEE AHV'!AT$2)</f>
        <v>0</v>
      </c>
      <c r="AU136" s="114">
        <f>SUMIFS(Table1[Column1],Table1[Date],'OEE AHV'!#REF!,Table1[M/C],'OEE AHV'!#REF!,Table1[Case downtime],'OEE AHV'!AU$2)</f>
        <v>0</v>
      </c>
      <c r="AV136" s="114">
        <f>SUMIFS(Table1[Column1],Table1[Date],'OEE AHV'!#REF!,Table1[M/C],'OEE AHV'!#REF!,Table1[Case downtime],'OEE AHV'!AV$2)</f>
        <v>0</v>
      </c>
      <c r="AW136" s="114">
        <f>SUMIFS(Table1[Column1],Table1[Date],'OEE AHV'!#REF!,Table1[M/C],'OEE AHV'!#REF!,Table1[Case downtime],'OEE AHV'!AW$2)</f>
        <v>0</v>
      </c>
      <c r="AX136" s="183">
        <f>SUMIFS(Table1[Column1],Table1[Date],'OEE AHV'!#REF!,Table1[M/C],'OEE AHV'!#REF!,Table1[Case downtime],'OEE AHV'!AX$2)</f>
        <v>0</v>
      </c>
    </row>
    <row r="137" spans="2:50" s="115" customFormat="1" ht="30" hidden="1" customHeight="1">
      <c r="B137" s="91">
        <v>46070</v>
      </c>
      <c r="C137" s="92" t="s">
        <v>136</v>
      </c>
      <c r="D137" s="92" t="s">
        <v>132</v>
      </c>
      <c r="E137" s="98">
        <v>4.3</v>
      </c>
      <c r="F137" s="81">
        <v>24</v>
      </c>
      <c r="G137" s="95">
        <f t="shared" si="63"/>
        <v>1440</v>
      </c>
      <c r="H137" s="82">
        <v>0</v>
      </c>
      <c r="I137" s="82">
        <f t="shared" si="48"/>
        <v>1440</v>
      </c>
      <c r="J137" s="82">
        <f t="shared" si="73"/>
        <v>87.9453125</v>
      </c>
      <c r="K137" s="83">
        <f t="shared" si="74"/>
        <v>0</v>
      </c>
      <c r="L137" s="82">
        <f t="shared" si="75"/>
        <v>87.9453125</v>
      </c>
      <c r="M137" s="84">
        <f t="shared" si="76"/>
        <v>1352.0546875</v>
      </c>
      <c r="N137" s="99">
        <v>6139</v>
      </c>
      <c r="O137" s="100"/>
      <c r="P137" s="101">
        <v>7673</v>
      </c>
      <c r="Q137" s="135">
        <f>SUM(N137:P137)</f>
        <v>13812</v>
      </c>
      <c r="R137" s="105">
        <f>SUM(Z137:AD137)</f>
        <v>11</v>
      </c>
      <c r="S137" s="87">
        <f t="shared" si="64"/>
        <v>13801</v>
      </c>
      <c r="T137" s="88">
        <f t="shared" si="79"/>
        <v>18865.879360465118</v>
      </c>
      <c r="U137" s="89">
        <f t="shared" si="65"/>
        <v>0.93892686631944444</v>
      </c>
      <c r="V137" s="89">
        <f t="shared" si="66"/>
        <v>0.73211535683537199</v>
      </c>
      <c r="W137" s="89">
        <f t="shared" si="67"/>
        <v>0.99920359108022005</v>
      </c>
      <c r="X137" s="90">
        <f t="shared" si="68"/>
        <v>0.68685532407407401</v>
      </c>
      <c r="Y137" s="106"/>
      <c r="Z137" s="120">
        <v>11</v>
      </c>
      <c r="AA137" s="117"/>
      <c r="AB137" s="117"/>
      <c r="AC137" s="117"/>
      <c r="AD137" s="118"/>
      <c r="AE137" s="110">
        <f t="shared" si="51"/>
        <v>37.9609375</v>
      </c>
      <c r="AF137" s="111">
        <f t="shared" si="60"/>
        <v>30.573437500000001</v>
      </c>
      <c r="AG137" s="111">
        <f t="shared" si="61"/>
        <v>15.736328125</v>
      </c>
      <c r="AH137" s="111">
        <f t="shared" si="62"/>
        <v>16.635546874999999</v>
      </c>
      <c r="AI137" s="111">
        <v>10</v>
      </c>
      <c r="AJ137" s="112">
        <v>5</v>
      </c>
      <c r="AK137" s="113">
        <v>10</v>
      </c>
      <c r="AL137" s="114">
        <f>SUMIFS(Table1[Column1],Table1[Date],'OEE AHV'!#REF!,Table1[M/C],'OEE AHV'!#REF!,Table1[Case downtime],'OEE AHV'!AL$2)</f>
        <v>0</v>
      </c>
      <c r="AM137" s="114">
        <f>SUMIFS(Table1[Column1],Table1[Date],'OEE AHV'!#REF!,Table1[M/C],'OEE AHV'!#REF!,Table1[Case downtime],'OEE AHV'!AM$2)</f>
        <v>0</v>
      </c>
      <c r="AN137" s="114">
        <f>SUMIFS(Table1[Column1],Table1[Date],'OEE AHV'!#REF!,Table1[M/C],'OEE AHV'!#REF!,Table1[Case downtime],'OEE AHV'!AN$2)</f>
        <v>0</v>
      </c>
      <c r="AO137" s="114">
        <f>SUMIFS(Table1[Column1],Table1[Date],'OEE AHV'!#REF!,Table1[M/C],'OEE AHV'!#REF!,Table1[Case downtime],'OEE AHV'!AO$2)</f>
        <v>0</v>
      </c>
      <c r="AP137" s="114">
        <f>SUMIFS(Table1[Column1],Table1[Date],'OEE AHV'!#REF!,Table1[M/C],'OEE AHV'!#REF!,Table1[Case downtime],'OEE AHV'!AP$2)</f>
        <v>0</v>
      </c>
      <c r="AQ137" s="114">
        <f>SUMIFS(Table1[Column1],Table1[Date],'OEE AHV'!#REF!,Table1[M/C],'OEE AHV'!#REF!,Table1[Case downtime],'OEE AHV'!AQ$2)</f>
        <v>0</v>
      </c>
      <c r="AR137" s="114">
        <f>SUMIFS(Table1[Column1],Table1[Date],'OEE AHV'!#REF!,Table1[M/C],'OEE AHV'!#REF!,Table1[Case downtime],'OEE AHV'!AR$2)</f>
        <v>0</v>
      </c>
      <c r="AS137" s="114">
        <f>SUMIFS(Table1[Column1],Table1[Date],'OEE AHV'!#REF!,Table1[M/C],'OEE AHV'!#REF!,Table1[Case downtime],'OEE AHV'!AS$2)</f>
        <v>0</v>
      </c>
      <c r="AT137" s="114">
        <f>SUMIFS(Table1[Column1],Table1[Date],'OEE AHV'!#REF!,Table1[M/C],'OEE AHV'!#REF!,Table1[Case downtime],'OEE AHV'!AT$2)</f>
        <v>0</v>
      </c>
      <c r="AU137" s="114">
        <f>SUMIFS(Table1[Column1],Table1[Date],'OEE AHV'!#REF!,Table1[M/C],'OEE AHV'!#REF!,Table1[Case downtime],'OEE AHV'!AU$2)</f>
        <v>0</v>
      </c>
      <c r="AV137" s="114">
        <f>SUMIFS(Table1[Column1],Table1[Date],'OEE AHV'!#REF!,Table1[M/C],'OEE AHV'!#REF!,Table1[Case downtime],'OEE AHV'!AV$2)</f>
        <v>0</v>
      </c>
      <c r="AW137" s="114">
        <f>SUMIFS(Table1[Column1],Table1[Date],'OEE AHV'!#REF!,Table1[M/C],'OEE AHV'!#REF!,Table1[Case downtime],'OEE AHV'!AW$2)</f>
        <v>0</v>
      </c>
      <c r="AX137" s="183">
        <f>SUMIFS(Table1[Column1],Table1[Date],'OEE AHV'!#REF!,Table1[M/C],'OEE AHV'!#REF!,Table1[Case downtime],'OEE AHV'!AX$2)</f>
        <v>0</v>
      </c>
    </row>
    <row r="138" spans="2:50" s="115" customFormat="1" ht="30" hidden="1" customHeight="1">
      <c r="B138" s="91">
        <v>46071</v>
      </c>
      <c r="C138" s="92" t="s">
        <v>136</v>
      </c>
      <c r="D138" s="92" t="s">
        <v>132</v>
      </c>
      <c r="E138" s="98">
        <v>4.3</v>
      </c>
      <c r="F138" s="81">
        <v>24</v>
      </c>
      <c r="G138" s="95">
        <f t="shared" si="63"/>
        <v>1440</v>
      </c>
      <c r="H138" s="82">
        <v>0</v>
      </c>
      <c r="I138" s="82">
        <f t="shared" si="48"/>
        <v>1440</v>
      </c>
      <c r="J138" s="82">
        <f t="shared" si="73"/>
        <v>113.58919270833333</v>
      </c>
      <c r="K138" s="83">
        <f t="shared" si="74"/>
        <v>0</v>
      </c>
      <c r="L138" s="82">
        <f t="shared" si="75"/>
        <v>113.58919270833333</v>
      </c>
      <c r="M138" s="84">
        <f t="shared" si="76"/>
        <v>1326.4108072916667</v>
      </c>
      <c r="N138" s="99">
        <v>9720</v>
      </c>
      <c r="O138" s="100"/>
      <c r="P138" s="101">
        <v>9719</v>
      </c>
      <c r="Q138" s="135">
        <f t="shared" ref="Q138:Q143" si="80">SUM(N138:P138)</f>
        <v>19439</v>
      </c>
      <c r="R138" s="105">
        <f t="shared" ref="R138:R143" si="81">SUM(Z138:AD138)</f>
        <v>3</v>
      </c>
      <c r="S138" s="87">
        <f t="shared" si="64"/>
        <v>19436</v>
      </c>
      <c r="T138" s="88">
        <f t="shared" si="79"/>
        <v>18508.05777616279</v>
      </c>
      <c r="U138" s="89">
        <f t="shared" si="65"/>
        <v>0.92111861617476853</v>
      </c>
      <c r="V138" s="89">
        <f t="shared" si="66"/>
        <v>1.050299293156314</v>
      </c>
      <c r="W138" s="89">
        <f t="shared" si="67"/>
        <v>0.99984567107361488</v>
      </c>
      <c r="X138" s="90">
        <f t="shared" si="68"/>
        <v>0.96730092592592587</v>
      </c>
      <c r="Y138" s="106"/>
      <c r="Z138" s="120">
        <v>3</v>
      </c>
      <c r="AA138" s="117"/>
      <c r="AB138" s="117"/>
      <c r="AC138" s="117"/>
      <c r="AD138" s="118"/>
      <c r="AE138" s="110">
        <f t="shared" si="51"/>
        <v>37.9609375</v>
      </c>
      <c r="AF138" s="111">
        <f t="shared" si="60"/>
        <v>43.02903645833333</v>
      </c>
      <c r="AG138" s="111">
        <f t="shared" si="61"/>
        <v>22.147298177083332</v>
      </c>
      <c r="AH138" s="111">
        <f t="shared" si="62"/>
        <v>23.412858072916666</v>
      </c>
      <c r="AI138" s="111">
        <v>10</v>
      </c>
      <c r="AJ138" s="112">
        <v>5</v>
      </c>
      <c r="AK138" s="113">
        <v>10</v>
      </c>
      <c r="AL138" s="114">
        <f>SUMIFS(Table1[Column1],Table1[Date],'OEE AHV'!#REF!,Table1[M/C],'OEE AHV'!#REF!,Table1[Case downtime],'OEE AHV'!AL$2)</f>
        <v>0</v>
      </c>
      <c r="AM138" s="114">
        <f>SUMIFS(Table1[Column1],Table1[Date],'OEE AHV'!#REF!,Table1[M/C],'OEE AHV'!#REF!,Table1[Case downtime],'OEE AHV'!AM$2)</f>
        <v>0</v>
      </c>
      <c r="AN138" s="114">
        <f>SUMIFS(Table1[Column1],Table1[Date],'OEE AHV'!#REF!,Table1[M/C],'OEE AHV'!#REF!,Table1[Case downtime],'OEE AHV'!AN$2)</f>
        <v>0</v>
      </c>
      <c r="AO138" s="114">
        <f>SUMIFS(Table1[Column1],Table1[Date],'OEE AHV'!#REF!,Table1[M/C],'OEE AHV'!#REF!,Table1[Case downtime],'OEE AHV'!AO$2)</f>
        <v>0</v>
      </c>
      <c r="AP138" s="114">
        <f>SUMIFS(Table1[Column1],Table1[Date],'OEE AHV'!#REF!,Table1[M/C],'OEE AHV'!#REF!,Table1[Case downtime],'OEE AHV'!AP$2)</f>
        <v>0</v>
      </c>
      <c r="AQ138" s="114">
        <f>SUMIFS(Table1[Column1],Table1[Date],'OEE AHV'!#REF!,Table1[M/C],'OEE AHV'!#REF!,Table1[Case downtime],'OEE AHV'!AQ$2)</f>
        <v>0</v>
      </c>
      <c r="AR138" s="114">
        <f>SUMIFS(Table1[Column1],Table1[Date],'OEE AHV'!#REF!,Table1[M/C],'OEE AHV'!#REF!,Table1[Case downtime],'OEE AHV'!AR$2)</f>
        <v>0</v>
      </c>
      <c r="AS138" s="114">
        <f>SUMIFS(Table1[Column1],Table1[Date],'OEE AHV'!#REF!,Table1[M/C],'OEE AHV'!#REF!,Table1[Case downtime],'OEE AHV'!AS$2)</f>
        <v>0</v>
      </c>
      <c r="AT138" s="114">
        <f>SUMIFS(Table1[Column1],Table1[Date],'OEE AHV'!#REF!,Table1[M/C],'OEE AHV'!#REF!,Table1[Case downtime],'OEE AHV'!AT$2)</f>
        <v>0</v>
      </c>
      <c r="AU138" s="114">
        <f>SUMIFS(Table1[Column1],Table1[Date],'OEE AHV'!#REF!,Table1[M/C],'OEE AHV'!#REF!,Table1[Case downtime],'OEE AHV'!AU$2)</f>
        <v>0</v>
      </c>
      <c r="AV138" s="114">
        <f>SUMIFS(Table1[Column1],Table1[Date],'OEE AHV'!#REF!,Table1[M/C],'OEE AHV'!#REF!,Table1[Case downtime],'OEE AHV'!AV$2)</f>
        <v>0</v>
      </c>
      <c r="AW138" s="114">
        <f>SUMIFS(Table1[Column1],Table1[Date],'OEE AHV'!#REF!,Table1[M/C],'OEE AHV'!#REF!,Table1[Case downtime],'OEE AHV'!AW$2)</f>
        <v>0</v>
      </c>
      <c r="AX138" s="183">
        <f>SUMIFS(Table1[Column1],Table1[Date],'OEE AHV'!#REF!,Table1[M/C],'OEE AHV'!#REF!,Table1[Case downtime],'OEE AHV'!AX$2)</f>
        <v>0</v>
      </c>
    </row>
    <row r="139" spans="2:50" s="115" customFormat="1" ht="30" hidden="1" customHeight="1">
      <c r="B139" s="91">
        <v>46072</v>
      </c>
      <c r="C139" s="92" t="s">
        <v>136</v>
      </c>
      <c r="D139" s="92" t="s">
        <v>132</v>
      </c>
      <c r="E139" s="98">
        <v>4.3</v>
      </c>
      <c r="F139" s="81">
        <v>24</v>
      </c>
      <c r="G139" s="95">
        <f t="shared" si="63"/>
        <v>1440</v>
      </c>
      <c r="H139" s="82">
        <v>0</v>
      </c>
      <c r="I139" s="82">
        <f t="shared" si="48"/>
        <v>1440</v>
      </c>
      <c r="J139" s="82">
        <f t="shared" si="73"/>
        <v>113.607421875</v>
      </c>
      <c r="K139" s="83">
        <f t="shared" si="74"/>
        <v>0</v>
      </c>
      <c r="L139" s="82">
        <f t="shared" si="75"/>
        <v>113.607421875</v>
      </c>
      <c r="M139" s="84">
        <f t="shared" si="76"/>
        <v>1326.392578125</v>
      </c>
      <c r="N139" s="99">
        <v>9719</v>
      </c>
      <c r="O139" s="100"/>
      <c r="P139" s="101">
        <v>9724</v>
      </c>
      <c r="Q139" s="135">
        <f t="shared" si="80"/>
        <v>19443</v>
      </c>
      <c r="R139" s="105">
        <f t="shared" si="81"/>
        <v>2</v>
      </c>
      <c r="S139" s="87">
        <f t="shared" si="64"/>
        <v>19441</v>
      </c>
      <c r="T139" s="88">
        <f t="shared" si="79"/>
        <v>18507.803415697676</v>
      </c>
      <c r="U139" s="89">
        <f t="shared" si="65"/>
        <v>0.92110595703124998</v>
      </c>
      <c r="V139" s="89">
        <f t="shared" si="66"/>
        <v>1.0505298529110767</v>
      </c>
      <c r="W139" s="89">
        <f t="shared" si="67"/>
        <v>0.99989713521575885</v>
      </c>
      <c r="X139" s="90">
        <f t="shared" si="68"/>
        <v>0.96754976851851859</v>
      </c>
      <c r="Y139" s="106"/>
      <c r="Z139" s="120">
        <v>2</v>
      </c>
      <c r="AA139" s="117"/>
      <c r="AB139" s="117"/>
      <c r="AC139" s="117"/>
      <c r="AD139" s="118"/>
      <c r="AE139" s="110">
        <f t="shared" si="51"/>
        <v>37.9609375</v>
      </c>
      <c r="AF139" s="111">
        <f t="shared" si="60"/>
        <v>43.037890625000003</v>
      </c>
      <c r="AG139" s="111">
        <f t="shared" si="61"/>
        <v>22.15185546875</v>
      </c>
      <c r="AH139" s="111">
        <f t="shared" si="62"/>
        <v>23.417675781250001</v>
      </c>
      <c r="AI139" s="111">
        <v>10</v>
      </c>
      <c r="AJ139" s="112">
        <v>5</v>
      </c>
      <c r="AK139" s="113">
        <v>10</v>
      </c>
      <c r="AL139" s="114">
        <f>SUMIFS(Table1[Column1],Table1[Date],'OEE AHV'!#REF!,Table1[M/C],'OEE AHV'!#REF!,Table1[Case downtime],'OEE AHV'!AL$2)</f>
        <v>0</v>
      </c>
      <c r="AM139" s="114">
        <f>SUMIFS(Table1[Column1],Table1[Date],'OEE AHV'!#REF!,Table1[M/C],'OEE AHV'!#REF!,Table1[Case downtime],'OEE AHV'!AM$2)</f>
        <v>0</v>
      </c>
      <c r="AN139" s="114">
        <f>SUMIFS(Table1[Column1],Table1[Date],'OEE AHV'!#REF!,Table1[M/C],'OEE AHV'!#REF!,Table1[Case downtime],'OEE AHV'!AN$2)</f>
        <v>0</v>
      </c>
      <c r="AO139" s="114">
        <f>SUMIFS(Table1[Column1],Table1[Date],'OEE AHV'!#REF!,Table1[M/C],'OEE AHV'!#REF!,Table1[Case downtime],'OEE AHV'!AO$2)</f>
        <v>0</v>
      </c>
      <c r="AP139" s="114">
        <f>SUMIFS(Table1[Column1],Table1[Date],'OEE AHV'!#REF!,Table1[M/C],'OEE AHV'!#REF!,Table1[Case downtime],'OEE AHV'!AP$2)</f>
        <v>0</v>
      </c>
      <c r="AQ139" s="114">
        <f>SUMIFS(Table1[Column1],Table1[Date],'OEE AHV'!#REF!,Table1[M/C],'OEE AHV'!#REF!,Table1[Case downtime],'OEE AHV'!AQ$2)</f>
        <v>0</v>
      </c>
      <c r="AR139" s="114">
        <f>SUMIFS(Table1[Column1],Table1[Date],'OEE AHV'!#REF!,Table1[M/C],'OEE AHV'!#REF!,Table1[Case downtime],'OEE AHV'!AR$2)</f>
        <v>0</v>
      </c>
      <c r="AS139" s="114">
        <f>SUMIFS(Table1[Column1],Table1[Date],'OEE AHV'!#REF!,Table1[M/C],'OEE AHV'!#REF!,Table1[Case downtime],'OEE AHV'!AS$2)</f>
        <v>0</v>
      </c>
      <c r="AT139" s="114">
        <f>SUMIFS(Table1[Column1],Table1[Date],'OEE AHV'!#REF!,Table1[M/C],'OEE AHV'!#REF!,Table1[Case downtime],'OEE AHV'!AT$2)</f>
        <v>0</v>
      </c>
      <c r="AU139" s="114">
        <f>SUMIFS(Table1[Column1],Table1[Date],'OEE AHV'!#REF!,Table1[M/C],'OEE AHV'!#REF!,Table1[Case downtime],'OEE AHV'!AU$2)</f>
        <v>0</v>
      </c>
      <c r="AV139" s="114">
        <f>SUMIFS(Table1[Column1],Table1[Date],'OEE AHV'!#REF!,Table1[M/C],'OEE AHV'!#REF!,Table1[Case downtime],'OEE AHV'!AV$2)</f>
        <v>0</v>
      </c>
      <c r="AW139" s="114">
        <f>SUMIFS(Table1[Column1],Table1[Date],'OEE AHV'!#REF!,Table1[M/C],'OEE AHV'!#REF!,Table1[Case downtime],'OEE AHV'!AW$2)</f>
        <v>0</v>
      </c>
      <c r="AX139" s="183">
        <f>SUMIFS(Table1[Column1],Table1[Date],'OEE AHV'!#REF!,Table1[M/C],'OEE AHV'!#REF!,Table1[Case downtime],'OEE AHV'!AX$2)</f>
        <v>0</v>
      </c>
    </row>
    <row r="140" spans="2:50" s="115" customFormat="1" ht="30" hidden="1" customHeight="1">
      <c r="B140" s="91">
        <v>46073</v>
      </c>
      <c r="C140" s="92" t="s">
        <v>136</v>
      </c>
      <c r="D140" s="92" t="s">
        <v>132</v>
      </c>
      <c r="E140" s="98">
        <v>4.3</v>
      </c>
      <c r="F140" s="81">
        <v>24</v>
      </c>
      <c r="G140" s="95">
        <f t="shared" si="63"/>
        <v>1440</v>
      </c>
      <c r="H140" s="82">
        <v>0</v>
      </c>
      <c r="I140" s="82">
        <f t="shared" si="48"/>
        <v>1440</v>
      </c>
      <c r="J140" s="82">
        <f t="shared" si="73"/>
        <v>108.91341145833333</v>
      </c>
      <c r="K140" s="83">
        <f t="shared" si="74"/>
        <v>0</v>
      </c>
      <c r="L140" s="82">
        <f t="shared" si="75"/>
        <v>108.91341145833333</v>
      </c>
      <c r="M140" s="84">
        <f t="shared" si="76"/>
        <v>1331.0865885416667</v>
      </c>
      <c r="N140" s="99">
        <v>9207</v>
      </c>
      <c r="O140" s="100"/>
      <c r="P140" s="101">
        <v>9206</v>
      </c>
      <c r="Q140" s="135">
        <f t="shared" si="80"/>
        <v>18413</v>
      </c>
      <c r="R140" s="105">
        <f t="shared" si="81"/>
        <v>5</v>
      </c>
      <c r="S140" s="87">
        <f t="shared" si="64"/>
        <v>18408</v>
      </c>
      <c r="T140" s="88">
        <f t="shared" si="79"/>
        <v>18573.301235465118</v>
      </c>
      <c r="U140" s="89">
        <f t="shared" si="65"/>
        <v>0.92436568648726858</v>
      </c>
      <c r="V140" s="89">
        <f t="shared" si="66"/>
        <v>0.99136926530007341</v>
      </c>
      <c r="W140" s="89">
        <f t="shared" si="67"/>
        <v>0.99972845272361921</v>
      </c>
      <c r="X140" s="90">
        <f t="shared" si="68"/>
        <v>0.91613888888888884</v>
      </c>
      <c r="Y140" s="106"/>
      <c r="Z140" s="120">
        <v>5</v>
      </c>
      <c r="AA140" s="117"/>
      <c r="AB140" s="117"/>
      <c r="AC140" s="117"/>
      <c r="AD140" s="118"/>
      <c r="AE140" s="110">
        <f t="shared" si="51"/>
        <v>37.9609375</v>
      </c>
      <c r="AF140" s="111">
        <f t="shared" si="60"/>
        <v>40.757942708333331</v>
      </c>
      <c r="AG140" s="111">
        <f t="shared" si="61"/>
        <v>20.978352864583332</v>
      </c>
      <c r="AH140" s="111">
        <f t="shared" si="62"/>
        <v>22.177115885416665</v>
      </c>
      <c r="AI140" s="111">
        <v>10</v>
      </c>
      <c r="AJ140" s="112">
        <v>5</v>
      </c>
      <c r="AK140" s="113">
        <v>10</v>
      </c>
      <c r="AL140" s="114">
        <f>SUMIFS(Table1[Column1],Table1[Date],'OEE AHV'!#REF!,Table1[M/C],'OEE AHV'!#REF!,Table1[Case downtime],'OEE AHV'!AL$2)</f>
        <v>0</v>
      </c>
      <c r="AM140" s="114">
        <f>SUMIFS(Table1[Column1],Table1[Date],'OEE AHV'!#REF!,Table1[M/C],'OEE AHV'!#REF!,Table1[Case downtime],'OEE AHV'!AM$2)</f>
        <v>0</v>
      </c>
      <c r="AN140" s="114">
        <f>SUMIFS(Table1[Column1],Table1[Date],'OEE AHV'!#REF!,Table1[M/C],'OEE AHV'!#REF!,Table1[Case downtime],'OEE AHV'!AN$2)</f>
        <v>0</v>
      </c>
      <c r="AO140" s="114">
        <f>SUMIFS(Table1[Column1],Table1[Date],'OEE AHV'!#REF!,Table1[M/C],'OEE AHV'!#REF!,Table1[Case downtime],'OEE AHV'!AO$2)</f>
        <v>0</v>
      </c>
      <c r="AP140" s="114">
        <f>SUMIFS(Table1[Column1],Table1[Date],'OEE AHV'!#REF!,Table1[M/C],'OEE AHV'!#REF!,Table1[Case downtime],'OEE AHV'!AP$2)</f>
        <v>0</v>
      </c>
      <c r="AQ140" s="114">
        <f>SUMIFS(Table1[Column1],Table1[Date],'OEE AHV'!#REF!,Table1[M/C],'OEE AHV'!#REF!,Table1[Case downtime],'OEE AHV'!AQ$2)</f>
        <v>0</v>
      </c>
      <c r="AR140" s="114">
        <f>SUMIFS(Table1[Column1],Table1[Date],'OEE AHV'!#REF!,Table1[M/C],'OEE AHV'!#REF!,Table1[Case downtime],'OEE AHV'!AR$2)</f>
        <v>0</v>
      </c>
      <c r="AS140" s="114">
        <f>SUMIFS(Table1[Column1],Table1[Date],'OEE AHV'!#REF!,Table1[M/C],'OEE AHV'!#REF!,Table1[Case downtime],'OEE AHV'!AS$2)</f>
        <v>0</v>
      </c>
      <c r="AT140" s="114">
        <f>SUMIFS(Table1[Column1],Table1[Date],'OEE AHV'!#REF!,Table1[M/C],'OEE AHV'!#REF!,Table1[Case downtime],'OEE AHV'!AT$2)</f>
        <v>0</v>
      </c>
      <c r="AU140" s="114">
        <f>SUMIFS(Table1[Column1],Table1[Date],'OEE AHV'!#REF!,Table1[M/C],'OEE AHV'!#REF!,Table1[Case downtime],'OEE AHV'!AU$2)</f>
        <v>0</v>
      </c>
      <c r="AV140" s="114">
        <f>SUMIFS(Table1[Column1],Table1[Date],'OEE AHV'!#REF!,Table1[M/C],'OEE AHV'!#REF!,Table1[Case downtime],'OEE AHV'!AV$2)</f>
        <v>0</v>
      </c>
      <c r="AW140" s="114">
        <f>SUMIFS(Table1[Column1],Table1[Date],'OEE AHV'!#REF!,Table1[M/C],'OEE AHV'!#REF!,Table1[Case downtime],'OEE AHV'!AW$2)</f>
        <v>0</v>
      </c>
      <c r="AX140" s="183">
        <f>SUMIFS(Table1[Column1],Table1[Date],'OEE AHV'!#REF!,Table1[M/C],'OEE AHV'!#REF!,Table1[Case downtime],'OEE AHV'!AX$2)</f>
        <v>0</v>
      </c>
    </row>
    <row r="141" spans="2:50" s="115" customFormat="1" ht="30" hidden="1" customHeight="1">
      <c r="B141" s="91">
        <v>46074</v>
      </c>
      <c r="C141" s="92" t="s">
        <v>136</v>
      </c>
      <c r="D141" s="92" t="s">
        <v>132</v>
      </c>
      <c r="E141" s="98">
        <v>4.3</v>
      </c>
      <c r="F141" s="81">
        <v>24</v>
      </c>
      <c r="G141" s="95">
        <f t="shared" si="63"/>
        <v>1440</v>
      </c>
      <c r="H141" s="82">
        <v>0</v>
      </c>
      <c r="I141" s="82">
        <f t="shared" si="48"/>
        <v>1440</v>
      </c>
      <c r="J141" s="82">
        <f t="shared" si="73"/>
        <v>111.29231770833334</v>
      </c>
      <c r="K141" s="83">
        <f t="shared" si="74"/>
        <v>0</v>
      </c>
      <c r="L141" s="82">
        <f t="shared" si="75"/>
        <v>111.29231770833334</v>
      </c>
      <c r="M141" s="84">
        <f t="shared" si="76"/>
        <v>1328.7076822916667</v>
      </c>
      <c r="N141" s="99">
        <v>9720</v>
      </c>
      <c r="O141" s="100"/>
      <c r="P141" s="101">
        <v>9215</v>
      </c>
      <c r="Q141" s="135">
        <f t="shared" si="80"/>
        <v>18935</v>
      </c>
      <c r="R141" s="105">
        <f t="shared" si="81"/>
        <v>8</v>
      </c>
      <c r="S141" s="87">
        <f t="shared" si="64"/>
        <v>18927</v>
      </c>
      <c r="T141" s="88">
        <f t="shared" si="79"/>
        <v>18540.107194767443</v>
      </c>
      <c r="U141" s="89">
        <f t="shared" si="65"/>
        <v>0.92271366825810186</v>
      </c>
      <c r="V141" s="89">
        <f t="shared" si="66"/>
        <v>1.021299380908866</v>
      </c>
      <c r="W141" s="89">
        <f t="shared" si="67"/>
        <v>0.99957750198045947</v>
      </c>
      <c r="X141" s="90">
        <f t="shared" si="68"/>
        <v>0.94196875000000002</v>
      </c>
      <c r="Y141" s="106"/>
      <c r="Z141" s="120">
        <v>8</v>
      </c>
      <c r="AA141" s="117"/>
      <c r="AB141" s="117"/>
      <c r="AC141" s="117"/>
      <c r="AD141" s="118"/>
      <c r="AE141" s="110">
        <f t="shared" si="51"/>
        <v>37.9609375</v>
      </c>
      <c r="AF141" s="111">
        <f t="shared" si="60"/>
        <v>41.913411458333336</v>
      </c>
      <c r="AG141" s="111">
        <f t="shared" si="61"/>
        <v>21.573079427083332</v>
      </c>
      <c r="AH141" s="111">
        <f t="shared" si="62"/>
        <v>22.805826822916668</v>
      </c>
      <c r="AI141" s="111">
        <v>10</v>
      </c>
      <c r="AJ141" s="112">
        <v>5</v>
      </c>
      <c r="AK141" s="113">
        <v>10</v>
      </c>
      <c r="AL141" s="114">
        <f>SUMIFS(Table1[Column1],Table1[Date],'OEE AHV'!#REF!,Table1[M/C],'OEE AHV'!#REF!,Table1[Case downtime],'OEE AHV'!AL$2)</f>
        <v>0</v>
      </c>
      <c r="AM141" s="114">
        <f>SUMIFS(Table1[Column1],Table1[Date],'OEE AHV'!#REF!,Table1[M/C],'OEE AHV'!#REF!,Table1[Case downtime],'OEE AHV'!AM$2)</f>
        <v>0</v>
      </c>
      <c r="AN141" s="114">
        <f>SUMIFS(Table1[Column1],Table1[Date],'OEE AHV'!#REF!,Table1[M/C],'OEE AHV'!#REF!,Table1[Case downtime],'OEE AHV'!AN$2)</f>
        <v>0</v>
      </c>
      <c r="AO141" s="114">
        <f>SUMIFS(Table1[Column1],Table1[Date],'OEE AHV'!#REF!,Table1[M/C],'OEE AHV'!#REF!,Table1[Case downtime],'OEE AHV'!AO$2)</f>
        <v>0</v>
      </c>
      <c r="AP141" s="114">
        <f>SUMIFS(Table1[Column1],Table1[Date],'OEE AHV'!#REF!,Table1[M/C],'OEE AHV'!#REF!,Table1[Case downtime],'OEE AHV'!AP$2)</f>
        <v>0</v>
      </c>
      <c r="AQ141" s="114">
        <f>SUMIFS(Table1[Column1],Table1[Date],'OEE AHV'!#REF!,Table1[M/C],'OEE AHV'!#REF!,Table1[Case downtime],'OEE AHV'!AQ$2)</f>
        <v>0</v>
      </c>
      <c r="AR141" s="114">
        <f>SUMIFS(Table1[Column1],Table1[Date],'OEE AHV'!#REF!,Table1[M/C],'OEE AHV'!#REF!,Table1[Case downtime],'OEE AHV'!AR$2)</f>
        <v>0</v>
      </c>
      <c r="AS141" s="114">
        <f>SUMIFS(Table1[Column1],Table1[Date],'OEE AHV'!#REF!,Table1[M/C],'OEE AHV'!#REF!,Table1[Case downtime],'OEE AHV'!AS$2)</f>
        <v>0</v>
      </c>
      <c r="AT141" s="114">
        <f>SUMIFS(Table1[Column1],Table1[Date],'OEE AHV'!#REF!,Table1[M/C],'OEE AHV'!#REF!,Table1[Case downtime],'OEE AHV'!AT$2)</f>
        <v>0</v>
      </c>
      <c r="AU141" s="114">
        <f>SUMIFS(Table1[Column1],Table1[Date],'OEE AHV'!#REF!,Table1[M/C],'OEE AHV'!#REF!,Table1[Case downtime],'OEE AHV'!AU$2)</f>
        <v>0</v>
      </c>
      <c r="AV141" s="114">
        <f>SUMIFS(Table1[Column1],Table1[Date],'OEE AHV'!#REF!,Table1[M/C],'OEE AHV'!#REF!,Table1[Case downtime],'OEE AHV'!AV$2)</f>
        <v>0</v>
      </c>
      <c r="AW141" s="114">
        <f>SUMIFS(Table1[Column1],Table1[Date],'OEE AHV'!#REF!,Table1[M/C],'OEE AHV'!#REF!,Table1[Case downtime],'OEE AHV'!AW$2)</f>
        <v>0</v>
      </c>
      <c r="AX141" s="183">
        <f>SUMIFS(Table1[Column1],Table1[Date],'OEE AHV'!#REF!,Table1[M/C],'OEE AHV'!#REF!,Table1[Case downtime],'OEE AHV'!AX$2)</f>
        <v>0</v>
      </c>
    </row>
    <row r="142" spans="2:50" s="115" customFormat="1" ht="30" hidden="1" customHeight="1">
      <c r="B142" s="91">
        <v>46076</v>
      </c>
      <c r="C142" s="92" t="s">
        <v>136</v>
      </c>
      <c r="D142" s="92" t="s">
        <v>132</v>
      </c>
      <c r="E142" s="98">
        <v>4.3</v>
      </c>
      <c r="F142" s="81">
        <v>24</v>
      </c>
      <c r="G142" s="95">
        <f t="shared" si="63"/>
        <v>1440</v>
      </c>
      <c r="H142" s="82">
        <v>0</v>
      </c>
      <c r="I142" s="82">
        <f t="shared" si="48"/>
        <v>1440</v>
      </c>
      <c r="J142" s="82">
        <f t="shared" si="73"/>
        <v>111.26041666666666</v>
      </c>
      <c r="K142" s="83">
        <f t="shared" si="74"/>
        <v>0</v>
      </c>
      <c r="L142" s="82">
        <f t="shared" si="75"/>
        <v>111.26041666666666</v>
      </c>
      <c r="M142" s="84">
        <f t="shared" si="76"/>
        <v>1328.7395833333333</v>
      </c>
      <c r="N142" s="99">
        <v>9204</v>
      </c>
      <c r="O142" s="100"/>
      <c r="P142" s="101">
        <v>9724</v>
      </c>
      <c r="Q142" s="135">
        <f t="shared" si="80"/>
        <v>18928</v>
      </c>
      <c r="R142" s="105">
        <f t="shared" si="81"/>
        <v>10</v>
      </c>
      <c r="S142" s="87">
        <f t="shared" si="64"/>
        <v>18918</v>
      </c>
      <c r="T142" s="88">
        <f t="shared" si="79"/>
        <v>18540.552325581397</v>
      </c>
      <c r="U142" s="89">
        <f t="shared" si="65"/>
        <v>0.92273582175925917</v>
      </c>
      <c r="V142" s="89">
        <f t="shared" si="66"/>
        <v>1.0208973102642698</v>
      </c>
      <c r="W142" s="89">
        <f t="shared" si="67"/>
        <v>0.99947168216398985</v>
      </c>
      <c r="X142" s="90">
        <f t="shared" si="68"/>
        <v>0.94152083333333314</v>
      </c>
      <c r="Y142" s="106"/>
      <c r="Z142" s="120">
        <v>10</v>
      </c>
      <c r="AA142" s="117"/>
      <c r="AB142" s="117"/>
      <c r="AC142" s="117"/>
      <c r="AD142" s="118"/>
      <c r="AE142" s="110">
        <f t="shared" si="51"/>
        <v>37.9609375</v>
      </c>
      <c r="AF142" s="111">
        <f t="shared" si="60"/>
        <v>41.897916666666667</v>
      </c>
      <c r="AG142" s="111">
        <f t="shared" si="61"/>
        <v>21.565104166666668</v>
      </c>
      <c r="AH142" s="111">
        <f t="shared" si="62"/>
        <v>22.797395833333333</v>
      </c>
      <c r="AI142" s="111">
        <v>10</v>
      </c>
      <c r="AJ142" s="112">
        <v>5</v>
      </c>
      <c r="AK142" s="113">
        <v>10</v>
      </c>
      <c r="AL142" s="114">
        <f>SUMIFS(Table1[Column1],Table1[Date],'OEE AHV'!#REF!,Table1[M/C],'OEE AHV'!#REF!,Table1[Case downtime],'OEE AHV'!AL$2)</f>
        <v>0</v>
      </c>
      <c r="AM142" s="114">
        <f>SUMIFS(Table1[Column1],Table1[Date],'OEE AHV'!#REF!,Table1[M/C],'OEE AHV'!#REF!,Table1[Case downtime],'OEE AHV'!AM$2)</f>
        <v>0</v>
      </c>
      <c r="AN142" s="114">
        <f>SUMIFS(Table1[Column1],Table1[Date],'OEE AHV'!#REF!,Table1[M/C],'OEE AHV'!#REF!,Table1[Case downtime],'OEE AHV'!AN$2)</f>
        <v>0</v>
      </c>
      <c r="AO142" s="114">
        <f>SUMIFS(Table1[Column1],Table1[Date],'OEE AHV'!#REF!,Table1[M/C],'OEE AHV'!#REF!,Table1[Case downtime],'OEE AHV'!AO$2)</f>
        <v>0</v>
      </c>
      <c r="AP142" s="114">
        <f>SUMIFS(Table1[Column1],Table1[Date],'OEE AHV'!#REF!,Table1[M/C],'OEE AHV'!#REF!,Table1[Case downtime],'OEE AHV'!AP$2)</f>
        <v>0</v>
      </c>
      <c r="AQ142" s="114">
        <f>SUMIFS(Table1[Column1],Table1[Date],'OEE AHV'!#REF!,Table1[M/C],'OEE AHV'!#REF!,Table1[Case downtime],'OEE AHV'!AQ$2)</f>
        <v>0</v>
      </c>
      <c r="AR142" s="114">
        <f>SUMIFS(Table1[Column1],Table1[Date],'OEE AHV'!#REF!,Table1[M/C],'OEE AHV'!#REF!,Table1[Case downtime],'OEE AHV'!AR$2)</f>
        <v>0</v>
      </c>
      <c r="AS142" s="114">
        <f>SUMIFS(Table1[Column1],Table1[Date],'OEE AHV'!#REF!,Table1[M/C],'OEE AHV'!#REF!,Table1[Case downtime],'OEE AHV'!AS$2)</f>
        <v>0</v>
      </c>
      <c r="AT142" s="114">
        <f>SUMIFS(Table1[Column1],Table1[Date],'OEE AHV'!#REF!,Table1[M/C],'OEE AHV'!#REF!,Table1[Case downtime],'OEE AHV'!AT$2)</f>
        <v>0</v>
      </c>
      <c r="AU142" s="114">
        <f>SUMIFS(Table1[Column1],Table1[Date],'OEE AHV'!#REF!,Table1[M/C],'OEE AHV'!#REF!,Table1[Case downtime],'OEE AHV'!AU$2)</f>
        <v>0</v>
      </c>
      <c r="AV142" s="114">
        <f>SUMIFS(Table1[Column1],Table1[Date],'OEE AHV'!#REF!,Table1[M/C],'OEE AHV'!#REF!,Table1[Case downtime],'OEE AHV'!AV$2)</f>
        <v>0</v>
      </c>
      <c r="AW142" s="114">
        <f>SUMIFS(Table1[Column1],Table1[Date],'OEE AHV'!#REF!,Table1[M/C],'OEE AHV'!#REF!,Table1[Case downtime],'OEE AHV'!AW$2)</f>
        <v>0</v>
      </c>
      <c r="AX142" s="183">
        <f>SUMIFS(Table1[Column1],Table1[Date],'OEE AHV'!#REF!,Table1[M/C],'OEE AHV'!#REF!,Table1[Case downtime],'OEE AHV'!AX$2)</f>
        <v>0</v>
      </c>
    </row>
    <row r="143" spans="2:50" s="162" customFormat="1" ht="30" hidden="1" customHeight="1">
      <c r="B143" s="139">
        <v>46077</v>
      </c>
      <c r="C143" s="140" t="s">
        <v>136</v>
      </c>
      <c r="D143" s="92" t="s">
        <v>132</v>
      </c>
      <c r="E143" s="98">
        <v>4.3</v>
      </c>
      <c r="F143" s="81">
        <v>24</v>
      </c>
      <c r="G143" s="141">
        <f t="shared" ref="G143" si="82">F143*60</f>
        <v>1440</v>
      </c>
      <c r="H143" s="82">
        <v>0</v>
      </c>
      <c r="I143" s="142">
        <f t="shared" ref="I143" si="83">+G143-H143</f>
        <v>1440</v>
      </c>
      <c r="J143" s="142">
        <f t="shared" si="73"/>
        <v>106.63020833333334</v>
      </c>
      <c r="K143" s="143">
        <f t="shared" si="74"/>
        <v>0</v>
      </c>
      <c r="L143" s="142">
        <f t="shared" si="75"/>
        <v>106.63020833333334</v>
      </c>
      <c r="M143" s="144">
        <f t="shared" si="76"/>
        <v>1333.3697916666667</v>
      </c>
      <c r="N143" s="145">
        <v>8700</v>
      </c>
      <c r="O143" s="146"/>
      <c r="P143" s="147">
        <v>9212</v>
      </c>
      <c r="Q143" s="172">
        <f t="shared" si="80"/>
        <v>17912</v>
      </c>
      <c r="R143" s="148">
        <f t="shared" si="81"/>
        <v>1</v>
      </c>
      <c r="S143" s="149">
        <f t="shared" si="64"/>
        <v>17911</v>
      </c>
      <c r="T143" s="150">
        <f t="shared" ref="T143" si="84">IFERROR((M143*60)/E143,"-")</f>
        <v>18605.159883720931</v>
      </c>
      <c r="U143" s="151">
        <f t="shared" ref="U143" si="85">IFERROR(M143/I143," ")</f>
        <v>0.92595124421296304</v>
      </c>
      <c r="V143" s="151">
        <f t="shared" ref="V143" si="86">IFERROR(Q143/T143," ")</f>
        <v>0.96274367497763724</v>
      </c>
      <c r="W143" s="151">
        <f t="shared" ref="W143" si="87">IFERROR(S143/Q143," ")</f>
        <v>0.99994417150513626</v>
      </c>
      <c r="X143" s="152">
        <f t="shared" ref="X143" si="88">IFERROR(U143*V143*W143," ")</f>
        <v>0.89140393518518524</v>
      </c>
      <c r="Y143" s="153"/>
      <c r="Z143" s="154">
        <v>1</v>
      </c>
      <c r="AA143" s="155"/>
      <c r="AB143" s="155"/>
      <c r="AC143" s="155"/>
      <c r="AD143" s="156"/>
      <c r="AE143" s="157">
        <f t="shared" si="51"/>
        <v>37.9609375</v>
      </c>
      <c r="AF143" s="158">
        <f t="shared" si="60"/>
        <v>39.648958333333333</v>
      </c>
      <c r="AG143" s="158">
        <f t="shared" si="61"/>
        <v>20.407552083333332</v>
      </c>
      <c r="AH143" s="158">
        <f t="shared" si="62"/>
        <v>21.573697916666667</v>
      </c>
      <c r="AI143" s="158">
        <v>10</v>
      </c>
      <c r="AJ143" s="159">
        <v>5</v>
      </c>
      <c r="AK143" s="160">
        <v>10</v>
      </c>
      <c r="AL143" s="161">
        <f>SUMIFS(Table1[Column1],Table1[Date],'OEE AHV'!#REF!,Table1[M/C],'OEE AHV'!#REF!,Table1[Case downtime],'OEE AHV'!AL$2)</f>
        <v>0</v>
      </c>
      <c r="AM143" s="161">
        <f>SUMIFS(Table1[Column1],Table1[Date],'OEE AHV'!#REF!,Table1[M/C],'OEE AHV'!#REF!,Table1[Case downtime],'OEE AHV'!AM$2)</f>
        <v>0</v>
      </c>
      <c r="AN143" s="161">
        <f>SUMIFS(Table1[Column1],Table1[Date],'OEE AHV'!#REF!,Table1[M/C],'OEE AHV'!#REF!,Table1[Case downtime],'OEE AHV'!AN$2)</f>
        <v>0</v>
      </c>
      <c r="AO143" s="161">
        <f>SUMIFS(Table1[Column1],Table1[Date],'OEE AHV'!#REF!,Table1[M/C],'OEE AHV'!#REF!,Table1[Case downtime],'OEE AHV'!AO$2)</f>
        <v>0</v>
      </c>
      <c r="AP143" s="161">
        <f>SUMIFS(Table1[Column1],Table1[Date],'OEE AHV'!#REF!,Table1[M/C],'OEE AHV'!#REF!,Table1[Case downtime],'OEE AHV'!AP$2)</f>
        <v>0</v>
      </c>
      <c r="AQ143" s="161">
        <f>SUMIFS(Table1[Column1],Table1[Date],'OEE AHV'!#REF!,Table1[M/C],'OEE AHV'!#REF!,Table1[Case downtime],'OEE AHV'!AQ$2)</f>
        <v>0</v>
      </c>
      <c r="AR143" s="161">
        <f>SUMIFS(Table1[Column1],Table1[Date],'OEE AHV'!#REF!,Table1[M/C],'OEE AHV'!#REF!,Table1[Case downtime],'OEE AHV'!AR$2)</f>
        <v>0</v>
      </c>
      <c r="AS143" s="161">
        <f>SUMIFS(Table1[Column1],Table1[Date],'OEE AHV'!#REF!,Table1[M/C],'OEE AHV'!#REF!,Table1[Case downtime],'OEE AHV'!AS$2)</f>
        <v>0</v>
      </c>
      <c r="AT143" s="161">
        <f>SUMIFS(Table1[Column1],Table1[Date],'OEE AHV'!#REF!,Table1[M/C],'OEE AHV'!#REF!,Table1[Case downtime],'OEE AHV'!AT$2)</f>
        <v>0</v>
      </c>
      <c r="AU143" s="161">
        <f>SUMIFS(Table1[Column1],Table1[Date],'OEE AHV'!#REF!,Table1[M/C],'OEE AHV'!#REF!,Table1[Case downtime],'OEE AHV'!AU$2)</f>
        <v>0</v>
      </c>
      <c r="AV143" s="161">
        <f>SUMIFS(Table1[Column1],Table1[Date],'OEE AHV'!#REF!,Table1[M/C],'OEE AHV'!#REF!,Table1[Case downtime],'OEE AHV'!AV$2)</f>
        <v>0</v>
      </c>
      <c r="AW143" s="161">
        <f>SUMIFS(Table1[Column1],Table1[Date],'OEE AHV'!#REF!,Table1[M/C],'OEE AHV'!#REF!,Table1[Case downtime],'OEE AHV'!AW$2)</f>
        <v>0</v>
      </c>
      <c r="AX143" s="184">
        <f>SUMIFS(Table1[Column1],Table1[Date],'OEE AHV'!#REF!,Table1[M/C],'OEE AHV'!#REF!,Table1[Case downtime],'OEE AHV'!AX$2)</f>
        <v>0</v>
      </c>
    </row>
    <row r="144" spans="2:50" s="162" customFormat="1" ht="24" hidden="1">
      <c r="B144" s="139">
        <v>46078</v>
      </c>
      <c r="C144" s="140" t="s">
        <v>136</v>
      </c>
      <c r="D144" s="92" t="s">
        <v>132</v>
      </c>
      <c r="E144" s="98">
        <v>4.3</v>
      </c>
      <c r="F144" s="81">
        <v>24</v>
      </c>
      <c r="G144" s="163">
        <f t="shared" ref="G144:G145" si="89">F144*60</f>
        <v>1440</v>
      </c>
      <c r="H144" s="82">
        <v>0</v>
      </c>
      <c r="I144" s="164">
        <f t="shared" ref="I144:I145" si="90">+G144-H144</f>
        <v>1440</v>
      </c>
      <c r="J144" s="142">
        <f t="shared" si="73"/>
        <v>111.28776041666667</v>
      </c>
      <c r="K144" s="148">
        <f t="shared" si="74"/>
        <v>0</v>
      </c>
      <c r="L144" s="165">
        <f t="shared" ref="L144:L145" si="91">+K144+J144</f>
        <v>111.28776041666667</v>
      </c>
      <c r="M144" s="166">
        <f t="shared" ref="M144:M145" si="92">+I144-L144</f>
        <v>1328.7122395833333</v>
      </c>
      <c r="N144" s="145">
        <v>9211</v>
      </c>
      <c r="O144" s="146"/>
      <c r="P144" s="147">
        <v>9723</v>
      </c>
      <c r="Q144" s="172">
        <f t="shared" ref="Q144:Q145" si="93">SUM(N144:P144)</f>
        <v>18934</v>
      </c>
      <c r="R144" s="148">
        <f t="shared" ref="R144:R145" si="94">SUM(Z144:AD144)</f>
        <v>0</v>
      </c>
      <c r="S144" s="167">
        <f t="shared" ref="S144:S145" si="95">+Q144-R144</f>
        <v>18934</v>
      </c>
      <c r="T144" s="168">
        <f t="shared" ref="T144:T145" si="96">IFERROR((M144*60)/E144,"-")</f>
        <v>18540.170784883721</v>
      </c>
      <c r="U144" s="169">
        <f t="shared" ref="U144:U145" si="97">IFERROR(M144/I144," ")</f>
        <v>0.92271683304398144</v>
      </c>
      <c r="V144" s="169">
        <f t="shared" ref="V144:V145" si="98">IFERROR(Q144/T144," ")</f>
        <v>1.0212419410633142</v>
      </c>
      <c r="W144" s="169">
        <f t="shared" ref="W144:W145" si="99">IFERROR(S144/Q144," ")</f>
        <v>1</v>
      </c>
      <c r="X144" s="170">
        <f t="shared" ref="X144:X145" si="100">IFERROR(U144*V144*W144," ")</f>
        <v>0.94231712962962966</v>
      </c>
      <c r="Y144" s="153"/>
      <c r="Z144" s="154">
        <v>0</v>
      </c>
      <c r="AA144" s="155"/>
      <c r="AB144" s="155"/>
      <c r="AC144" s="155"/>
      <c r="AD144" s="156"/>
      <c r="AE144" s="157">
        <f t="shared" si="51"/>
        <v>37.9609375</v>
      </c>
      <c r="AF144" s="158">
        <f t="shared" ref="AF144:AF145" si="101">(Q144/512*68/60)</f>
        <v>41.911197916666666</v>
      </c>
      <c r="AG144" s="158">
        <f t="shared" ref="AG144:AG145" si="102">(Q144/512*35/60)</f>
        <v>21.571940104166668</v>
      </c>
      <c r="AH144" s="158">
        <f t="shared" ref="AH144:AH145" si="103">(Q144/512*37/60)</f>
        <v>22.804622395833334</v>
      </c>
      <c r="AI144" s="158">
        <v>10</v>
      </c>
      <c r="AJ144" s="159">
        <v>5</v>
      </c>
      <c r="AK144" s="160">
        <v>10</v>
      </c>
      <c r="AL144" s="161">
        <f>SUMIFS(Table1[Column1],Table1[Date],'OEE AHV'!#REF!,Table1[M/C],'OEE AHV'!#REF!,Table1[Case downtime],'OEE AHV'!AL$2)</f>
        <v>0</v>
      </c>
      <c r="AM144" s="161">
        <f>SUMIFS(Table1[Column1],Table1[Date],'OEE AHV'!#REF!,Table1[M/C],'OEE AHV'!#REF!,Table1[Case downtime],'OEE AHV'!AM$2)</f>
        <v>0</v>
      </c>
      <c r="AN144" s="161">
        <f>SUMIFS(Table1[Column1],Table1[Date],'OEE AHV'!#REF!,Table1[M/C],'OEE AHV'!#REF!,Table1[Case downtime],'OEE AHV'!AN$2)</f>
        <v>0</v>
      </c>
      <c r="AO144" s="161">
        <f>SUMIFS(Table1[Column1],Table1[Date],'OEE AHV'!#REF!,Table1[M/C],'OEE AHV'!#REF!,Table1[Case downtime],'OEE AHV'!AO$2)</f>
        <v>0</v>
      </c>
      <c r="AP144" s="161">
        <f>SUMIFS(Table1[Column1],Table1[Date],'OEE AHV'!#REF!,Table1[M/C],'OEE AHV'!#REF!,Table1[Case downtime],'OEE AHV'!AP$2)</f>
        <v>0</v>
      </c>
      <c r="AQ144" s="161">
        <f>SUMIFS(Table1[Column1],Table1[Date],'OEE AHV'!#REF!,Table1[M/C],'OEE AHV'!#REF!,Table1[Case downtime],'OEE AHV'!AQ$2)</f>
        <v>0</v>
      </c>
      <c r="AR144" s="161">
        <f>SUMIFS(Table1[Column1],Table1[Date],'OEE AHV'!#REF!,Table1[M/C],'OEE AHV'!#REF!,Table1[Case downtime],'OEE AHV'!AR$2)</f>
        <v>0</v>
      </c>
      <c r="AS144" s="161">
        <f>SUMIFS(Table1[Column1],Table1[Date],'OEE AHV'!#REF!,Table1[M/C],'OEE AHV'!#REF!,Table1[Case downtime],'OEE AHV'!AS$2)</f>
        <v>0</v>
      </c>
      <c r="AT144" s="161">
        <f>SUMIFS(Table1[Column1],Table1[Date],'OEE AHV'!#REF!,Table1[M/C],'OEE AHV'!#REF!,Table1[Case downtime],'OEE AHV'!AT$2)</f>
        <v>0</v>
      </c>
      <c r="AU144" s="161">
        <f>SUMIFS(Table1[Column1],Table1[Date],'OEE AHV'!#REF!,Table1[M/C],'OEE AHV'!#REF!,Table1[Case downtime],'OEE AHV'!AU$2)</f>
        <v>0</v>
      </c>
      <c r="AV144" s="161">
        <f>SUMIFS(Table1[Column1],Table1[Date],'OEE AHV'!#REF!,Table1[M/C],'OEE AHV'!#REF!,Table1[Case downtime],'OEE AHV'!AV$2)</f>
        <v>0</v>
      </c>
      <c r="AW144" s="161">
        <f>SUMIFS(Table1[Column1],Table1[Date],'OEE AHV'!#REF!,Table1[M/C],'OEE AHV'!#REF!,Table1[Case downtime],'OEE AHV'!AW$2)</f>
        <v>0</v>
      </c>
      <c r="AX144" s="184">
        <f>SUMIFS(Table1[Column1],Table1[Date],'OEE AHV'!#REF!,Table1[M/C],'OEE AHV'!#REF!,Table1[Case downtime],'OEE AHV'!AX$2)</f>
        <v>0</v>
      </c>
    </row>
    <row r="145" spans="2:50" s="162" customFormat="1" ht="24" hidden="1">
      <c r="B145" s="139">
        <v>46079</v>
      </c>
      <c r="C145" s="140" t="s">
        <v>136</v>
      </c>
      <c r="D145" s="92" t="s">
        <v>132</v>
      </c>
      <c r="E145" s="98">
        <v>4.3</v>
      </c>
      <c r="F145" s="81">
        <v>24</v>
      </c>
      <c r="G145" s="163">
        <f t="shared" si="89"/>
        <v>1440</v>
      </c>
      <c r="H145" s="82">
        <v>0</v>
      </c>
      <c r="I145" s="164">
        <f t="shared" si="90"/>
        <v>1440</v>
      </c>
      <c r="J145" s="142">
        <f t="shared" si="73"/>
        <v>106.61197916666666</v>
      </c>
      <c r="K145" s="148">
        <f t="shared" si="74"/>
        <v>0</v>
      </c>
      <c r="L145" s="165">
        <f t="shared" si="91"/>
        <v>106.61197916666666</v>
      </c>
      <c r="M145" s="166">
        <f t="shared" si="92"/>
        <v>1333.3880208333333</v>
      </c>
      <c r="N145" s="145">
        <v>9213</v>
      </c>
      <c r="O145" s="146"/>
      <c r="P145" s="147">
        <v>8695</v>
      </c>
      <c r="Q145" s="172">
        <f t="shared" si="93"/>
        <v>17908</v>
      </c>
      <c r="R145" s="148">
        <f t="shared" si="94"/>
        <v>2</v>
      </c>
      <c r="S145" s="167">
        <f t="shared" si="95"/>
        <v>17906</v>
      </c>
      <c r="T145" s="168">
        <f t="shared" si="96"/>
        <v>18605.414244186046</v>
      </c>
      <c r="U145" s="171">
        <f t="shared" si="97"/>
        <v>0.92596390335648138</v>
      </c>
      <c r="V145" s="171">
        <f t="shared" si="98"/>
        <v>0.96251552182430022</v>
      </c>
      <c r="W145" s="169">
        <f t="shared" si="99"/>
        <v>0.99988831807013623</v>
      </c>
      <c r="X145" s="170">
        <f t="shared" si="100"/>
        <v>0.89115509259259251</v>
      </c>
      <c r="Y145" s="153"/>
      <c r="Z145" s="154">
        <v>2</v>
      </c>
      <c r="AA145" s="155"/>
      <c r="AB145" s="155"/>
      <c r="AC145" s="155"/>
      <c r="AD145" s="156"/>
      <c r="AE145" s="157">
        <f t="shared" si="51"/>
        <v>37.9609375</v>
      </c>
      <c r="AF145" s="201">
        <f t="shared" si="101"/>
        <v>39.640104166666667</v>
      </c>
      <c r="AG145" s="201">
        <f t="shared" si="102"/>
        <v>20.402994791666668</v>
      </c>
      <c r="AH145" s="201">
        <f t="shared" si="103"/>
        <v>21.568880208333333</v>
      </c>
      <c r="AI145" s="201">
        <v>10</v>
      </c>
      <c r="AJ145" s="202">
        <v>5</v>
      </c>
      <c r="AK145" s="203">
        <v>10</v>
      </c>
      <c r="AL145" s="161">
        <f>SUMIFS(Table1[Column1],Table1[Date],'OEE AHV'!#REF!,Table1[M/C],'OEE AHV'!#REF!,Table1[Case downtime],'OEE AHV'!AL$2)</f>
        <v>0</v>
      </c>
      <c r="AM145" s="161">
        <f>SUMIFS(Table1[Column1],Table1[Date],'OEE AHV'!#REF!,Table1[M/C],'OEE AHV'!#REF!,Table1[Case downtime],'OEE AHV'!AM$2)</f>
        <v>0</v>
      </c>
      <c r="AN145" s="161">
        <f>SUMIFS(Table1[Column1],Table1[Date],'OEE AHV'!#REF!,Table1[M/C],'OEE AHV'!#REF!,Table1[Case downtime],'OEE AHV'!AN$2)</f>
        <v>0</v>
      </c>
      <c r="AO145" s="161">
        <f>SUMIFS(Table1[Column1],Table1[Date],'OEE AHV'!#REF!,Table1[M/C],'OEE AHV'!#REF!,Table1[Case downtime],'OEE AHV'!AO$2)</f>
        <v>0</v>
      </c>
      <c r="AP145" s="161">
        <f>SUMIFS(Table1[Column1],Table1[Date],'OEE AHV'!#REF!,Table1[M/C],'OEE AHV'!#REF!,Table1[Case downtime],'OEE AHV'!AP$2)</f>
        <v>0</v>
      </c>
      <c r="AQ145" s="161">
        <f>SUMIFS(Table1[Column1],Table1[Date],'OEE AHV'!#REF!,Table1[M/C],'OEE AHV'!#REF!,Table1[Case downtime],'OEE AHV'!AQ$2)</f>
        <v>0</v>
      </c>
      <c r="AR145" s="161">
        <f>SUMIFS(Table1[Column1],Table1[Date],'OEE AHV'!#REF!,Table1[M/C],'OEE AHV'!#REF!,Table1[Case downtime],'OEE AHV'!AR$2)</f>
        <v>0</v>
      </c>
      <c r="AS145" s="161">
        <f>SUMIFS(Table1[Column1],Table1[Date],'OEE AHV'!#REF!,Table1[M/C],'OEE AHV'!#REF!,Table1[Case downtime],'OEE AHV'!AS$2)</f>
        <v>0</v>
      </c>
      <c r="AT145" s="161">
        <f>SUMIFS(Table1[Column1],Table1[Date],'OEE AHV'!#REF!,Table1[M/C],'OEE AHV'!#REF!,Table1[Case downtime],'OEE AHV'!AT$2)</f>
        <v>0</v>
      </c>
      <c r="AU145" s="161">
        <f>SUMIFS(Table1[Column1],Table1[Date],'OEE AHV'!#REF!,Table1[M/C],'OEE AHV'!#REF!,Table1[Case downtime],'OEE AHV'!AU$2)</f>
        <v>0</v>
      </c>
      <c r="AV145" s="161">
        <f>SUMIFS(Table1[Column1],Table1[Date],'OEE AHV'!#REF!,Table1[M/C],'OEE AHV'!#REF!,Table1[Case downtime],'OEE AHV'!AV$2)</f>
        <v>0</v>
      </c>
      <c r="AW145" s="161">
        <f>SUMIFS(Table1[Column1],Table1[Date],'OEE AHV'!#REF!,Table1[M/C],'OEE AHV'!#REF!,Table1[Case downtime],'OEE AHV'!AW$2)</f>
        <v>0</v>
      </c>
      <c r="AX145" s="184">
        <f>SUMIFS(Table1[Column1],Table1[Date],'OEE AHV'!#REF!,Table1[M/C],'OEE AHV'!#REF!,Table1[Case downtime],'OEE AHV'!AX$2)</f>
        <v>0</v>
      </c>
    </row>
    <row r="146" spans="2:50" ht="24.75" hidden="1" thickBot="1">
      <c r="B146" s="139">
        <v>46080</v>
      </c>
      <c r="C146" s="140" t="s">
        <v>136</v>
      </c>
      <c r="D146" s="92" t="s">
        <v>132</v>
      </c>
      <c r="E146" s="98">
        <v>4.3</v>
      </c>
      <c r="F146" s="81">
        <v>24</v>
      </c>
      <c r="G146" s="163">
        <f>F146*60</f>
        <v>1440</v>
      </c>
      <c r="H146" s="189">
        <f>COUNTA(N146:P146)*60</f>
        <v>120</v>
      </c>
      <c r="I146" s="164">
        <f>+G146-H146</f>
        <v>1320</v>
      </c>
      <c r="J146" s="142">
        <f>SUM(AF146:AK146)</f>
        <v>104.283203125</v>
      </c>
      <c r="K146" s="190">
        <f t="shared" si="74"/>
        <v>0</v>
      </c>
      <c r="L146" s="165">
        <f>+K146+J146</f>
        <v>104.283203125</v>
      </c>
      <c r="M146" s="166">
        <f>+I146-L146</f>
        <v>1215.716796875</v>
      </c>
      <c r="N146" s="145">
        <v>9727</v>
      </c>
      <c r="O146" s="146"/>
      <c r="P146" s="147">
        <v>7670</v>
      </c>
      <c r="Q146" s="191">
        <f>SUM(N146:P146)</f>
        <v>17397</v>
      </c>
      <c r="R146" s="190">
        <f>SUM(Z146:AD146)</f>
        <v>0</v>
      </c>
      <c r="S146" s="192">
        <f>+Q146-R146</f>
        <v>17397</v>
      </c>
      <c r="T146" s="193">
        <f>IFERROR((M146*60)/E146,"-")</f>
        <v>16963.490188953489</v>
      </c>
      <c r="U146" s="194">
        <f>IFERROR(M146/I146," ")</f>
        <v>0.92099757339015154</v>
      </c>
      <c r="V146" s="194">
        <f>IFERROR(Q146/T146," ")</f>
        <v>1.0255554609468758</v>
      </c>
      <c r="W146" s="194">
        <f>IFERROR(S146/Q146," ")</f>
        <v>1</v>
      </c>
      <c r="X146" s="195">
        <f>IFERROR(U146*V146*W146," ")</f>
        <v>0.94453409090909091</v>
      </c>
      <c r="Z146" s="196"/>
      <c r="AA146" s="197"/>
      <c r="AB146" s="197"/>
      <c r="AC146" s="197"/>
      <c r="AD146" s="198"/>
      <c r="AE146" s="199">
        <f t="shared" si="51"/>
        <v>37.9609375</v>
      </c>
      <c r="AF146" s="185">
        <f t="shared" ref="AF146" si="104">(Q146/512*68/60)</f>
        <v>38.508984374999997</v>
      </c>
      <c r="AG146" s="185">
        <f t="shared" ref="AG146" si="105">(Q146/512*35/60)</f>
        <v>19.82080078125</v>
      </c>
      <c r="AH146" s="185">
        <f t="shared" ref="AH146" si="106">(Q146/512*37/60)</f>
        <v>20.953417968749999</v>
      </c>
      <c r="AI146" s="185">
        <v>10</v>
      </c>
      <c r="AJ146" s="186">
        <v>5</v>
      </c>
      <c r="AK146" s="187">
        <v>10</v>
      </c>
      <c r="AL146" s="200">
        <f>SUMIFS(Table1[Column1],Table1[Date],'OEE AHV'!#REF!,Table1[M/C],'OEE AHV'!#REF!,Table1[Case downtime],'OEE AHV'!AL$2)</f>
        <v>0</v>
      </c>
      <c r="AM146" s="200">
        <f>SUMIFS(Table1[Column1],Table1[Date],'OEE AHV'!#REF!,Table1[M/C],'OEE AHV'!#REF!,Table1[Case downtime],'OEE AHV'!AM$2)</f>
        <v>0</v>
      </c>
      <c r="AN146" s="200">
        <f>SUMIFS(Table1[Column1],Table1[Date],'OEE AHV'!#REF!,Table1[M/C],'OEE AHV'!#REF!,Table1[Case downtime],'OEE AHV'!AN$2)</f>
        <v>0</v>
      </c>
      <c r="AO146" s="200">
        <f>SUMIFS(Table1[Column1],Table1[Date],'OEE AHV'!#REF!,Table1[M/C],'OEE AHV'!#REF!,Table1[Case downtime],'OEE AHV'!AO$2)</f>
        <v>0</v>
      </c>
      <c r="AP146" s="200">
        <f>SUMIFS(Table1[Column1],Table1[Date],'OEE AHV'!#REF!,Table1[M/C],'OEE AHV'!#REF!,Table1[Case downtime],'OEE AHV'!AP$2)</f>
        <v>0</v>
      </c>
      <c r="AQ146" s="200">
        <f>SUMIFS(Table1[Column1],Table1[Date],'OEE AHV'!#REF!,Table1[M/C],'OEE AHV'!#REF!,Table1[Case downtime],'OEE AHV'!AQ$2)</f>
        <v>0</v>
      </c>
      <c r="AR146" s="200">
        <f>SUMIFS(Table1[Column1],Table1[Date],'OEE AHV'!#REF!,Table1[M/C],'OEE AHV'!#REF!,Table1[Case downtime],'OEE AHV'!AR$2)</f>
        <v>0</v>
      </c>
      <c r="AS146" s="200">
        <f>SUMIFS(Table1[Column1],Table1[Date],'OEE AHV'!#REF!,Table1[M/C],'OEE AHV'!#REF!,Table1[Case downtime],'OEE AHV'!AS$2)</f>
        <v>0</v>
      </c>
      <c r="AT146" s="200">
        <f>SUMIFS(Table1[Column1],Table1[Date],'OEE AHV'!#REF!,Table1[M/C],'OEE AHV'!#REF!,Table1[Case downtime],'OEE AHV'!AT$2)</f>
        <v>0</v>
      </c>
      <c r="AU146" s="200">
        <f>SUMIFS(Table1[Column1],Table1[Date],'OEE AHV'!#REF!,Table1[M/C],'OEE AHV'!#REF!,Table1[Case downtime],'OEE AHV'!AU$2)</f>
        <v>0</v>
      </c>
      <c r="AV146" s="200">
        <f>SUMIFS(Table1[Column1],Table1[Date],'OEE AHV'!#REF!,Table1[M/C],'OEE AHV'!#REF!,Table1[Case downtime],'OEE AHV'!AV$2)</f>
        <v>0</v>
      </c>
      <c r="AW146" s="200">
        <f>SUMIFS(Table1[Column1],Table1[Date],'OEE AHV'!#REF!,Table1[M/C],'OEE AHV'!#REF!,Table1[Case downtime],'OEE AHV'!AW$2)</f>
        <v>0</v>
      </c>
      <c r="AX146" s="204">
        <f>SUMIFS(Table1[Column1],Table1[Date],'OEE AHV'!#REF!,Table1[M/C],'OEE AHV'!#REF!,Table1[Case downtime],'OEE AHV'!AX$2)</f>
        <v>0</v>
      </c>
    </row>
    <row r="147" spans="2:50">
      <c r="Q147" s="50"/>
    </row>
  </sheetData>
  <mergeCells count="4">
    <mergeCell ref="N1:P1"/>
    <mergeCell ref="AL1:AX1"/>
    <mergeCell ref="Z1:AD1"/>
    <mergeCell ref="AE1:AK1"/>
  </mergeCells>
  <conditionalFormatting sqref="U1:V1048576 X1:X1048576">
    <cfRule type="cellIs" dxfId="34" priority="14" operator="lessThan">
      <formula>0.65</formula>
    </cfRule>
  </conditionalFormatting>
  <conditionalFormatting sqref="U3:X146">
    <cfRule type="cellIs" dxfId="33" priority="15" operator="greaterThan">
      <formula>1</formula>
    </cfRule>
  </conditionalFormatting>
  <conditionalFormatting sqref="AL3:AX146">
    <cfRule type="cellIs" dxfId="32" priority="16" operator="greaterThan">
      <formula>0</formula>
    </cfRule>
  </conditionalFormatting>
  <printOptions horizontalCentered="1" verticalCentered="1"/>
  <pageMargins left="0" right="0" top="0" bottom="0" header="0.31496062992125984" footer="0.31496062992125984"/>
  <pageSetup paperSize="11" scale="3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58"/>
  <sheetViews>
    <sheetView zoomScale="85" zoomScaleNormal="85" workbookViewId="0">
      <pane ySplit="1" topLeftCell="A2" activePane="bottomLeft" state="frozen"/>
      <selection pane="bottomLeft" activeCell="E29" sqref="E29"/>
    </sheetView>
  </sheetViews>
  <sheetFormatPr defaultColWidth="9.140625" defaultRowHeight="15"/>
  <cols>
    <col min="1" max="1" width="14.42578125" style="46" customWidth="1"/>
    <col min="2" max="18" width="12.7109375" style="46" customWidth="1"/>
    <col min="19" max="19" width="12.7109375" style="49" customWidth="1"/>
    <col min="20" max="20" width="12.7109375" style="46" customWidth="1"/>
    <col min="21" max="21" width="14.42578125" style="46" customWidth="1"/>
    <col min="22" max="16384" width="9.140625" style="32"/>
  </cols>
  <sheetData>
    <row r="1" spans="1:21" ht="60">
      <c r="A1" s="27" t="s">
        <v>120</v>
      </c>
      <c r="B1" s="28" t="s">
        <v>98</v>
      </c>
      <c r="C1" s="29" t="s">
        <v>99</v>
      </c>
      <c r="D1" s="30" t="s">
        <v>100</v>
      </c>
      <c r="E1" s="29" t="s">
        <v>101</v>
      </c>
      <c r="F1" s="30" t="s">
        <v>102</v>
      </c>
      <c r="G1" s="30" t="s">
        <v>103</v>
      </c>
      <c r="H1" s="29" t="s">
        <v>104</v>
      </c>
      <c r="I1" s="29" t="s">
        <v>105</v>
      </c>
      <c r="J1" s="30" t="s">
        <v>106</v>
      </c>
      <c r="K1" s="30" t="s">
        <v>107</v>
      </c>
      <c r="L1" s="29" t="s">
        <v>108</v>
      </c>
      <c r="M1" s="29" t="s">
        <v>109</v>
      </c>
      <c r="N1" s="29" t="s">
        <v>110</v>
      </c>
      <c r="O1" s="29" t="s">
        <v>111</v>
      </c>
      <c r="P1" s="29" t="s">
        <v>112</v>
      </c>
      <c r="Q1" s="29" t="s">
        <v>113</v>
      </c>
      <c r="R1" s="29" t="s">
        <v>114</v>
      </c>
      <c r="S1" s="47" t="s">
        <v>115</v>
      </c>
      <c r="T1" s="29" t="s">
        <v>116</v>
      </c>
      <c r="U1" s="31" t="s">
        <v>117</v>
      </c>
    </row>
    <row r="2" spans="1:21" ht="18.75">
      <c r="A2" s="44">
        <v>46055</v>
      </c>
      <c r="B2" s="34">
        <f>SUMIFS('OEE AHV'!J:J,'OEE AHV'!$B:$B,'AHV-01'!$A2,'OEE AHV'!$D:$D,'AHV-01'!$A$1)</f>
        <v>92.611979166666671</v>
      </c>
      <c r="C2" s="35">
        <f t="shared" ref="C2:C25" si="0">AVERAGEIF($B:$B,"&gt;0")</f>
        <v>101.84524197048613</v>
      </c>
      <c r="D2" s="34">
        <f t="shared" ref="D2:D4" si="1">ROUNDDOWN((K2/750)+(F2/240)+(F2/240),"0")</f>
        <v>29</v>
      </c>
      <c r="E2" s="36">
        <f t="shared" ref="E2:E25" si="2">AVERAGEIF($D:$D,"&gt;0")</f>
        <v>32</v>
      </c>
      <c r="F2" s="34">
        <f>SUMIFS('OEE AHV'!M:M,'OEE AHV'!$B:$B,'AHV-01'!$A2,'OEE AHV'!$D:$D,'AHV-01'!$A$1)</f>
        <v>1128.3880208333333</v>
      </c>
      <c r="G2" s="37">
        <f t="shared" ref="G2:G25" si="3">ROUNDUP((1400-F2)-(F2*0.5%),"0")</f>
        <v>266</v>
      </c>
      <c r="H2" s="38">
        <f t="shared" ref="H2:H25" si="4">IFERROR(IF(AND(F2="",G2="")=TRUE,"",F2/(1440-G2)),"")</f>
        <v>0.9611482289892106</v>
      </c>
      <c r="I2" s="38">
        <f>95%</f>
        <v>0.95</v>
      </c>
      <c r="J2" s="39"/>
      <c r="K2" s="40">
        <f>SUMIFS('OEE AHV'!Q:Q,'OEE AHV'!$B:$B,'AHV-01'!$A2,'OEE AHV'!$D:$D,'AHV-01'!$A$1)</f>
        <v>14836</v>
      </c>
      <c r="L2" s="38">
        <f t="shared" ref="L2:L25" si="5">IF(AND(J2="",K2="")=TRUE,"",IF(OR(J2="MMS",K2="MMS")=TRUE,"",IFERROR(K2/((F2*60)/J2),1)))</f>
        <v>1</v>
      </c>
      <c r="M2" s="38">
        <f>99%</f>
        <v>0.99</v>
      </c>
      <c r="N2" s="41" t="s">
        <v>118</v>
      </c>
      <c r="O2" s="38">
        <f t="shared" ref="O2:O25" si="6">IF(N2="","",IF(N2="MMS","",IFERROR((K2-N2)/K2,1)))</f>
        <v>1</v>
      </c>
      <c r="P2" s="38">
        <f>100%</f>
        <v>1</v>
      </c>
      <c r="Q2" s="38">
        <f t="shared" ref="Q2:R11" si="7">IFERROR(IF(AND(H2="",L2="",O2="")=TRUE,"",IF(H2="",1,H2)*IF(L2="",1,L2)*IF(O2="",1,O2)),"")</f>
        <v>0.9611482289892106</v>
      </c>
      <c r="R2" s="38">
        <f t="shared" si="7"/>
        <v>0.9405</v>
      </c>
      <c r="S2" s="42">
        <f>ROUNDUP((('AHV-01'!$F2/480)/3),"0")</f>
        <v>1</v>
      </c>
      <c r="T2" s="43">
        <f t="shared" ref="T2:T25" si="8">IFERROR(K2/S2,"")</f>
        <v>14836</v>
      </c>
      <c r="U2" s="33" t="s">
        <v>119</v>
      </c>
    </row>
    <row r="3" spans="1:21" ht="18.75">
      <c r="A3" s="44">
        <v>46056</v>
      </c>
      <c r="B3" s="34">
        <f>SUMIFS('OEE AHV'!J:J,'OEE AHV'!$B:$B,'AHV-01'!$A3,'OEE AHV'!$D:$D,'AHV-01'!$A$1)</f>
        <v>101.9453125</v>
      </c>
      <c r="C3" s="35">
        <f t="shared" si="0"/>
        <v>101.84524197048613</v>
      </c>
      <c r="D3" s="34">
        <f t="shared" si="1"/>
        <v>32</v>
      </c>
      <c r="E3" s="36">
        <f t="shared" si="2"/>
        <v>32</v>
      </c>
      <c r="F3" s="34">
        <f>SUMIFS('OEE AHV'!M:M,'OEE AHV'!$B:$B,'AHV-01'!$A3,'OEE AHV'!$D:$D,'AHV-01'!$A$1)</f>
        <v>1198.0546875</v>
      </c>
      <c r="G3" s="37">
        <f t="shared" si="3"/>
        <v>196</v>
      </c>
      <c r="H3" s="38">
        <f t="shared" si="4"/>
        <v>0.96306646905144699</v>
      </c>
      <c r="I3" s="38">
        <f t="shared" ref="I3:I25" si="9">I2</f>
        <v>0.95</v>
      </c>
      <c r="J3" s="39"/>
      <c r="K3" s="40">
        <f>SUMIFS('OEE AHV'!Q:Q,'OEE AHV'!$B:$B,'AHV-01'!$A3,'OEE AHV'!$D:$D,'AHV-01'!$A$1)</f>
        <v>16884</v>
      </c>
      <c r="L3" s="38">
        <f t="shared" si="5"/>
        <v>1</v>
      </c>
      <c r="M3" s="38">
        <f t="shared" ref="M3:M25" si="10">M2</f>
        <v>0.99</v>
      </c>
      <c r="N3" s="41" t="s">
        <v>118</v>
      </c>
      <c r="O3" s="38">
        <f t="shared" si="6"/>
        <v>1</v>
      </c>
      <c r="P3" s="38">
        <f t="shared" ref="P3:P25" si="11">P2</f>
        <v>1</v>
      </c>
      <c r="Q3" s="38">
        <f t="shared" si="7"/>
        <v>0.96306646905144699</v>
      </c>
      <c r="R3" s="38">
        <f t="shared" si="7"/>
        <v>0.9405</v>
      </c>
      <c r="S3" s="42">
        <f>ROUNDUP((('AHV-01'!$F3/480)/3),"0")</f>
        <v>1</v>
      </c>
      <c r="T3" s="43">
        <f t="shared" si="8"/>
        <v>16884</v>
      </c>
      <c r="U3" s="33" t="str">
        <f t="shared" ref="U3:U25" si="12">U2</f>
        <v>FY2025_MLS_Spindle Motor_Spindle Motor(FDB UNIT)_Bang Pa-in</v>
      </c>
    </row>
    <row r="4" spans="1:21" ht="18.75">
      <c r="A4" s="44">
        <v>46057</v>
      </c>
      <c r="B4" s="34">
        <f>SUMIFS('OEE AHV'!J:J,'OEE AHV'!$B:$B,'AHV-01'!$A4,'OEE AHV'!$D:$D,'AHV-01'!$A$1)</f>
        <v>99.630208333333329</v>
      </c>
      <c r="C4" s="35">
        <f t="shared" si="0"/>
        <v>101.84524197048613</v>
      </c>
      <c r="D4" s="34">
        <f t="shared" si="1"/>
        <v>30</v>
      </c>
      <c r="E4" s="36">
        <f t="shared" si="2"/>
        <v>32</v>
      </c>
      <c r="F4" s="34">
        <f>SUMIFS('OEE AHV'!M:M,'OEE AHV'!$B:$B,'AHV-01'!$A4,'OEE AHV'!$D:$D,'AHV-01'!$A$1)</f>
        <v>1086.3697916666667</v>
      </c>
      <c r="G4" s="37">
        <f t="shared" si="3"/>
        <v>309</v>
      </c>
      <c r="H4" s="38">
        <f t="shared" si="4"/>
        <v>0.96053916150898921</v>
      </c>
      <c r="I4" s="38">
        <f t="shared" si="9"/>
        <v>0.95</v>
      </c>
      <c r="J4" s="39"/>
      <c r="K4" s="40">
        <f>SUMIFS('OEE AHV'!Q:Q,'OEE AHV'!$B:$B,'AHV-01'!$A4,'OEE AHV'!$D:$D,'AHV-01'!$A$1)</f>
        <v>16376</v>
      </c>
      <c r="L4" s="38">
        <f t="shared" si="5"/>
        <v>1</v>
      </c>
      <c r="M4" s="38">
        <f t="shared" si="10"/>
        <v>0.99</v>
      </c>
      <c r="N4" s="41" t="s">
        <v>118</v>
      </c>
      <c r="O4" s="38">
        <f t="shared" si="6"/>
        <v>1</v>
      </c>
      <c r="P4" s="38">
        <f t="shared" si="11"/>
        <v>1</v>
      </c>
      <c r="Q4" s="38">
        <f t="shared" si="7"/>
        <v>0.96053916150898921</v>
      </c>
      <c r="R4" s="38">
        <f t="shared" si="7"/>
        <v>0.9405</v>
      </c>
      <c r="S4" s="42">
        <f>ROUNDUP((('AHV-01'!$F4/480)/3),"0")</f>
        <v>1</v>
      </c>
      <c r="T4" s="43">
        <f t="shared" si="8"/>
        <v>16376</v>
      </c>
      <c r="U4" s="33" t="str">
        <f t="shared" si="12"/>
        <v>FY2025_MLS_Spindle Motor_Spindle Motor(FDB UNIT)_Bang Pa-in</v>
      </c>
    </row>
    <row r="5" spans="1:21" ht="18.75">
      <c r="A5" s="44">
        <v>46058</v>
      </c>
      <c r="B5" s="34">
        <f>SUMIFS('OEE AHV'!J:J,'OEE AHV'!$B:$B,'AHV-01'!$A5,'OEE AHV'!$D:$D,'AHV-01'!$A$1)</f>
        <v>104.29231770833333</v>
      </c>
      <c r="C5" s="35">
        <f t="shared" si="0"/>
        <v>101.84524197048613</v>
      </c>
      <c r="D5" s="34">
        <f t="shared" ref="D5:D25" si="13">ROUNDDOWN((K5/750)+(F5/240)+(F5/240),"0")</f>
        <v>32</v>
      </c>
      <c r="E5" s="36">
        <f t="shared" si="2"/>
        <v>32</v>
      </c>
      <c r="F5" s="34">
        <f>SUMIFS('OEE AHV'!M:M,'OEE AHV'!$B:$B,'AHV-01'!$A5,'OEE AHV'!$D:$D,'AHV-01'!$A$1)</f>
        <v>1139.7076822916667</v>
      </c>
      <c r="G5" s="37">
        <f t="shared" si="3"/>
        <v>255</v>
      </c>
      <c r="H5" s="38">
        <f t="shared" si="4"/>
        <v>0.96177863484528836</v>
      </c>
      <c r="I5" s="38">
        <f t="shared" si="9"/>
        <v>0.95</v>
      </c>
      <c r="J5" s="39"/>
      <c r="K5" s="40">
        <f>SUMIFS('OEE AHV'!Q:Q,'OEE AHV'!$B:$B,'AHV-01'!$A5,'OEE AHV'!$D:$D,'AHV-01'!$A$1)</f>
        <v>17399</v>
      </c>
      <c r="L5" s="38">
        <f t="shared" si="5"/>
        <v>1</v>
      </c>
      <c r="M5" s="38">
        <f t="shared" si="10"/>
        <v>0.99</v>
      </c>
      <c r="N5" s="41" t="s">
        <v>118</v>
      </c>
      <c r="O5" s="38">
        <f t="shared" si="6"/>
        <v>1</v>
      </c>
      <c r="P5" s="38">
        <f t="shared" si="11"/>
        <v>1</v>
      </c>
      <c r="Q5" s="38">
        <f t="shared" si="7"/>
        <v>0.96177863484528836</v>
      </c>
      <c r="R5" s="38">
        <f t="shared" si="7"/>
        <v>0.9405</v>
      </c>
      <c r="S5" s="42">
        <f>ROUNDUP((('AHV-01'!$F5/480)/3),"0")</f>
        <v>1</v>
      </c>
      <c r="T5" s="43">
        <f t="shared" si="8"/>
        <v>17399</v>
      </c>
      <c r="U5" s="33" t="str">
        <f t="shared" si="12"/>
        <v>FY2025_MLS_Spindle Motor_Spindle Motor(FDB UNIT)_Bang Pa-in</v>
      </c>
    </row>
    <row r="6" spans="1:21" ht="18.75">
      <c r="A6" s="44">
        <v>46059</v>
      </c>
      <c r="B6" s="34">
        <f>SUMIFS('OEE AHV'!J:J,'OEE AHV'!$B:$B,'AHV-01'!$A6,'OEE AHV'!$D:$D,'AHV-01'!$A$1)</f>
        <v>97.310546875</v>
      </c>
      <c r="C6" s="35">
        <f t="shared" si="0"/>
        <v>101.84524197048613</v>
      </c>
      <c r="D6" s="34">
        <f t="shared" si="13"/>
        <v>30</v>
      </c>
      <c r="E6" s="36">
        <f t="shared" si="2"/>
        <v>32</v>
      </c>
      <c r="F6" s="34">
        <f>SUMIFS('OEE AHV'!M:M,'OEE AHV'!$B:$B,'AHV-01'!$A6,'OEE AHV'!$D:$D,'AHV-01'!$A$1)</f>
        <v>1064.689453125</v>
      </c>
      <c r="G6" s="37">
        <f t="shared" si="3"/>
        <v>330</v>
      </c>
      <c r="H6" s="38">
        <f t="shared" si="4"/>
        <v>0.95917968750000004</v>
      </c>
      <c r="I6" s="38">
        <f t="shared" si="9"/>
        <v>0.95</v>
      </c>
      <c r="J6" s="39"/>
      <c r="K6" s="40">
        <f>SUMIFS('OEE AHV'!Q:Q,'OEE AHV'!$B:$B,'AHV-01'!$A6,'OEE AHV'!$D:$D,'AHV-01'!$A$1)</f>
        <v>15867</v>
      </c>
      <c r="L6" s="38">
        <f t="shared" si="5"/>
        <v>1</v>
      </c>
      <c r="M6" s="38">
        <f t="shared" si="10"/>
        <v>0.99</v>
      </c>
      <c r="N6" s="41" t="s">
        <v>118</v>
      </c>
      <c r="O6" s="38">
        <f t="shared" si="6"/>
        <v>1</v>
      </c>
      <c r="P6" s="38">
        <f t="shared" si="11"/>
        <v>1</v>
      </c>
      <c r="Q6" s="38">
        <f t="shared" si="7"/>
        <v>0.95917968750000004</v>
      </c>
      <c r="R6" s="38">
        <f t="shared" si="7"/>
        <v>0.9405</v>
      </c>
      <c r="S6" s="42">
        <f>ROUNDUP((('AHV-01'!$F6/480)/3),"0")</f>
        <v>1</v>
      </c>
      <c r="T6" s="43">
        <f t="shared" si="8"/>
        <v>15867</v>
      </c>
      <c r="U6" s="33" t="str">
        <f t="shared" si="12"/>
        <v>FY2025_MLS_Spindle Motor_Spindle Motor(FDB UNIT)_Bang Pa-in</v>
      </c>
    </row>
    <row r="7" spans="1:21" ht="18.75">
      <c r="A7" s="44">
        <v>46060</v>
      </c>
      <c r="B7" s="34">
        <f>SUMIFS('OEE AHV'!J:J,'OEE AHV'!$B:$B,'AHV-01'!$A7,'OEE AHV'!$D:$D,'AHV-01'!$A$1)</f>
        <v>106.59375</v>
      </c>
      <c r="C7" s="35">
        <f t="shared" si="0"/>
        <v>101.84524197048613</v>
      </c>
      <c r="D7" s="34">
        <f t="shared" si="13"/>
        <v>34</v>
      </c>
      <c r="E7" s="36">
        <f t="shared" si="2"/>
        <v>32</v>
      </c>
      <c r="F7" s="34">
        <f>SUMIFS('OEE AHV'!M:M,'OEE AHV'!$B:$B,'AHV-01'!$A7,'OEE AHV'!$D:$D,'AHV-01'!$A$1)</f>
        <v>1288.40625</v>
      </c>
      <c r="G7" s="37">
        <f t="shared" si="3"/>
        <v>106</v>
      </c>
      <c r="H7" s="38">
        <f t="shared" si="4"/>
        <v>0.9658217766116941</v>
      </c>
      <c r="I7" s="38">
        <f t="shared" si="9"/>
        <v>0.95</v>
      </c>
      <c r="J7" s="39"/>
      <c r="K7" s="40">
        <f>SUMIFS('OEE AHV'!Q:Q,'OEE AHV'!$B:$B,'AHV-01'!$A7,'OEE AHV'!$D:$D,'AHV-01'!$A$1)</f>
        <v>17904</v>
      </c>
      <c r="L7" s="38">
        <f t="shared" si="5"/>
        <v>1</v>
      </c>
      <c r="M7" s="38">
        <f t="shared" si="10"/>
        <v>0.99</v>
      </c>
      <c r="N7" s="41" t="s">
        <v>118</v>
      </c>
      <c r="O7" s="38">
        <f t="shared" si="6"/>
        <v>1</v>
      </c>
      <c r="P7" s="38">
        <f t="shared" si="11"/>
        <v>1</v>
      </c>
      <c r="Q7" s="38">
        <f t="shared" si="7"/>
        <v>0.9658217766116941</v>
      </c>
      <c r="R7" s="38">
        <f t="shared" si="7"/>
        <v>0.9405</v>
      </c>
      <c r="S7" s="42">
        <f>ROUNDUP((('AHV-01'!$F7/480)/3),"0")</f>
        <v>1</v>
      </c>
      <c r="T7" s="43">
        <f t="shared" si="8"/>
        <v>17904</v>
      </c>
      <c r="U7" s="33" t="str">
        <f t="shared" si="12"/>
        <v>FY2025_MLS_Spindle Motor_Spindle Motor(FDB UNIT)_Bang Pa-in</v>
      </c>
    </row>
    <row r="8" spans="1:21" ht="18.75">
      <c r="A8" s="44">
        <v>46061</v>
      </c>
      <c r="B8" s="34">
        <f>SUMIFS('OEE AHV'!J:J,'OEE AHV'!$B:$B,'AHV-01'!$A8,'OEE AHV'!$D:$D,'AHV-01'!$A$1)</f>
        <v>55.296875</v>
      </c>
      <c r="C8" s="35">
        <f t="shared" si="0"/>
        <v>101.84524197048613</v>
      </c>
      <c r="D8" s="34">
        <f t="shared" si="13"/>
        <v>14</v>
      </c>
      <c r="E8" s="36">
        <f t="shared" si="2"/>
        <v>32</v>
      </c>
      <c r="F8" s="34">
        <f>SUMIFS('OEE AHV'!M:M,'OEE AHV'!$B:$B,'AHV-01'!$A8,'OEE AHV'!$D:$D,'AHV-01'!$A$1)</f>
        <v>664.703125</v>
      </c>
      <c r="G8" s="37">
        <f t="shared" si="3"/>
        <v>732</v>
      </c>
      <c r="H8" s="38">
        <f t="shared" si="4"/>
        <v>0.93884622175141241</v>
      </c>
      <c r="I8" s="38">
        <f t="shared" si="9"/>
        <v>0.95</v>
      </c>
      <c r="J8" s="39"/>
      <c r="K8" s="40">
        <f>SUMIFS('OEE AHV'!Q:Q,'OEE AHV'!$B:$B,'AHV-01'!$A8,'OEE AHV'!$D:$D,'AHV-01'!$A$1)</f>
        <v>6648</v>
      </c>
      <c r="L8" s="38">
        <f t="shared" si="5"/>
        <v>1</v>
      </c>
      <c r="M8" s="38">
        <f t="shared" si="10"/>
        <v>0.99</v>
      </c>
      <c r="N8" s="41" t="s">
        <v>118</v>
      </c>
      <c r="O8" s="38">
        <f t="shared" si="6"/>
        <v>1</v>
      </c>
      <c r="P8" s="38">
        <f t="shared" si="11"/>
        <v>1</v>
      </c>
      <c r="Q8" s="38">
        <f t="shared" si="7"/>
        <v>0.93884622175141241</v>
      </c>
      <c r="R8" s="38">
        <f t="shared" si="7"/>
        <v>0.9405</v>
      </c>
      <c r="S8" s="42">
        <f>ROUNDUP((('AHV-01'!$F8/480)/3),"0")</f>
        <v>1</v>
      </c>
      <c r="T8" s="43">
        <f t="shared" si="8"/>
        <v>6648</v>
      </c>
      <c r="U8" s="33" t="str">
        <f t="shared" si="12"/>
        <v>FY2025_MLS_Spindle Motor_Spindle Motor(FDB UNIT)_Bang Pa-in</v>
      </c>
    </row>
    <row r="9" spans="1:21" ht="18.75">
      <c r="A9" s="44">
        <v>46062</v>
      </c>
      <c r="B9" s="34">
        <f>SUMIFS('OEE AHV'!J:J,'OEE AHV'!$B:$B,'AHV-01'!$A9,'OEE AHV'!$D:$D,'AHV-01'!$A$1)</f>
        <v>108.92708333333333</v>
      </c>
      <c r="C9" s="35">
        <f t="shared" si="0"/>
        <v>101.84524197048613</v>
      </c>
      <c r="D9" s="34">
        <f t="shared" si="13"/>
        <v>35</v>
      </c>
      <c r="E9" s="36">
        <f t="shared" si="2"/>
        <v>32</v>
      </c>
      <c r="F9" s="34">
        <f>SUMIFS('OEE AHV'!M:M,'OEE AHV'!$B:$B,'AHV-01'!$A9,'OEE AHV'!$D:$D,'AHV-01'!$A$1)</f>
        <v>1299.0729166666667</v>
      </c>
      <c r="G9" s="37">
        <f t="shared" si="3"/>
        <v>95</v>
      </c>
      <c r="H9" s="38">
        <f t="shared" si="4"/>
        <v>0.96585346964064445</v>
      </c>
      <c r="I9" s="38">
        <f t="shared" si="9"/>
        <v>0.95</v>
      </c>
      <c r="J9" s="39"/>
      <c r="K9" s="40">
        <f>SUMIFS('OEE AHV'!Q:Q,'OEE AHV'!$B:$B,'AHV-01'!$A9,'OEE AHV'!$D:$D,'AHV-01'!$A$1)</f>
        <v>18416</v>
      </c>
      <c r="L9" s="38">
        <f t="shared" si="5"/>
        <v>1</v>
      </c>
      <c r="M9" s="38">
        <f t="shared" si="10"/>
        <v>0.99</v>
      </c>
      <c r="N9" s="41" t="s">
        <v>118</v>
      </c>
      <c r="O9" s="38">
        <f t="shared" si="6"/>
        <v>1</v>
      </c>
      <c r="P9" s="38">
        <f t="shared" si="11"/>
        <v>1</v>
      </c>
      <c r="Q9" s="38">
        <f t="shared" si="7"/>
        <v>0.96585346964064445</v>
      </c>
      <c r="R9" s="38">
        <f t="shared" si="7"/>
        <v>0.9405</v>
      </c>
      <c r="S9" s="42">
        <f>ROUNDUP((('AHV-01'!$F9/480)/3),"0")</f>
        <v>1</v>
      </c>
      <c r="T9" s="43">
        <f t="shared" si="8"/>
        <v>18416</v>
      </c>
      <c r="U9" s="33" t="str">
        <f t="shared" si="12"/>
        <v>FY2025_MLS_Spindle Motor_Spindle Motor(FDB UNIT)_Bang Pa-in</v>
      </c>
    </row>
    <row r="10" spans="1:21" ht="18.75">
      <c r="A10" s="44">
        <v>46063</v>
      </c>
      <c r="B10" s="34">
        <f>SUMIFS('OEE AHV'!J:J,'OEE AHV'!$B:$B,'AHV-01'!$A10,'OEE AHV'!$D:$D,'AHV-01'!$A$1)</f>
        <v>106.62565104166667</v>
      </c>
      <c r="C10" s="35">
        <f t="shared" si="0"/>
        <v>101.84524197048613</v>
      </c>
      <c r="D10" s="34">
        <f t="shared" si="13"/>
        <v>34</v>
      </c>
      <c r="E10" s="36">
        <f t="shared" si="2"/>
        <v>32</v>
      </c>
      <c r="F10" s="34">
        <f>SUMIFS('OEE AHV'!M:M,'OEE AHV'!$B:$B,'AHV-01'!$A10,'OEE AHV'!$D:$D,'AHV-01'!$A$1)</f>
        <v>1230.3743489583333</v>
      </c>
      <c r="G10" s="37">
        <f t="shared" si="3"/>
        <v>164</v>
      </c>
      <c r="H10" s="38">
        <f t="shared" si="4"/>
        <v>0.96424322018678155</v>
      </c>
      <c r="I10" s="38">
        <f t="shared" si="9"/>
        <v>0.95</v>
      </c>
      <c r="J10" s="39"/>
      <c r="K10" s="40">
        <f>SUMIFS('OEE AHV'!Q:Q,'OEE AHV'!$B:$B,'AHV-01'!$A10,'OEE AHV'!$D:$D,'AHV-01'!$A$1)</f>
        <v>17911</v>
      </c>
      <c r="L10" s="38">
        <f t="shared" si="5"/>
        <v>1</v>
      </c>
      <c r="M10" s="38">
        <f t="shared" si="10"/>
        <v>0.99</v>
      </c>
      <c r="N10" s="41" t="s">
        <v>118</v>
      </c>
      <c r="O10" s="38">
        <f t="shared" si="6"/>
        <v>1</v>
      </c>
      <c r="P10" s="38">
        <f t="shared" si="11"/>
        <v>1</v>
      </c>
      <c r="Q10" s="38">
        <f t="shared" si="7"/>
        <v>0.96424322018678155</v>
      </c>
      <c r="R10" s="38">
        <f t="shared" si="7"/>
        <v>0.9405</v>
      </c>
      <c r="S10" s="42">
        <f>ROUNDUP((('AHV-01'!$F10/480)/3),"0")</f>
        <v>1</v>
      </c>
      <c r="T10" s="43">
        <f t="shared" si="8"/>
        <v>17911</v>
      </c>
      <c r="U10" s="33" t="str">
        <f t="shared" si="12"/>
        <v>FY2025_MLS_Spindle Motor_Spindle Motor(FDB UNIT)_Bang Pa-in</v>
      </c>
    </row>
    <row r="11" spans="1:21" ht="18.75">
      <c r="A11" s="44">
        <v>46064</v>
      </c>
      <c r="B11" s="34">
        <f>SUMIFS('OEE AHV'!J:J,'OEE AHV'!$B:$B,'AHV-01'!$A11,'OEE AHV'!$D:$D,'AHV-01'!$A$1)</f>
        <v>111.27864583333334</v>
      </c>
      <c r="C11" s="35">
        <f t="shared" si="0"/>
        <v>101.84524197048613</v>
      </c>
      <c r="D11" s="34">
        <f t="shared" si="13"/>
        <v>36</v>
      </c>
      <c r="E11" s="36">
        <f t="shared" si="2"/>
        <v>32</v>
      </c>
      <c r="F11" s="34">
        <f>SUMIFS('OEE AHV'!M:M,'OEE AHV'!$B:$B,'AHV-01'!$A11,'OEE AHV'!$D:$D,'AHV-01'!$A$1)</f>
        <v>1328.7213541666667</v>
      </c>
      <c r="G11" s="37">
        <f t="shared" si="3"/>
        <v>65</v>
      </c>
      <c r="H11" s="38">
        <f t="shared" si="4"/>
        <v>0.96634280303030307</v>
      </c>
      <c r="I11" s="38">
        <f t="shared" si="9"/>
        <v>0.95</v>
      </c>
      <c r="J11" s="39"/>
      <c r="K11" s="40">
        <f>SUMIFS('OEE AHV'!Q:Q,'OEE AHV'!$B:$B,'AHV-01'!$A11,'OEE AHV'!$D:$D,'AHV-01'!$A$1)</f>
        <v>18932</v>
      </c>
      <c r="L11" s="38">
        <f t="shared" si="5"/>
        <v>1</v>
      </c>
      <c r="M11" s="38">
        <f t="shared" si="10"/>
        <v>0.99</v>
      </c>
      <c r="N11" s="41" t="s">
        <v>118</v>
      </c>
      <c r="O11" s="38">
        <f t="shared" si="6"/>
        <v>1</v>
      </c>
      <c r="P11" s="38">
        <f t="shared" si="11"/>
        <v>1</v>
      </c>
      <c r="Q11" s="38">
        <f t="shared" si="7"/>
        <v>0.96634280303030307</v>
      </c>
      <c r="R11" s="38">
        <f t="shared" si="7"/>
        <v>0.9405</v>
      </c>
      <c r="S11" s="42">
        <f>ROUNDUP((('AHV-01'!$F11/480)/3),"0")</f>
        <v>1</v>
      </c>
      <c r="T11" s="43">
        <f t="shared" si="8"/>
        <v>18932</v>
      </c>
      <c r="U11" s="33" t="str">
        <f t="shared" si="12"/>
        <v>FY2025_MLS_Spindle Motor_Spindle Motor(FDB UNIT)_Bang Pa-in</v>
      </c>
    </row>
    <row r="12" spans="1:21" ht="18.75">
      <c r="A12" s="44">
        <v>46065</v>
      </c>
      <c r="B12" s="34">
        <f>SUMIFS('OEE AHV'!J:J,'OEE AHV'!$B:$B,'AHV-01'!$A12,'OEE AHV'!$D:$D,'AHV-01'!$A$1)</f>
        <v>111.22395833333334</v>
      </c>
      <c r="C12" s="35">
        <f t="shared" si="0"/>
        <v>101.84524197048613</v>
      </c>
      <c r="D12" s="34">
        <f t="shared" si="13"/>
        <v>36</v>
      </c>
      <c r="E12" s="36">
        <f t="shared" si="2"/>
        <v>32</v>
      </c>
      <c r="F12" s="34">
        <f>SUMIFS('OEE AHV'!M:M,'OEE AHV'!$B:$B,'AHV-01'!$A12,'OEE AHV'!$D:$D,'AHV-01'!$A$1)</f>
        <v>1328.7760416666667</v>
      </c>
      <c r="G12" s="37">
        <f t="shared" si="3"/>
        <v>65</v>
      </c>
      <c r="H12" s="38">
        <f t="shared" si="4"/>
        <v>0.9663825757575758</v>
      </c>
      <c r="I12" s="38">
        <f t="shared" si="9"/>
        <v>0.95</v>
      </c>
      <c r="J12" s="39"/>
      <c r="K12" s="40">
        <f>SUMIFS('OEE AHV'!Q:Q,'OEE AHV'!$B:$B,'AHV-01'!$A12,'OEE AHV'!$D:$D,'AHV-01'!$A$1)</f>
        <v>18920</v>
      </c>
      <c r="L12" s="38">
        <f t="shared" si="5"/>
        <v>1</v>
      </c>
      <c r="M12" s="38">
        <f t="shared" si="10"/>
        <v>0.99</v>
      </c>
      <c r="N12" s="41" t="s">
        <v>118</v>
      </c>
      <c r="O12" s="38">
        <f t="shared" si="6"/>
        <v>1</v>
      </c>
      <c r="P12" s="38">
        <f t="shared" si="11"/>
        <v>1</v>
      </c>
      <c r="Q12" s="38">
        <f t="shared" ref="Q12:R25" si="14">IFERROR(IF(AND(H12="",L12="",O12="")=TRUE,"",IF(H12="",1,H12)*IF(L12="",1,L12)*IF(O12="",1,O12)),"")</f>
        <v>0.9663825757575758</v>
      </c>
      <c r="R12" s="38">
        <f t="shared" si="14"/>
        <v>0.9405</v>
      </c>
      <c r="S12" s="42">
        <f>ROUNDUP((('AHV-01'!$F12/480)/3),"0")</f>
        <v>1</v>
      </c>
      <c r="T12" s="43">
        <f t="shared" si="8"/>
        <v>18920</v>
      </c>
      <c r="U12" s="33" t="str">
        <f t="shared" si="12"/>
        <v>FY2025_MLS_Spindle Motor_Spindle Motor(FDB UNIT)_Bang Pa-in</v>
      </c>
    </row>
    <row r="13" spans="1:21" ht="18.75">
      <c r="A13" s="44">
        <v>46066</v>
      </c>
      <c r="B13" s="34">
        <f>SUMIFS('OEE AHV'!J:J,'OEE AHV'!$B:$B,'AHV-01'!$A13,'OEE AHV'!$D:$D,'AHV-01'!$A$1)</f>
        <v>108.92252604166666</v>
      </c>
      <c r="C13" s="35">
        <f t="shared" si="0"/>
        <v>101.84524197048613</v>
      </c>
      <c r="D13" s="34">
        <f t="shared" si="13"/>
        <v>35</v>
      </c>
      <c r="E13" s="36">
        <f t="shared" si="2"/>
        <v>32</v>
      </c>
      <c r="F13" s="34">
        <f>SUMIFS('OEE AHV'!M:M,'OEE AHV'!$B:$B,'AHV-01'!$A13,'OEE AHV'!$D:$D,'AHV-01'!$A$1)</f>
        <v>1311.0774739583333</v>
      </c>
      <c r="G13" s="37">
        <f t="shared" si="3"/>
        <v>83</v>
      </c>
      <c r="H13" s="38">
        <f t="shared" si="4"/>
        <v>0.96615878699950863</v>
      </c>
      <c r="I13" s="38">
        <f t="shared" si="9"/>
        <v>0.95</v>
      </c>
      <c r="J13" s="39"/>
      <c r="K13" s="40">
        <f>SUMIFS('OEE AHV'!Q:Q,'OEE AHV'!$B:$B,'AHV-01'!$A13,'OEE AHV'!$D:$D,'AHV-01'!$A$1)</f>
        <v>18415</v>
      </c>
      <c r="L13" s="38">
        <f t="shared" si="5"/>
        <v>1</v>
      </c>
      <c r="M13" s="38">
        <f t="shared" si="10"/>
        <v>0.99</v>
      </c>
      <c r="N13" s="41" t="s">
        <v>118</v>
      </c>
      <c r="O13" s="38">
        <f t="shared" si="6"/>
        <v>1</v>
      </c>
      <c r="P13" s="38">
        <f t="shared" si="11"/>
        <v>1</v>
      </c>
      <c r="Q13" s="38">
        <f t="shared" si="14"/>
        <v>0.96615878699950863</v>
      </c>
      <c r="R13" s="38">
        <f t="shared" si="14"/>
        <v>0.9405</v>
      </c>
      <c r="S13" s="42">
        <f>ROUNDUP((('AHV-01'!$F13/480)/3),"0")</f>
        <v>1</v>
      </c>
      <c r="T13" s="43">
        <f t="shared" si="8"/>
        <v>18415</v>
      </c>
      <c r="U13" s="33" t="str">
        <f t="shared" si="12"/>
        <v>FY2025_MLS_Spindle Motor_Spindle Motor(FDB UNIT)_Bang Pa-in</v>
      </c>
    </row>
    <row r="14" spans="1:21" ht="18.75">
      <c r="A14" s="44">
        <v>46067</v>
      </c>
      <c r="B14" s="34">
        <f>SUMIFS('OEE AHV'!J:J,'OEE AHV'!$B:$B,'AHV-01'!$A14,'OEE AHV'!$D:$D,'AHV-01'!$A$1)</f>
        <v>111.255859375</v>
      </c>
      <c r="C14" s="35">
        <f t="shared" si="0"/>
        <v>101.84524197048613</v>
      </c>
      <c r="D14" s="34">
        <f t="shared" si="13"/>
        <v>36</v>
      </c>
      <c r="E14" s="36">
        <f t="shared" si="2"/>
        <v>32</v>
      </c>
      <c r="F14" s="34">
        <f>SUMIFS('OEE AHV'!M:M,'OEE AHV'!$B:$B,'AHV-01'!$A14,'OEE AHV'!$D:$D,'AHV-01'!$A$1)</f>
        <v>1328.744140625</v>
      </c>
      <c r="G14" s="37">
        <f t="shared" si="3"/>
        <v>65</v>
      </c>
      <c r="H14" s="38">
        <f t="shared" si="4"/>
        <v>0.96635937500000002</v>
      </c>
      <c r="I14" s="38">
        <f t="shared" si="9"/>
        <v>0.95</v>
      </c>
      <c r="J14" s="39"/>
      <c r="K14" s="40">
        <f>SUMIFS('OEE AHV'!Q:Q,'OEE AHV'!$B:$B,'AHV-01'!$A14,'OEE AHV'!$D:$D,'AHV-01'!$A$1)</f>
        <v>18927</v>
      </c>
      <c r="L14" s="38">
        <f t="shared" si="5"/>
        <v>1</v>
      </c>
      <c r="M14" s="38">
        <f t="shared" si="10"/>
        <v>0.99</v>
      </c>
      <c r="N14" s="41" t="s">
        <v>118</v>
      </c>
      <c r="O14" s="38">
        <f t="shared" si="6"/>
        <v>1</v>
      </c>
      <c r="P14" s="38">
        <f t="shared" si="11"/>
        <v>1</v>
      </c>
      <c r="Q14" s="38">
        <f t="shared" si="14"/>
        <v>0.96635937500000002</v>
      </c>
      <c r="R14" s="38">
        <f t="shared" si="14"/>
        <v>0.9405</v>
      </c>
      <c r="S14" s="42">
        <f>ROUNDUP((('AHV-01'!$F14/480)/3),"0")</f>
        <v>1</v>
      </c>
      <c r="T14" s="43">
        <f t="shared" si="8"/>
        <v>18927</v>
      </c>
      <c r="U14" s="33" t="str">
        <f t="shared" si="12"/>
        <v>FY2025_MLS_Spindle Motor_Spindle Motor(FDB UNIT)_Bang Pa-in</v>
      </c>
    </row>
    <row r="15" spans="1:21" ht="18.75">
      <c r="A15" s="44">
        <v>46069</v>
      </c>
      <c r="B15" s="34">
        <f>SUMIFS('OEE AHV'!J:J,'OEE AHV'!$B:$B,'AHV-01'!$A15,'OEE AHV'!$D:$D,'AHV-01'!$A$1)</f>
        <v>106.54361979166666</v>
      </c>
      <c r="C15" s="35">
        <f t="shared" si="0"/>
        <v>101.84524197048613</v>
      </c>
      <c r="D15" s="34">
        <f t="shared" si="13"/>
        <v>34</v>
      </c>
      <c r="E15" s="36">
        <f t="shared" si="2"/>
        <v>32</v>
      </c>
      <c r="F15" s="34">
        <f>SUMIFS('OEE AHV'!M:M,'OEE AHV'!$B:$B,'AHV-01'!$A15,'OEE AHV'!$D:$D,'AHV-01'!$A$1)</f>
        <v>1333.4563802083333</v>
      </c>
      <c r="G15" s="37">
        <f t="shared" si="3"/>
        <v>60</v>
      </c>
      <c r="H15" s="38">
        <f t="shared" si="4"/>
        <v>0.96627273928140089</v>
      </c>
      <c r="I15" s="38">
        <f t="shared" si="9"/>
        <v>0.95</v>
      </c>
      <c r="J15" s="39"/>
      <c r="K15" s="40">
        <f>SUMIFS('OEE AHV'!Q:Q,'OEE AHV'!$B:$B,'AHV-01'!$A15,'OEE AHV'!$D:$D,'AHV-01'!$A$1)</f>
        <v>17893</v>
      </c>
      <c r="L15" s="38">
        <f t="shared" si="5"/>
        <v>1</v>
      </c>
      <c r="M15" s="38">
        <f t="shared" si="10"/>
        <v>0.99</v>
      </c>
      <c r="N15" s="41" t="s">
        <v>118</v>
      </c>
      <c r="O15" s="38">
        <f t="shared" si="6"/>
        <v>1</v>
      </c>
      <c r="P15" s="38">
        <f t="shared" si="11"/>
        <v>1</v>
      </c>
      <c r="Q15" s="38">
        <f t="shared" si="14"/>
        <v>0.96627273928140089</v>
      </c>
      <c r="R15" s="38">
        <f t="shared" si="14"/>
        <v>0.9405</v>
      </c>
      <c r="S15" s="42">
        <f>ROUNDUP((('AHV-01'!$F15/480)/3),"0")</f>
        <v>1</v>
      </c>
      <c r="T15" s="43">
        <f t="shared" si="8"/>
        <v>17893</v>
      </c>
      <c r="U15" s="33" t="str">
        <f t="shared" si="12"/>
        <v>FY2025_MLS_Spindle Motor_Spindle Motor(FDB UNIT)_Bang Pa-in</v>
      </c>
    </row>
    <row r="16" spans="1:21" ht="18.75">
      <c r="A16" s="44">
        <v>46070</v>
      </c>
      <c r="B16" s="34">
        <f>SUMIFS('OEE AHV'!J:J,'OEE AHV'!$B:$B,'AHV-01'!$A16,'OEE AHV'!$D:$D,'AHV-01'!$A$1)</f>
        <v>108.96354166666667</v>
      </c>
      <c r="C16" s="35">
        <f t="shared" si="0"/>
        <v>101.84524197048613</v>
      </c>
      <c r="D16" s="34">
        <f t="shared" si="13"/>
        <v>35</v>
      </c>
      <c r="E16" s="36">
        <f t="shared" si="2"/>
        <v>32</v>
      </c>
      <c r="F16" s="34">
        <f>SUMIFS('OEE AHV'!M:M,'OEE AHV'!$B:$B,'AHV-01'!$A16,'OEE AHV'!$D:$D,'AHV-01'!$A$1)</f>
        <v>1257.0364583333333</v>
      </c>
      <c r="G16" s="37">
        <f t="shared" si="3"/>
        <v>137</v>
      </c>
      <c r="H16" s="38">
        <f t="shared" si="4"/>
        <v>0.96472483371706308</v>
      </c>
      <c r="I16" s="38">
        <f t="shared" si="9"/>
        <v>0.95</v>
      </c>
      <c r="J16" s="39"/>
      <c r="K16" s="40">
        <f>SUMIFS('OEE AHV'!Q:Q,'OEE AHV'!$B:$B,'AHV-01'!$A16,'OEE AHV'!$D:$D,'AHV-01'!$A$1)</f>
        <v>18424</v>
      </c>
      <c r="L16" s="38">
        <f t="shared" si="5"/>
        <v>1</v>
      </c>
      <c r="M16" s="38">
        <f t="shared" si="10"/>
        <v>0.99</v>
      </c>
      <c r="N16" s="41" t="s">
        <v>118</v>
      </c>
      <c r="O16" s="38">
        <f t="shared" si="6"/>
        <v>1</v>
      </c>
      <c r="P16" s="38">
        <f t="shared" si="11"/>
        <v>1</v>
      </c>
      <c r="Q16" s="38">
        <f t="shared" si="14"/>
        <v>0.96472483371706308</v>
      </c>
      <c r="R16" s="38">
        <f t="shared" si="14"/>
        <v>0.9405</v>
      </c>
      <c r="S16" s="42">
        <f>ROUNDUP((('AHV-01'!$F16/480)/3),"0")</f>
        <v>1</v>
      </c>
      <c r="T16" s="43">
        <f t="shared" si="8"/>
        <v>18424</v>
      </c>
      <c r="U16" s="33" t="str">
        <f t="shared" si="12"/>
        <v>FY2025_MLS_Spindle Motor_Spindle Motor(FDB UNIT)_Bang Pa-in</v>
      </c>
    </row>
    <row r="17" spans="1:21" ht="18.75">
      <c r="A17" s="44">
        <v>46071</v>
      </c>
      <c r="B17" s="34">
        <f>SUMIFS('OEE AHV'!J:J,'OEE AHV'!$B:$B,'AHV-01'!$A17,'OEE AHV'!$D:$D,'AHV-01'!$A$1)</f>
        <v>106.63020833333334</v>
      </c>
      <c r="C17" s="35">
        <f t="shared" si="0"/>
        <v>101.84524197048613</v>
      </c>
      <c r="D17" s="34">
        <f t="shared" si="13"/>
        <v>34</v>
      </c>
      <c r="E17" s="36">
        <f t="shared" si="2"/>
        <v>32</v>
      </c>
      <c r="F17" s="34">
        <f>SUMIFS('OEE AHV'!M:M,'OEE AHV'!$B:$B,'AHV-01'!$A17,'OEE AHV'!$D:$D,'AHV-01'!$A$1)</f>
        <v>1264.3697916666667</v>
      </c>
      <c r="G17" s="37">
        <f t="shared" si="3"/>
        <v>130</v>
      </c>
      <c r="H17" s="38">
        <f t="shared" si="4"/>
        <v>0.96516777989821889</v>
      </c>
      <c r="I17" s="38">
        <f t="shared" si="9"/>
        <v>0.95</v>
      </c>
      <c r="J17" s="39"/>
      <c r="K17" s="40">
        <f>SUMIFS('OEE AHV'!Q:Q,'OEE AHV'!$B:$B,'AHV-01'!$A17,'OEE AHV'!$D:$D,'AHV-01'!$A$1)</f>
        <v>17912</v>
      </c>
      <c r="L17" s="38">
        <f t="shared" si="5"/>
        <v>1</v>
      </c>
      <c r="M17" s="38">
        <f t="shared" si="10"/>
        <v>0.99</v>
      </c>
      <c r="N17" s="41" t="s">
        <v>118</v>
      </c>
      <c r="O17" s="38">
        <f t="shared" si="6"/>
        <v>1</v>
      </c>
      <c r="P17" s="38">
        <f t="shared" si="11"/>
        <v>1</v>
      </c>
      <c r="Q17" s="38">
        <f t="shared" si="14"/>
        <v>0.96516777989821889</v>
      </c>
      <c r="R17" s="38">
        <f t="shared" si="14"/>
        <v>0.9405</v>
      </c>
      <c r="S17" s="42">
        <f>ROUNDUP((('AHV-01'!$F17/480)/3),"0")</f>
        <v>1</v>
      </c>
      <c r="T17" s="43">
        <f t="shared" si="8"/>
        <v>17912</v>
      </c>
      <c r="U17" s="33" t="str">
        <f t="shared" si="12"/>
        <v>FY2025_MLS_Spindle Motor_Spindle Motor(FDB UNIT)_Bang Pa-in</v>
      </c>
    </row>
    <row r="18" spans="1:21" ht="18.75">
      <c r="A18" s="44">
        <v>46072</v>
      </c>
      <c r="B18" s="34">
        <f>SUMIFS('OEE AHV'!J:J,'OEE AHV'!$B:$B,'AHV-01'!$A18,'OEE AHV'!$D:$D,'AHV-01'!$A$1)</f>
        <v>106.59375</v>
      </c>
      <c r="C18" s="35">
        <f t="shared" si="0"/>
        <v>101.84524197048613</v>
      </c>
      <c r="D18" s="34">
        <f t="shared" si="13"/>
        <v>34</v>
      </c>
      <c r="E18" s="36">
        <f t="shared" si="2"/>
        <v>32</v>
      </c>
      <c r="F18" s="34">
        <f>SUMIFS('OEE AHV'!M:M,'OEE AHV'!$B:$B,'AHV-01'!$A18,'OEE AHV'!$D:$D,'AHV-01'!$A$1)</f>
        <v>1243.40625</v>
      </c>
      <c r="G18" s="37">
        <f t="shared" si="3"/>
        <v>151</v>
      </c>
      <c r="H18" s="38">
        <f t="shared" si="4"/>
        <v>0.96462858805275409</v>
      </c>
      <c r="I18" s="38">
        <f t="shared" si="9"/>
        <v>0.95</v>
      </c>
      <c r="J18" s="39"/>
      <c r="K18" s="40">
        <f>SUMIFS('OEE AHV'!Q:Q,'OEE AHV'!$B:$B,'AHV-01'!$A18,'OEE AHV'!$D:$D,'AHV-01'!$A$1)</f>
        <v>17904</v>
      </c>
      <c r="L18" s="38">
        <f t="shared" si="5"/>
        <v>1</v>
      </c>
      <c r="M18" s="38">
        <f t="shared" si="10"/>
        <v>0.99</v>
      </c>
      <c r="N18" s="41" t="s">
        <v>118</v>
      </c>
      <c r="O18" s="38">
        <f t="shared" si="6"/>
        <v>1</v>
      </c>
      <c r="P18" s="38">
        <f t="shared" si="11"/>
        <v>1</v>
      </c>
      <c r="Q18" s="38">
        <f t="shared" si="14"/>
        <v>0.96462858805275409</v>
      </c>
      <c r="R18" s="38">
        <f t="shared" si="14"/>
        <v>0.9405</v>
      </c>
      <c r="S18" s="42">
        <f>ROUNDUP((('AHV-01'!$F18/480)/3),"0")</f>
        <v>1</v>
      </c>
      <c r="T18" s="43">
        <f t="shared" si="8"/>
        <v>17904</v>
      </c>
      <c r="U18" s="33" t="str">
        <f t="shared" si="12"/>
        <v>FY2025_MLS_Spindle Motor_Spindle Motor(FDB UNIT)_Bang Pa-in</v>
      </c>
    </row>
    <row r="19" spans="1:21" ht="18.75">
      <c r="A19" s="44">
        <v>46073</v>
      </c>
      <c r="B19" s="34">
        <f>SUMIFS('OEE AHV'!J:J,'OEE AHV'!$B:$B,'AHV-01'!$A19,'OEE AHV'!$D:$D,'AHV-01'!$A$1)</f>
        <v>104.29231770833333</v>
      </c>
      <c r="C19" s="35">
        <f t="shared" si="0"/>
        <v>101.84524197048613</v>
      </c>
      <c r="D19" s="34">
        <f t="shared" si="13"/>
        <v>33</v>
      </c>
      <c r="E19" s="36">
        <f t="shared" si="2"/>
        <v>32</v>
      </c>
      <c r="F19" s="34">
        <f>SUMIFS('OEE AHV'!M:M,'OEE AHV'!$B:$B,'AHV-01'!$A19,'OEE AHV'!$D:$D,'AHV-01'!$A$1)</f>
        <v>1226.7076822916667</v>
      </c>
      <c r="G19" s="37">
        <f t="shared" si="3"/>
        <v>168</v>
      </c>
      <c r="H19" s="38">
        <f t="shared" si="4"/>
        <v>0.96439283199030401</v>
      </c>
      <c r="I19" s="38">
        <f t="shared" si="9"/>
        <v>0.95</v>
      </c>
      <c r="J19" s="39"/>
      <c r="K19" s="40">
        <f>SUMIFS('OEE AHV'!Q:Q,'OEE AHV'!$B:$B,'AHV-01'!$A19,'OEE AHV'!$D:$D,'AHV-01'!$A$1)</f>
        <v>17399</v>
      </c>
      <c r="L19" s="38">
        <f t="shared" si="5"/>
        <v>1</v>
      </c>
      <c r="M19" s="38">
        <f t="shared" si="10"/>
        <v>0.99</v>
      </c>
      <c r="N19" s="41" t="s">
        <v>118</v>
      </c>
      <c r="O19" s="38">
        <f t="shared" si="6"/>
        <v>1</v>
      </c>
      <c r="P19" s="38">
        <f t="shared" si="11"/>
        <v>1</v>
      </c>
      <c r="Q19" s="38">
        <f t="shared" si="14"/>
        <v>0.96439283199030401</v>
      </c>
      <c r="R19" s="38">
        <f t="shared" si="14"/>
        <v>0.9405</v>
      </c>
      <c r="S19" s="42">
        <f>ROUNDUP((('AHV-01'!$F19/480)/3),"0")</f>
        <v>1</v>
      </c>
      <c r="T19" s="43">
        <f t="shared" si="8"/>
        <v>17399</v>
      </c>
      <c r="U19" s="33" t="str">
        <f t="shared" si="12"/>
        <v>FY2025_MLS_Spindle Motor_Spindle Motor(FDB UNIT)_Bang Pa-in</v>
      </c>
    </row>
    <row r="20" spans="1:21" ht="18.75">
      <c r="A20" s="44">
        <v>46074</v>
      </c>
      <c r="B20" s="34">
        <f>SUMIFS('OEE AHV'!J:J,'OEE AHV'!$B:$B,'AHV-01'!$A20,'OEE AHV'!$D:$D,'AHV-01'!$A$1)</f>
        <v>106.63020833333334</v>
      </c>
      <c r="C20" s="35">
        <f t="shared" si="0"/>
        <v>101.84524197048613</v>
      </c>
      <c r="D20" s="34">
        <f t="shared" si="13"/>
        <v>34</v>
      </c>
      <c r="E20" s="36">
        <f t="shared" si="2"/>
        <v>32</v>
      </c>
      <c r="F20" s="34">
        <f>SUMIFS('OEE AHV'!M:M,'OEE AHV'!$B:$B,'AHV-01'!$A20,'OEE AHV'!$D:$D,'AHV-01'!$A$1)</f>
        <v>1273.3697916666667</v>
      </c>
      <c r="G20" s="37">
        <f t="shared" si="3"/>
        <v>121</v>
      </c>
      <c r="H20" s="38">
        <f t="shared" si="4"/>
        <v>0.96540545236290121</v>
      </c>
      <c r="I20" s="38">
        <f t="shared" si="9"/>
        <v>0.95</v>
      </c>
      <c r="J20" s="39"/>
      <c r="K20" s="40">
        <f>SUMIFS('OEE AHV'!Q:Q,'OEE AHV'!$B:$B,'AHV-01'!$A20,'OEE AHV'!$D:$D,'AHV-01'!$A$1)</f>
        <v>17912</v>
      </c>
      <c r="L20" s="38">
        <f t="shared" si="5"/>
        <v>1</v>
      </c>
      <c r="M20" s="38">
        <f t="shared" si="10"/>
        <v>0.99</v>
      </c>
      <c r="N20" s="41" t="s">
        <v>118</v>
      </c>
      <c r="O20" s="38">
        <f t="shared" si="6"/>
        <v>1</v>
      </c>
      <c r="P20" s="38">
        <f t="shared" si="11"/>
        <v>1</v>
      </c>
      <c r="Q20" s="38">
        <f t="shared" si="14"/>
        <v>0.96540545236290121</v>
      </c>
      <c r="R20" s="38">
        <f t="shared" si="14"/>
        <v>0.9405</v>
      </c>
      <c r="S20" s="42">
        <f>ROUNDUP((('AHV-01'!$F20/480)/3),"0")</f>
        <v>1</v>
      </c>
      <c r="T20" s="43">
        <f t="shared" si="8"/>
        <v>17912</v>
      </c>
      <c r="U20" s="33" t="str">
        <f t="shared" si="12"/>
        <v>FY2025_MLS_Spindle Motor_Spindle Motor(FDB UNIT)_Bang Pa-in</v>
      </c>
    </row>
    <row r="21" spans="1:21" ht="18.75">
      <c r="A21" s="44">
        <v>46076</v>
      </c>
      <c r="B21" s="34">
        <f>SUMIFS('OEE AHV'!J:J,'OEE AHV'!$B:$B,'AHV-01'!$A21,'OEE AHV'!$D:$D,'AHV-01'!$A$1)</f>
        <v>92.59375</v>
      </c>
      <c r="C21" s="35">
        <f t="shared" si="0"/>
        <v>101.84524197048613</v>
      </c>
      <c r="D21" s="34">
        <f t="shared" si="13"/>
        <v>28</v>
      </c>
      <c r="E21" s="36">
        <f t="shared" si="2"/>
        <v>32</v>
      </c>
      <c r="F21" s="34">
        <f>SUMIFS('OEE AHV'!M:M,'OEE AHV'!$B:$B,'AHV-01'!$A21,'OEE AHV'!$D:$D,'AHV-01'!$A$1)</f>
        <v>1019.40625</v>
      </c>
      <c r="G21" s="37">
        <f t="shared" si="3"/>
        <v>376</v>
      </c>
      <c r="H21" s="38">
        <f t="shared" si="4"/>
        <v>0.95808858082706772</v>
      </c>
      <c r="I21" s="38">
        <f t="shared" si="9"/>
        <v>0.95</v>
      </c>
      <c r="J21" s="39"/>
      <c r="K21" s="40">
        <f>SUMIFS('OEE AHV'!Q:Q,'OEE AHV'!$B:$B,'AHV-01'!$A21,'OEE AHV'!$D:$D,'AHV-01'!$A$1)</f>
        <v>14832</v>
      </c>
      <c r="L21" s="38">
        <f t="shared" si="5"/>
        <v>1</v>
      </c>
      <c r="M21" s="38">
        <f t="shared" si="10"/>
        <v>0.99</v>
      </c>
      <c r="N21" s="41" t="s">
        <v>118</v>
      </c>
      <c r="O21" s="38">
        <f t="shared" si="6"/>
        <v>1</v>
      </c>
      <c r="P21" s="38">
        <f t="shared" si="11"/>
        <v>1</v>
      </c>
      <c r="Q21" s="38">
        <f t="shared" si="14"/>
        <v>0.95808858082706772</v>
      </c>
      <c r="R21" s="38">
        <f t="shared" si="14"/>
        <v>0.9405</v>
      </c>
      <c r="S21" s="42">
        <f>ROUNDUP((('AHV-01'!$F21/480)/3),"0")</f>
        <v>1</v>
      </c>
      <c r="T21" s="43">
        <f t="shared" si="8"/>
        <v>14832</v>
      </c>
      <c r="U21" s="33" t="str">
        <f t="shared" si="12"/>
        <v>FY2025_MLS_Spindle Motor_Spindle Motor(FDB UNIT)_Bang Pa-in</v>
      </c>
    </row>
    <row r="22" spans="1:21" ht="18.75">
      <c r="A22" s="44">
        <v>46077</v>
      </c>
      <c r="B22" s="34">
        <f>SUMIFS('OEE AHV'!J:J,'OEE AHV'!$B:$B,'AHV-01'!$A22,'OEE AHV'!$D:$D,'AHV-01'!$A$1)</f>
        <v>94.954427083333343</v>
      </c>
      <c r="C22" s="35">
        <f t="shared" si="0"/>
        <v>101.84524197048613</v>
      </c>
      <c r="D22" s="34">
        <f t="shared" si="13"/>
        <v>29</v>
      </c>
      <c r="E22" s="36">
        <f t="shared" si="2"/>
        <v>32</v>
      </c>
      <c r="F22" s="34">
        <f>SUMIFS('OEE AHV'!M:M,'OEE AHV'!$B:$B,'AHV-01'!$A22,'OEE AHV'!$D:$D,'AHV-01'!$A$1)</f>
        <v>1080.0455729166665</v>
      </c>
      <c r="G22" s="37">
        <f t="shared" si="3"/>
        <v>315</v>
      </c>
      <c r="H22" s="38">
        <f t="shared" si="4"/>
        <v>0.9600405092592591</v>
      </c>
      <c r="I22" s="38">
        <f t="shared" si="9"/>
        <v>0.95</v>
      </c>
      <c r="J22" s="39"/>
      <c r="K22" s="40">
        <f>SUMIFS('OEE AHV'!Q:Q,'OEE AHV'!$B:$B,'AHV-01'!$A22,'OEE AHV'!$D:$D,'AHV-01'!$A$1)</f>
        <v>15350</v>
      </c>
      <c r="L22" s="38">
        <f t="shared" si="5"/>
        <v>1</v>
      </c>
      <c r="M22" s="38">
        <f t="shared" si="10"/>
        <v>0.99</v>
      </c>
      <c r="N22" s="41" t="s">
        <v>118</v>
      </c>
      <c r="O22" s="38">
        <f t="shared" si="6"/>
        <v>1</v>
      </c>
      <c r="P22" s="38">
        <f t="shared" si="11"/>
        <v>1</v>
      </c>
      <c r="Q22" s="38">
        <f t="shared" si="14"/>
        <v>0.9600405092592591</v>
      </c>
      <c r="R22" s="38">
        <f t="shared" si="14"/>
        <v>0.9405</v>
      </c>
      <c r="S22" s="42">
        <f>ROUNDUP((('AHV-01'!$F22/480)/3),"0")</f>
        <v>1</v>
      </c>
      <c r="T22" s="43">
        <f t="shared" si="8"/>
        <v>15350</v>
      </c>
      <c r="U22" s="33" t="str">
        <f t="shared" si="12"/>
        <v>FY2025_MLS_Spindle Motor_Spindle Motor(FDB UNIT)_Bang Pa-in</v>
      </c>
    </row>
    <row r="23" spans="1:21" ht="18.75">
      <c r="A23" s="44">
        <v>46078</v>
      </c>
      <c r="B23" s="34">
        <f>SUMIFS('OEE AHV'!J:J,'OEE AHV'!$B:$B,'AHV-01'!$A23,'OEE AHV'!$D:$D,'AHV-01'!$A$1)</f>
        <v>108.94075520833333</v>
      </c>
      <c r="C23" s="35">
        <f t="shared" si="0"/>
        <v>101.84524197048613</v>
      </c>
      <c r="D23" s="34">
        <f t="shared" si="13"/>
        <v>35</v>
      </c>
      <c r="E23" s="36">
        <f t="shared" si="2"/>
        <v>32</v>
      </c>
      <c r="F23" s="34">
        <f>SUMIFS('OEE AHV'!M:M,'OEE AHV'!$B:$B,'AHV-01'!$A23,'OEE AHV'!$D:$D,'AHV-01'!$A$1)</f>
        <v>1286.0592447916667</v>
      </c>
      <c r="G23" s="37">
        <f t="shared" si="3"/>
        <v>108</v>
      </c>
      <c r="H23" s="38">
        <f t="shared" si="4"/>
        <v>0.96550994353728736</v>
      </c>
      <c r="I23" s="38">
        <f t="shared" si="9"/>
        <v>0.95</v>
      </c>
      <c r="J23" s="39"/>
      <c r="K23" s="40">
        <f>SUMIFS('OEE AHV'!Q:Q,'OEE AHV'!$B:$B,'AHV-01'!$A23,'OEE AHV'!$D:$D,'AHV-01'!$A$1)</f>
        <v>18419</v>
      </c>
      <c r="L23" s="38">
        <f t="shared" si="5"/>
        <v>1</v>
      </c>
      <c r="M23" s="38">
        <f t="shared" si="10"/>
        <v>0.99</v>
      </c>
      <c r="N23" s="41" t="s">
        <v>118</v>
      </c>
      <c r="O23" s="38">
        <f t="shared" si="6"/>
        <v>1</v>
      </c>
      <c r="P23" s="38">
        <f t="shared" si="11"/>
        <v>1</v>
      </c>
      <c r="Q23" s="38">
        <f t="shared" si="14"/>
        <v>0.96550994353728736</v>
      </c>
      <c r="R23" s="38">
        <f t="shared" si="14"/>
        <v>0.9405</v>
      </c>
      <c r="S23" s="42">
        <f>ROUNDUP((('AHV-01'!$F23/480)/3),"0")</f>
        <v>1</v>
      </c>
      <c r="T23" s="43">
        <f t="shared" si="8"/>
        <v>18419</v>
      </c>
      <c r="U23" s="33" t="str">
        <f t="shared" si="12"/>
        <v>FY2025_MLS_Spindle Motor_Spindle Motor(FDB UNIT)_Bang Pa-in</v>
      </c>
    </row>
    <row r="24" spans="1:21" ht="18.75">
      <c r="A24" s="44">
        <v>46079</v>
      </c>
      <c r="B24" s="34">
        <f>SUMIFS('OEE AHV'!J:J,'OEE AHV'!$B:$B,'AHV-01'!$A24,'OEE AHV'!$D:$D,'AHV-01'!$A$1)</f>
        <v>85.611979166666671</v>
      </c>
      <c r="C24" s="35">
        <f t="shared" si="0"/>
        <v>101.84524197048613</v>
      </c>
      <c r="D24" s="34">
        <f t="shared" si="13"/>
        <v>25</v>
      </c>
      <c r="E24" s="36">
        <f t="shared" si="2"/>
        <v>32</v>
      </c>
      <c r="F24" s="34">
        <f>SUMIFS('OEE AHV'!M:M,'OEE AHV'!$B:$B,'AHV-01'!$A24,'OEE AHV'!$D:$D,'AHV-01'!$A$1)</f>
        <v>953.38802083333326</v>
      </c>
      <c r="G24" s="37">
        <f t="shared" si="3"/>
        <v>442</v>
      </c>
      <c r="H24" s="38">
        <f t="shared" si="4"/>
        <v>0.95529861806947225</v>
      </c>
      <c r="I24" s="38">
        <f t="shared" si="9"/>
        <v>0.95</v>
      </c>
      <c r="J24" s="39"/>
      <c r="K24" s="40">
        <f>SUMIFS('OEE AHV'!Q:Q,'OEE AHV'!$B:$B,'AHV-01'!$A24,'OEE AHV'!$D:$D,'AHV-01'!$A$1)</f>
        <v>13300</v>
      </c>
      <c r="L24" s="38">
        <f t="shared" si="5"/>
        <v>1</v>
      </c>
      <c r="M24" s="38">
        <f t="shared" si="10"/>
        <v>0.99</v>
      </c>
      <c r="N24" s="41" t="s">
        <v>118</v>
      </c>
      <c r="O24" s="38">
        <f t="shared" si="6"/>
        <v>1</v>
      </c>
      <c r="P24" s="38">
        <f t="shared" si="11"/>
        <v>1</v>
      </c>
      <c r="Q24" s="38">
        <f t="shared" si="14"/>
        <v>0.95529861806947225</v>
      </c>
      <c r="R24" s="38">
        <f t="shared" si="14"/>
        <v>0.9405</v>
      </c>
      <c r="S24" s="42">
        <f>ROUNDUP((('AHV-01'!$F24/480)/3),"0")</f>
        <v>1</v>
      </c>
      <c r="T24" s="43">
        <f t="shared" si="8"/>
        <v>13300</v>
      </c>
      <c r="U24" s="33" t="str">
        <f t="shared" si="12"/>
        <v>FY2025_MLS_Spindle Motor_Spindle Motor(FDB UNIT)_Bang Pa-in</v>
      </c>
    </row>
    <row r="25" spans="1:21" ht="18.75">
      <c r="A25" s="44">
        <v>46080</v>
      </c>
      <c r="B25" s="34">
        <f>SUMIFS('OEE AHV'!J:J,'OEE AHV'!$B:$B,'AHV-01'!$A25,'OEE AHV'!$D:$D,'AHV-01'!$A$1)</f>
        <v>106.61653645833333</v>
      </c>
      <c r="C25" s="35">
        <f t="shared" si="0"/>
        <v>101.84524197048613</v>
      </c>
      <c r="D25" s="34">
        <f t="shared" si="13"/>
        <v>34</v>
      </c>
      <c r="E25" s="36">
        <f t="shared" si="2"/>
        <v>32</v>
      </c>
      <c r="F25" s="34">
        <f>SUMIFS('OEE AHV'!M:M,'OEE AHV'!$B:$B,'AHV-01'!$A25,'OEE AHV'!$D:$D,'AHV-01'!$A$1)</f>
        <v>1245.3834635416667</v>
      </c>
      <c r="G25" s="37">
        <f t="shared" si="3"/>
        <v>149</v>
      </c>
      <c r="H25" s="38">
        <f t="shared" si="4"/>
        <v>0.96466573473405637</v>
      </c>
      <c r="I25" s="38">
        <f t="shared" si="9"/>
        <v>0.95</v>
      </c>
      <c r="J25" s="39"/>
      <c r="K25" s="40">
        <f>SUMIFS('OEE AHV'!Q:Q,'OEE AHV'!$B:$B,'AHV-01'!$A25,'OEE AHV'!$D:$D,'AHV-01'!$A$1)</f>
        <v>17909</v>
      </c>
      <c r="L25" s="38">
        <f t="shared" si="5"/>
        <v>1</v>
      </c>
      <c r="M25" s="38">
        <f t="shared" si="10"/>
        <v>0.99</v>
      </c>
      <c r="N25" s="41" t="s">
        <v>118</v>
      </c>
      <c r="O25" s="38">
        <f t="shared" si="6"/>
        <v>1</v>
      </c>
      <c r="P25" s="38">
        <f t="shared" si="11"/>
        <v>1</v>
      </c>
      <c r="Q25" s="38">
        <f t="shared" si="14"/>
        <v>0.96466573473405637</v>
      </c>
      <c r="R25" s="38">
        <f t="shared" si="14"/>
        <v>0.9405</v>
      </c>
      <c r="S25" s="42">
        <f>ROUNDUP((('AHV-01'!$F25/480)/3),"0")</f>
        <v>1</v>
      </c>
      <c r="T25" s="43">
        <f t="shared" si="8"/>
        <v>17909</v>
      </c>
      <c r="U25" s="33" t="str">
        <f t="shared" si="12"/>
        <v>FY2025_MLS_Spindle Motor_Spindle Motor(FDB UNIT)_Bang Pa-in</v>
      </c>
    </row>
    <row r="26" spans="1:21" ht="18.7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8"/>
      <c r="T26" s="45"/>
      <c r="U26" s="45"/>
    </row>
    <row r="27" spans="1:21" ht="18.7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8"/>
      <c r="T27" s="45"/>
      <c r="U27" s="45"/>
    </row>
    <row r="28" spans="1:21" ht="18.7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8"/>
      <c r="T28" s="45"/>
      <c r="U28" s="45"/>
    </row>
    <row r="29" spans="1:21" ht="18.7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8"/>
      <c r="T29" s="45"/>
      <c r="U29" s="45"/>
    </row>
    <row r="30" spans="1:21" ht="18.7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8"/>
      <c r="T30" s="45"/>
      <c r="U30" s="45"/>
    </row>
    <row r="31" spans="1:21" ht="18.7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8"/>
      <c r="T31" s="45"/>
      <c r="U31" s="45"/>
    </row>
    <row r="32" spans="1:21" ht="18.7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8"/>
      <c r="T32" s="45"/>
      <c r="U32" s="45"/>
    </row>
    <row r="33" spans="1:21" ht="18.7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8"/>
      <c r="T33" s="45"/>
      <c r="U33" s="45"/>
    </row>
    <row r="34" spans="1:21" ht="18.7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8"/>
      <c r="T34" s="45"/>
      <c r="U34" s="45"/>
    </row>
    <row r="35" spans="1:21" ht="18.7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8"/>
      <c r="T35" s="45"/>
      <c r="U35" s="45"/>
    </row>
    <row r="36" spans="1:21" ht="18.7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8"/>
      <c r="T36" s="45"/>
      <c r="U36" s="45"/>
    </row>
    <row r="37" spans="1:21" ht="18.7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8"/>
      <c r="T37" s="45"/>
      <c r="U37" s="45"/>
    </row>
    <row r="38" spans="1:21" ht="18.7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8"/>
      <c r="T38" s="45"/>
      <c r="U38" s="45"/>
    </row>
    <row r="39" spans="1:21" ht="18.7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8"/>
      <c r="T39" s="45"/>
      <c r="U39" s="45"/>
    </row>
    <row r="40" spans="1:21" ht="18.7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8"/>
      <c r="T40" s="45"/>
      <c r="U40" s="45"/>
    </row>
    <row r="41" spans="1:21" ht="18.7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8"/>
      <c r="T41" s="45"/>
      <c r="U41" s="45"/>
    </row>
    <row r="42" spans="1:21" ht="18.7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8"/>
      <c r="T42" s="45"/>
      <c r="U42" s="45"/>
    </row>
    <row r="43" spans="1:21" ht="18.7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8"/>
      <c r="T43" s="45"/>
      <c r="U43" s="45"/>
    </row>
    <row r="44" spans="1:21" ht="18.7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8"/>
      <c r="T44" s="45"/>
      <c r="U44" s="45"/>
    </row>
    <row r="45" spans="1:21" ht="18.7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8"/>
      <c r="T45" s="45"/>
      <c r="U45" s="45"/>
    </row>
    <row r="46" spans="1:21" ht="18.7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8"/>
      <c r="T46" s="45"/>
      <c r="U46" s="45"/>
    </row>
    <row r="47" spans="1:21" ht="18.7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8"/>
      <c r="T47" s="45"/>
      <c r="U47" s="45"/>
    </row>
    <row r="48" spans="1:21" ht="18.7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8"/>
      <c r="T48" s="45"/>
      <c r="U48" s="45"/>
    </row>
    <row r="49" spans="1:21" ht="18.7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8"/>
      <c r="T49" s="45"/>
      <c r="U49" s="45"/>
    </row>
    <row r="50" spans="1:21" ht="18.7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8"/>
      <c r="T50" s="45"/>
      <c r="U50" s="45"/>
    </row>
    <row r="51" spans="1:21" ht="18.7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8"/>
      <c r="T51" s="45"/>
      <c r="U51" s="45"/>
    </row>
    <row r="52" spans="1:21" ht="18.7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8"/>
      <c r="T52" s="45"/>
      <c r="U52" s="45"/>
    </row>
    <row r="53" spans="1:21" ht="18.7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8"/>
      <c r="T53" s="45"/>
      <c r="U53" s="45"/>
    </row>
    <row r="54" spans="1:21" ht="18.7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8"/>
      <c r="T54" s="45"/>
      <c r="U54" s="45"/>
    </row>
    <row r="55" spans="1:21" ht="18.7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8"/>
      <c r="T55" s="45"/>
      <c r="U55" s="45"/>
    </row>
    <row r="56" spans="1:21" ht="18.7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8"/>
      <c r="T56" s="45"/>
      <c r="U56" s="45"/>
    </row>
    <row r="57" spans="1:21" ht="18.7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8"/>
      <c r="T57" s="45"/>
      <c r="U57" s="45"/>
    </row>
    <row r="58" spans="1:21" ht="18.7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8"/>
      <c r="T58" s="45"/>
      <c r="U58" s="45"/>
    </row>
    <row r="59" spans="1:21" ht="18.7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8"/>
      <c r="T59" s="45"/>
      <c r="U59" s="45"/>
    </row>
    <row r="60" spans="1:21" ht="18.7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8"/>
      <c r="T60" s="45"/>
      <c r="U60" s="45"/>
    </row>
    <row r="61" spans="1:21" ht="18.7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8"/>
      <c r="T61" s="45"/>
      <c r="U61" s="45"/>
    </row>
    <row r="62" spans="1:21" ht="18.7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8"/>
      <c r="T62" s="45"/>
      <c r="U62" s="45"/>
    </row>
    <row r="63" spans="1:21" ht="18.7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8"/>
      <c r="T63" s="45"/>
      <c r="U63" s="45"/>
    </row>
    <row r="64" spans="1:21" ht="18.7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8"/>
      <c r="T64" s="45"/>
      <c r="U64" s="45"/>
    </row>
    <row r="65" spans="1:21" ht="18.7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8"/>
      <c r="T65" s="45"/>
      <c r="U65" s="45"/>
    </row>
    <row r="66" spans="1:21" ht="18.7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8"/>
      <c r="T66" s="45"/>
      <c r="U66" s="45"/>
    </row>
    <row r="67" spans="1:21" ht="18.7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8"/>
      <c r="T67" s="45"/>
      <c r="U67" s="45"/>
    </row>
    <row r="68" spans="1:21" ht="18.7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8"/>
      <c r="T68" s="45"/>
      <c r="U68" s="45"/>
    </row>
    <row r="69" spans="1:21" ht="18.7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8"/>
      <c r="T69" s="45"/>
      <c r="U69" s="45"/>
    </row>
    <row r="70" spans="1:21" ht="18.7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8"/>
      <c r="T70" s="45"/>
      <c r="U70" s="45"/>
    </row>
    <row r="71" spans="1:21" ht="18.7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8"/>
      <c r="T71" s="45"/>
      <c r="U71" s="45"/>
    </row>
    <row r="72" spans="1:21" ht="18.7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8"/>
      <c r="T72" s="45"/>
      <c r="U72" s="45"/>
    </row>
    <row r="73" spans="1:21" ht="18.7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8"/>
      <c r="T73" s="45"/>
      <c r="U73" s="45"/>
    </row>
    <row r="74" spans="1:21" ht="18.7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8"/>
      <c r="T74" s="45"/>
      <c r="U74" s="45"/>
    </row>
    <row r="75" spans="1:21" ht="18.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8"/>
      <c r="T75" s="45"/>
      <c r="U75" s="45"/>
    </row>
    <row r="76" spans="1:21" ht="18.7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8"/>
      <c r="T76" s="45"/>
      <c r="U76" s="45"/>
    </row>
    <row r="77" spans="1:21" ht="18.7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8"/>
      <c r="T77" s="45"/>
      <c r="U77" s="45"/>
    </row>
    <row r="78" spans="1:21" ht="18.7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8"/>
      <c r="T78" s="45"/>
      <c r="U78" s="45"/>
    </row>
    <row r="79" spans="1:21" ht="18.7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8"/>
      <c r="T79" s="45"/>
      <c r="U79" s="45"/>
    </row>
    <row r="80" spans="1:21" ht="18.7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8"/>
      <c r="T80" s="45"/>
      <c r="U80" s="45"/>
    </row>
    <row r="81" spans="1:21" ht="18.7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8"/>
      <c r="T81" s="45"/>
      <c r="U81" s="45"/>
    </row>
    <row r="82" spans="1:21" ht="18.7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8"/>
      <c r="T82" s="45"/>
      <c r="U82" s="45"/>
    </row>
    <row r="83" spans="1:21" ht="18.7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8"/>
      <c r="T83" s="45"/>
      <c r="U83" s="45"/>
    </row>
    <row r="84" spans="1:21" ht="18.7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8"/>
      <c r="T84" s="45"/>
      <c r="U84" s="45"/>
    </row>
    <row r="85" spans="1:21" ht="18.7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8"/>
      <c r="T85" s="45"/>
      <c r="U85" s="45"/>
    </row>
    <row r="86" spans="1:21" ht="18.7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8"/>
      <c r="T86" s="45"/>
      <c r="U86" s="45"/>
    </row>
    <row r="87" spans="1:21" ht="18.7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8"/>
      <c r="T87" s="45"/>
      <c r="U87" s="45"/>
    </row>
    <row r="88" spans="1:21" ht="18.7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8"/>
      <c r="T88" s="45"/>
      <c r="U88" s="45"/>
    </row>
    <row r="89" spans="1:21" ht="18.7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8"/>
      <c r="T89" s="45"/>
      <c r="U89" s="45"/>
    </row>
    <row r="90" spans="1:21" ht="18.7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8"/>
      <c r="T90" s="45"/>
      <c r="U90" s="45"/>
    </row>
    <row r="91" spans="1:21" ht="18.7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8"/>
      <c r="T91" s="45"/>
      <c r="U91" s="45"/>
    </row>
    <row r="92" spans="1:21" ht="18.7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8"/>
      <c r="T92" s="45"/>
      <c r="U92" s="45"/>
    </row>
    <row r="93" spans="1:21" ht="18.7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8"/>
      <c r="T93" s="45"/>
      <c r="U93" s="45"/>
    </row>
    <row r="94" spans="1:21" ht="18.7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8"/>
      <c r="T94" s="45"/>
      <c r="U94" s="45"/>
    </row>
    <row r="95" spans="1:21" ht="18.7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8"/>
      <c r="T95" s="45"/>
      <c r="U95" s="45"/>
    </row>
    <row r="96" spans="1:21" ht="18.7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8"/>
      <c r="T96" s="45"/>
      <c r="U96" s="45"/>
    </row>
    <row r="97" spans="1:21" ht="18.7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8"/>
      <c r="T97" s="45"/>
      <c r="U97" s="45"/>
    </row>
    <row r="98" spans="1:21" ht="18.7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8"/>
      <c r="T98" s="45"/>
      <c r="U98" s="45"/>
    </row>
    <row r="99" spans="1:21" ht="18.7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8"/>
      <c r="T99" s="45"/>
      <c r="U99" s="45"/>
    </row>
    <row r="100" spans="1:21" ht="18.7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8"/>
      <c r="T100" s="45"/>
      <c r="U100" s="45"/>
    </row>
    <row r="101" spans="1:21" ht="18.7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8"/>
      <c r="T101" s="45"/>
      <c r="U101" s="45"/>
    </row>
    <row r="102" spans="1:21" ht="18.7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8"/>
      <c r="T102" s="45"/>
      <c r="U102" s="45"/>
    </row>
    <row r="103" spans="1:21" ht="18.7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8"/>
      <c r="T103" s="45"/>
      <c r="U103" s="45"/>
    </row>
    <row r="104" spans="1:21" ht="18.7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8"/>
      <c r="T104" s="45"/>
      <c r="U104" s="45"/>
    </row>
    <row r="105" spans="1:21" ht="18.7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8"/>
      <c r="T105" s="45"/>
      <c r="U105" s="45"/>
    </row>
    <row r="106" spans="1:21" ht="18.7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8"/>
      <c r="T106" s="45"/>
      <c r="U106" s="45"/>
    </row>
    <row r="107" spans="1:21" ht="18.7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8"/>
      <c r="T107" s="45"/>
      <c r="U107" s="45"/>
    </row>
    <row r="108" spans="1:21" ht="18.7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8"/>
      <c r="T108" s="45"/>
      <c r="U108" s="45"/>
    </row>
    <row r="109" spans="1:21" ht="18.7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8"/>
      <c r="T109" s="45"/>
      <c r="U109" s="45"/>
    </row>
    <row r="110" spans="1:21" ht="18.7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8"/>
      <c r="T110" s="45"/>
      <c r="U110" s="45"/>
    </row>
    <row r="111" spans="1:21" ht="18.7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8"/>
      <c r="T111" s="45"/>
      <c r="U111" s="45"/>
    </row>
    <row r="112" spans="1:21" ht="18.7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8"/>
      <c r="T112" s="45"/>
      <c r="U112" s="45"/>
    </row>
    <row r="113" spans="1:21" ht="18.7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8"/>
      <c r="T113" s="45"/>
      <c r="U113" s="45"/>
    </row>
    <row r="114" spans="1:21" ht="18.7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8"/>
      <c r="T114" s="45"/>
      <c r="U114" s="45"/>
    </row>
    <row r="115" spans="1:21" ht="18.7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8"/>
      <c r="T115" s="45"/>
      <c r="U115" s="45"/>
    </row>
    <row r="116" spans="1:21" ht="18.7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8"/>
      <c r="T116" s="45"/>
      <c r="U116" s="45"/>
    </row>
    <row r="117" spans="1:21" ht="18.7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8"/>
      <c r="T117" s="45"/>
      <c r="U117" s="45"/>
    </row>
    <row r="118" spans="1:21" ht="18.7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8"/>
      <c r="T118" s="45"/>
      <c r="U118" s="45"/>
    </row>
    <row r="119" spans="1:21" ht="18.7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8"/>
      <c r="T119" s="45"/>
      <c r="U119" s="45"/>
    </row>
    <row r="120" spans="1:21" ht="18.7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8"/>
      <c r="T120" s="45"/>
      <c r="U120" s="45"/>
    </row>
    <row r="121" spans="1:21" ht="18.7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8"/>
      <c r="T121" s="45"/>
      <c r="U121" s="45"/>
    </row>
    <row r="122" spans="1:21" ht="18.7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8"/>
      <c r="T122" s="45"/>
      <c r="U122" s="45"/>
    </row>
    <row r="123" spans="1:21" ht="18.7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8"/>
      <c r="T123" s="45"/>
      <c r="U123" s="45"/>
    </row>
    <row r="124" spans="1:21" ht="18.7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8"/>
      <c r="T124" s="45"/>
      <c r="U124" s="45"/>
    </row>
    <row r="125" spans="1:21" ht="18.7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8"/>
      <c r="T125" s="45"/>
      <c r="U125" s="45"/>
    </row>
    <row r="126" spans="1:21" ht="18.7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8"/>
      <c r="T126" s="45"/>
      <c r="U126" s="45"/>
    </row>
    <row r="127" spans="1:21" ht="18.7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8"/>
      <c r="T127" s="45"/>
      <c r="U127" s="45"/>
    </row>
    <row r="128" spans="1:21" ht="18.7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8"/>
      <c r="T128" s="45"/>
      <c r="U128" s="45"/>
    </row>
    <row r="129" spans="1:21" ht="18.7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8"/>
      <c r="T129" s="45"/>
      <c r="U129" s="45"/>
    </row>
    <row r="130" spans="1:21" ht="18.7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8"/>
      <c r="T130" s="45"/>
      <c r="U130" s="45"/>
    </row>
    <row r="131" spans="1:21" ht="18.7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8"/>
      <c r="T131" s="45"/>
      <c r="U131" s="45"/>
    </row>
    <row r="132" spans="1:21" ht="18.7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8"/>
      <c r="T132" s="45"/>
      <c r="U132" s="45"/>
    </row>
    <row r="133" spans="1:21" ht="18.7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8"/>
      <c r="T133" s="45"/>
      <c r="U133" s="45"/>
    </row>
    <row r="134" spans="1:21" ht="18.7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8"/>
      <c r="T134" s="45"/>
      <c r="U134" s="45"/>
    </row>
    <row r="135" spans="1:21" ht="18.7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8"/>
      <c r="T135" s="45"/>
      <c r="U135" s="45"/>
    </row>
    <row r="136" spans="1:21" ht="18.7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8"/>
      <c r="T136" s="45"/>
      <c r="U136" s="45"/>
    </row>
    <row r="137" spans="1:21" ht="18.7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8"/>
      <c r="T137" s="45"/>
      <c r="U137" s="45"/>
    </row>
    <row r="138" spans="1:21" ht="18.7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8"/>
      <c r="T138" s="45"/>
      <c r="U138" s="45"/>
    </row>
    <row r="139" spans="1:21" ht="18.7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8"/>
      <c r="T139" s="45"/>
      <c r="U139" s="45"/>
    </row>
    <row r="140" spans="1:21" ht="18.7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8"/>
      <c r="T140" s="45"/>
      <c r="U140" s="45"/>
    </row>
    <row r="141" spans="1:21" ht="18.7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8"/>
      <c r="T141" s="45"/>
      <c r="U141" s="45"/>
    </row>
    <row r="142" spans="1:21" ht="18.7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8"/>
      <c r="T142" s="45"/>
      <c r="U142" s="45"/>
    </row>
    <row r="143" spans="1:21" ht="18.7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8"/>
      <c r="T143" s="45"/>
      <c r="U143" s="45"/>
    </row>
    <row r="144" spans="1:21" ht="18.7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8"/>
      <c r="T144" s="45"/>
      <c r="U144" s="45"/>
    </row>
    <row r="145" spans="1:21" ht="18.7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8"/>
      <c r="T145" s="45"/>
      <c r="U145" s="45"/>
    </row>
    <row r="146" spans="1:21" ht="18.7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8"/>
      <c r="T146" s="45"/>
      <c r="U146" s="45"/>
    </row>
    <row r="147" spans="1:21" ht="18.7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8"/>
      <c r="T147" s="45"/>
      <c r="U147" s="45"/>
    </row>
    <row r="148" spans="1:21" ht="18.7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8"/>
      <c r="T148" s="45"/>
      <c r="U148" s="45"/>
    </row>
    <row r="149" spans="1:21" ht="18.7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8"/>
      <c r="T149" s="45"/>
      <c r="U149" s="45"/>
    </row>
    <row r="150" spans="1:21" ht="18.7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8"/>
      <c r="T150" s="45"/>
      <c r="U150" s="45"/>
    </row>
    <row r="151" spans="1:21" ht="18.7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8"/>
      <c r="T151" s="45"/>
      <c r="U151" s="45"/>
    </row>
    <row r="152" spans="1:21" ht="18.7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8"/>
      <c r="T152" s="45"/>
      <c r="U152" s="45"/>
    </row>
    <row r="153" spans="1:21" ht="18.7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8"/>
      <c r="T153" s="45"/>
      <c r="U153" s="45"/>
    </row>
    <row r="154" spans="1:21" ht="18.7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8"/>
      <c r="T154" s="45"/>
      <c r="U154" s="45"/>
    </row>
    <row r="155" spans="1:21" ht="18.7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8"/>
      <c r="T155" s="45"/>
      <c r="U155" s="45"/>
    </row>
    <row r="156" spans="1:21" ht="18.7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8"/>
      <c r="T156" s="45"/>
      <c r="U156" s="45"/>
    </row>
    <row r="157" spans="1:21" ht="18.7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8"/>
      <c r="T157" s="45"/>
      <c r="U157" s="45"/>
    </row>
    <row r="158" spans="1:21" ht="18.7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8"/>
      <c r="T158" s="45"/>
      <c r="U158" s="45"/>
    </row>
    <row r="159" spans="1:21" ht="18.7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8"/>
      <c r="T159" s="45"/>
      <c r="U159" s="45"/>
    </row>
    <row r="160" spans="1:21" ht="18.7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8"/>
      <c r="T160" s="45"/>
      <c r="U160" s="45"/>
    </row>
    <row r="161" spans="1:21" ht="18.7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8"/>
      <c r="T161" s="45"/>
      <c r="U161" s="45"/>
    </row>
    <row r="162" spans="1:21" ht="18.7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8"/>
      <c r="T162" s="45"/>
      <c r="U162" s="45"/>
    </row>
    <row r="163" spans="1:21" ht="18.7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8"/>
      <c r="T163" s="45"/>
      <c r="U163" s="45"/>
    </row>
    <row r="164" spans="1:21" ht="18.7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8"/>
      <c r="T164" s="45"/>
      <c r="U164" s="45"/>
    </row>
    <row r="165" spans="1:21" ht="18.7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8"/>
      <c r="T165" s="45"/>
      <c r="U165" s="45"/>
    </row>
    <row r="166" spans="1:21" ht="18.7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8"/>
      <c r="T166" s="45"/>
      <c r="U166" s="45"/>
    </row>
    <row r="167" spans="1:21" ht="18.7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8"/>
      <c r="T167" s="45"/>
      <c r="U167" s="45"/>
    </row>
    <row r="168" spans="1:21" ht="18.7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8"/>
      <c r="T168" s="45"/>
      <c r="U168" s="45"/>
    </row>
    <row r="169" spans="1:21" ht="18.7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8"/>
      <c r="T169" s="45"/>
      <c r="U169" s="45"/>
    </row>
    <row r="170" spans="1:21" ht="18.7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8"/>
      <c r="T170" s="45"/>
      <c r="U170" s="45"/>
    </row>
    <row r="171" spans="1:21" ht="18.7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8"/>
      <c r="T171" s="45"/>
      <c r="U171" s="45"/>
    </row>
    <row r="172" spans="1:21" ht="18.7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8"/>
      <c r="T172" s="45"/>
      <c r="U172" s="45"/>
    </row>
    <row r="173" spans="1:21" ht="18.7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8"/>
      <c r="T173" s="45"/>
      <c r="U173" s="45"/>
    </row>
    <row r="174" spans="1:21" ht="18.7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8"/>
      <c r="T174" s="45"/>
      <c r="U174" s="45"/>
    </row>
    <row r="175" spans="1:21" ht="18.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8"/>
      <c r="T175" s="45"/>
      <c r="U175" s="45"/>
    </row>
    <row r="176" spans="1:21" ht="18.7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8"/>
      <c r="T176" s="45"/>
      <c r="U176" s="45"/>
    </row>
    <row r="177" spans="1:21" ht="18.7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8"/>
      <c r="T177" s="45"/>
      <c r="U177" s="45"/>
    </row>
    <row r="178" spans="1:21" ht="18.7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8"/>
      <c r="T178" s="45"/>
      <c r="U178" s="45"/>
    </row>
    <row r="179" spans="1:21" ht="18.7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8"/>
      <c r="T179" s="45"/>
      <c r="U179" s="45"/>
    </row>
    <row r="180" spans="1:21" ht="18.7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8"/>
      <c r="T180" s="45"/>
      <c r="U180" s="45"/>
    </row>
    <row r="181" spans="1:21" ht="18.7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8"/>
      <c r="T181" s="45"/>
      <c r="U181" s="45"/>
    </row>
    <row r="182" spans="1:21" ht="18.7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8"/>
      <c r="T182" s="45"/>
      <c r="U182" s="45"/>
    </row>
    <row r="183" spans="1:21" ht="18.7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8"/>
      <c r="T183" s="45"/>
      <c r="U183" s="45"/>
    </row>
    <row r="184" spans="1:21" ht="18.7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8"/>
      <c r="T184" s="45"/>
      <c r="U184" s="45"/>
    </row>
    <row r="185" spans="1:21" ht="18.7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8"/>
      <c r="T185" s="45"/>
      <c r="U185" s="45"/>
    </row>
    <row r="186" spans="1:21" ht="18.7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8"/>
      <c r="T186" s="45"/>
      <c r="U186" s="45"/>
    </row>
    <row r="187" spans="1:21" ht="18.7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8"/>
      <c r="T187" s="45"/>
      <c r="U187" s="45"/>
    </row>
    <row r="188" spans="1:21" ht="18.7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8"/>
      <c r="T188" s="45"/>
      <c r="U188" s="45"/>
    </row>
    <row r="189" spans="1:21" ht="18.7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8"/>
      <c r="T189" s="45"/>
      <c r="U189" s="45"/>
    </row>
    <row r="190" spans="1:21" ht="18.7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8"/>
      <c r="T190" s="45"/>
      <c r="U190" s="45"/>
    </row>
    <row r="191" spans="1:21" ht="18.7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8"/>
      <c r="T191" s="45"/>
      <c r="U191" s="45"/>
    </row>
    <row r="192" spans="1:21" ht="18.7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8"/>
      <c r="T192" s="45"/>
      <c r="U192" s="45"/>
    </row>
    <row r="193" spans="1:21" ht="18.7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8"/>
      <c r="T193" s="45"/>
      <c r="U193" s="45"/>
    </row>
    <row r="194" spans="1:21" ht="18.7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8"/>
      <c r="T194" s="45"/>
      <c r="U194" s="45"/>
    </row>
    <row r="195" spans="1:21" ht="18.7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8"/>
      <c r="T195" s="45"/>
      <c r="U195" s="45"/>
    </row>
    <row r="196" spans="1:21" ht="18.7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8"/>
      <c r="T196" s="45"/>
      <c r="U196" s="45"/>
    </row>
    <row r="197" spans="1:21" ht="18.7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8"/>
      <c r="T197" s="45"/>
      <c r="U197" s="45"/>
    </row>
    <row r="198" spans="1:21" ht="18.7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8"/>
      <c r="T198" s="45"/>
      <c r="U198" s="45"/>
    </row>
    <row r="199" spans="1:21" ht="18.7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8"/>
      <c r="T199" s="45"/>
      <c r="U199" s="45"/>
    </row>
    <row r="200" spans="1:21" ht="18.7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8"/>
      <c r="T200" s="45"/>
      <c r="U200" s="45"/>
    </row>
    <row r="201" spans="1:21" ht="18.7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8"/>
      <c r="T201" s="45"/>
      <c r="U201" s="45"/>
    </row>
    <row r="202" spans="1:21" ht="18.7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8"/>
      <c r="T202" s="45"/>
      <c r="U202" s="45"/>
    </row>
    <row r="203" spans="1:21" ht="18.7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8"/>
      <c r="T203" s="45"/>
      <c r="U203" s="45"/>
    </row>
    <row r="204" spans="1:21" ht="18.7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8"/>
      <c r="T204" s="45"/>
      <c r="U204" s="45"/>
    </row>
    <row r="205" spans="1:21" ht="18.7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8"/>
      <c r="T205" s="45"/>
      <c r="U205" s="45"/>
    </row>
    <row r="206" spans="1:21" ht="18.7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8"/>
      <c r="T206" s="45"/>
      <c r="U206" s="45"/>
    </row>
    <row r="207" spans="1:21" ht="18.7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8"/>
      <c r="T207" s="45"/>
      <c r="U207" s="45"/>
    </row>
    <row r="208" spans="1:21" ht="18.7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8"/>
      <c r="T208" s="45"/>
      <c r="U208" s="45"/>
    </row>
    <row r="209" spans="1:21" ht="18.7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8"/>
      <c r="T209" s="45"/>
      <c r="U209" s="45"/>
    </row>
    <row r="210" spans="1:21" ht="18.7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8"/>
      <c r="T210" s="45"/>
      <c r="U210" s="45"/>
    </row>
    <row r="211" spans="1:21" ht="18.7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8"/>
      <c r="T211" s="45"/>
      <c r="U211" s="45"/>
    </row>
    <row r="212" spans="1:21" ht="18.7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8"/>
      <c r="T212" s="45"/>
      <c r="U212" s="45"/>
    </row>
    <row r="213" spans="1:21" ht="18.7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8"/>
      <c r="T213" s="45"/>
      <c r="U213" s="45"/>
    </row>
    <row r="214" spans="1:21" ht="18.7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8"/>
      <c r="T214" s="45"/>
      <c r="U214" s="45"/>
    </row>
    <row r="215" spans="1:21" ht="18.7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8"/>
      <c r="T215" s="45"/>
      <c r="U215" s="45"/>
    </row>
    <row r="216" spans="1:21" ht="18.7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8"/>
      <c r="T216" s="45"/>
      <c r="U216" s="45"/>
    </row>
    <row r="217" spans="1:21" ht="18.7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8"/>
      <c r="T217" s="45"/>
      <c r="U217" s="45"/>
    </row>
    <row r="218" spans="1:21" ht="18.7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8"/>
      <c r="T218" s="45"/>
      <c r="U218" s="45"/>
    </row>
    <row r="219" spans="1:21" ht="18.7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8"/>
      <c r="T219" s="45"/>
      <c r="U219" s="45"/>
    </row>
    <row r="220" spans="1:21" ht="18.7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8"/>
      <c r="T220" s="45"/>
      <c r="U220" s="45"/>
    </row>
    <row r="221" spans="1:21" ht="18.7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8"/>
      <c r="T221" s="45"/>
      <c r="U221" s="45"/>
    </row>
    <row r="222" spans="1:21" ht="18.7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8"/>
      <c r="T222" s="45"/>
      <c r="U222" s="45"/>
    </row>
    <row r="223" spans="1:21" ht="18.7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8"/>
      <c r="T223" s="45"/>
      <c r="U223" s="45"/>
    </row>
    <row r="224" spans="1:21" ht="18.7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8"/>
      <c r="T224" s="45"/>
      <c r="U224" s="45"/>
    </row>
    <row r="225" spans="1:21" ht="18.7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8"/>
      <c r="T225" s="45"/>
      <c r="U225" s="45"/>
    </row>
    <row r="226" spans="1:21" ht="18.7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8"/>
      <c r="T226" s="45"/>
      <c r="U226" s="45"/>
    </row>
    <row r="227" spans="1:21" ht="18.7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8"/>
      <c r="T227" s="45"/>
      <c r="U227" s="45"/>
    </row>
    <row r="228" spans="1:21" ht="18.7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8"/>
      <c r="T228" s="45"/>
      <c r="U228" s="45"/>
    </row>
    <row r="229" spans="1:21" ht="18.7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8"/>
      <c r="T229" s="45"/>
      <c r="U229" s="45"/>
    </row>
    <row r="230" spans="1:21" ht="18.7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8"/>
      <c r="T230" s="45"/>
      <c r="U230" s="45"/>
    </row>
    <row r="231" spans="1:21" ht="18.7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8"/>
      <c r="T231" s="45"/>
      <c r="U231" s="45"/>
    </row>
    <row r="232" spans="1:21" ht="18.7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8"/>
      <c r="T232" s="45"/>
      <c r="U232" s="45"/>
    </row>
    <row r="233" spans="1:21" ht="18.7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8"/>
      <c r="T233" s="45"/>
      <c r="U233" s="45"/>
    </row>
    <row r="234" spans="1:21" ht="18.7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8"/>
      <c r="T234" s="45"/>
      <c r="U234" s="45"/>
    </row>
    <row r="235" spans="1:21" ht="18.7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8"/>
      <c r="T235" s="45"/>
      <c r="U235" s="45"/>
    </row>
    <row r="236" spans="1:21" ht="18.7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8"/>
      <c r="T236" s="45"/>
      <c r="U236" s="45"/>
    </row>
    <row r="237" spans="1:21" ht="18.7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8"/>
      <c r="T237" s="45"/>
      <c r="U237" s="45"/>
    </row>
    <row r="238" spans="1:21" ht="18.7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8"/>
      <c r="T238" s="45"/>
      <c r="U238" s="45"/>
    </row>
    <row r="239" spans="1:21" ht="18.7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8"/>
      <c r="T239" s="45"/>
      <c r="U239" s="45"/>
    </row>
    <row r="240" spans="1:21" ht="18.7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8"/>
      <c r="T240" s="45"/>
      <c r="U240" s="45"/>
    </row>
    <row r="241" spans="1:21" ht="18.7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8"/>
      <c r="T241" s="45"/>
      <c r="U241" s="45"/>
    </row>
    <row r="242" spans="1:21" ht="18.7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8"/>
      <c r="T242" s="45"/>
      <c r="U242" s="45"/>
    </row>
    <row r="243" spans="1:21" ht="18.7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8"/>
      <c r="T243" s="45"/>
      <c r="U243" s="45"/>
    </row>
    <row r="244" spans="1:21" ht="18.7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8"/>
      <c r="T244" s="45"/>
      <c r="U244" s="45"/>
    </row>
    <row r="245" spans="1:21" ht="18.7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8"/>
      <c r="T245" s="45"/>
      <c r="U245" s="45"/>
    </row>
    <row r="246" spans="1:21" ht="18.7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8"/>
      <c r="T246" s="45"/>
      <c r="U246" s="45"/>
    </row>
    <row r="247" spans="1:21" ht="18.7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8"/>
      <c r="T247" s="45"/>
      <c r="U247" s="45"/>
    </row>
    <row r="248" spans="1:21" ht="18.7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8"/>
      <c r="T248" s="45"/>
      <c r="U248" s="45"/>
    </row>
    <row r="249" spans="1:21" ht="18.7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8"/>
      <c r="T249" s="45"/>
      <c r="U249" s="45"/>
    </row>
    <row r="250" spans="1:21" ht="18.7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8"/>
      <c r="T250" s="45"/>
      <c r="U250" s="45"/>
    </row>
    <row r="251" spans="1:21" ht="18.7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8"/>
      <c r="T251" s="45"/>
      <c r="U251" s="45"/>
    </row>
    <row r="252" spans="1:21" ht="18.7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8"/>
      <c r="T252" s="45"/>
      <c r="U252" s="45"/>
    </row>
    <row r="253" spans="1:21" ht="18.7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8"/>
      <c r="T253" s="45"/>
      <c r="U253" s="45"/>
    </row>
    <row r="254" spans="1:21" ht="18.7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8"/>
      <c r="T254" s="45"/>
      <c r="U254" s="45"/>
    </row>
    <row r="255" spans="1:21" ht="18.7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8"/>
      <c r="T255" s="45"/>
      <c r="U255" s="45"/>
    </row>
    <row r="256" spans="1:21" ht="18.7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8"/>
      <c r="T256" s="45"/>
      <c r="U256" s="45"/>
    </row>
    <row r="257" spans="1:21" ht="18.7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8"/>
      <c r="T257" s="45"/>
      <c r="U257" s="45"/>
    </row>
    <row r="258" spans="1:21" ht="18.7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8"/>
      <c r="T258" s="45"/>
      <c r="U258" s="45"/>
    </row>
    <row r="259" spans="1:21" ht="18.7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8"/>
      <c r="T259" s="45"/>
      <c r="U259" s="45"/>
    </row>
    <row r="260" spans="1:21" ht="18.7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8"/>
      <c r="T260" s="45"/>
      <c r="U260" s="45"/>
    </row>
    <row r="261" spans="1:21" ht="18.7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8"/>
      <c r="T261" s="45"/>
      <c r="U261" s="45"/>
    </row>
    <row r="262" spans="1:21" ht="18.7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8"/>
      <c r="T262" s="45"/>
      <c r="U262" s="45"/>
    </row>
    <row r="263" spans="1:21" ht="18.7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8"/>
      <c r="T263" s="45"/>
      <c r="U263" s="45"/>
    </row>
    <row r="264" spans="1:21" ht="18.7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8"/>
      <c r="T264" s="45"/>
      <c r="U264" s="45"/>
    </row>
    <row r="265" spans="1:21" ht="18.7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8"/>
      <c r="T265" s="45"/>
      <c r="U265" s="45"/>
    </row>
    <row r="266" spans="1:21" ht="18.7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8"/>
      <c r="T266" s="45"/>
      <c r="U266" s="45"/>
    </row>
    <row r="267" spans="1:21" ht="18.7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8"/>
      <c r="T267" s="45"/>
      <c r="U267" s="45"/>
    </row>
    <row r="268" spans="1:21" ht="18.7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8"/>
      <c r="T268" s="45"/>
      <c r="U268" s="45"/>
    </row>
    <row r="269" spans="1:21" ht="18.7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8"/>
      <c r="T269" s="45"/>
      <c r="U269" s="45"/>
    </row>
    <row r="270" spans="1:21" ht="18.7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8"/>
      <c r="T270" s="45"/>
      <c r="U270" s="45"/>
    </row>
    <row r="271" spans="1:21" ht="18.7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8"/>
      <c r="T271" s="45"/>
      <c r="U271" s="45"/>
    </row>
    <row r="272" spans="1:21" ht="18.7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8"/>
      <c r="T272" s="45"/>
      <c r="U272" s="45"/>
    </row>
    <row r="273" spans="1:21" ht="18.7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8"/>
      <c r="T273" s="45"/>
      <c r="U273" s="45"/>
    </row>
    <row r="274" spans="1:21" ht="18.7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8"/>
      <c r="T274" s="45"/>
      <c r="U274" s="45"/>
    </row>
    <row r="275" spans="1:21" ht="18.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8"/>
      <c r="T275" s="45"/>
      <c r="U275" s="45"/>
    </row>
    <row r="276" spans="1:21" ht="18.7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8"/>
      <c r="T276" s="45"/>
      <c r="U276" s="45"/>
    </row>
    <row r="277" spans="1:21" ht="18.7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8"/>
      <c r="T277" s="45"/>
      <c r="U277" s="45"/>
    </row>
    <row r="278" spans="1:21" ht="18.7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8"/>
      <c r="T278" s="45"/>
      <c r="U278" s="45"/>
    </row>
    <row r="279" spans="1:21" ht="18.7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8"/>
      <c r="T279" s="45"/>
      <c r="U279" s="45"/>
    </row>
    <row r="280" spans="1:21" ht="18.7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8"/>
      <c r="T280" s="45"/>
      <c r="U280" s="45"/>
    </row>
    <row r="281" spans="1:21" ht="18.7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8"/>
      <c r="T281" s="45"/>
      <c r="U281" s="45"/>
    </row>
    <row r="282" spans="1:21" ht="18.7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8"/>
      <c r="T282" s="45"/>
      <c r="U282" s="45"/>
    </row>
    <row r="283" spans="1:21" ht="18.7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8"/>
      <c r="T283" s="45"/>
      <c r="U283" s="45"/>
    </row>
    <row r="284" spans="1:21" ht="18.7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8"/>
      <c r="T284" s="45"/>
      <c r="U284" s="45"/>
    </row>
    <row r="285" spans="1:21" ht="18.7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8"/>
      <c r="T285" s="45"/>
      <c r="U285" s="45"/>
    </row>
    <row r="286" spans="1:21" ht="18.7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8"/>
      <c r="T286" s="45"/>
      <c r="U286" s="45"/>
    </row>
    <row r="287" spans="1:21" ht="18.7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8"/>
      <c r="T287" s="45"/>
      <c r="U287" s="45"/>
    </row>
    <row r="288" spans="1:21" ht="18.7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8"/>
      <c r="T288" s="45"/>
      <c r="U288" s="45"/>
    </row>
    <row r="289" spans="1:21" ht="18.7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8"/>
      <c r="T289" s="45"/>
      <c r="U289" s="45"/>
    </row>
    <row r="290" spans="1:21" ht="18.7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8"/>
      <c r="T290" s="45"/>
      <c r="U290" s="45"/>
    </row>
    <row r="291" spans="1:21" ht="18.7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8"/>
      <c r="T291" s="45"/>
      <c r="U291" s="45"/>
    </row>
    <row r="292" spans="1:21" ht="18.7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8"/>
      <c r="T292" s="45"/>
      <c r="U292" s="45"/>
    </row>
    <row r="293" spans="1:21" ht="18.7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8"/>
      <c r="T293" s="45"/>
      <c r="U293" s="45"/>
    </row>
    <row r="294" spans="1:21" ht="18.7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8"/>
      <c r="T294" s="45"/>
      <c r="U294" s="45"/>
    </row>
    <row r="295" spans="1:21" ht="18.7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8"/>
      <c r="T295" s="45"/>
      <c r="U295" s="45"/>
    </row>
    <row r="296" spans="1:21" ht="18.7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8"/>
      <c r="T296" s="45"/>
      <c r="U296" s="45"/>
    </row>
    <row r="297" spans="1:21" ht="18.7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8"/>
      <c r="T297" s="45"/>
      <c r="U297" s="45"/>
    </row>
    <row r="298" spans="1:21" ht="18.7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8"/>
      <c r="T298" s="45"/>
      <c r="U298" s="45"/>
    </row>
    <row r="299" spans="1:21" ht="18.7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8"/>
      <c r="T299" s="45"/>
      <c r="U299" s="45"/>
    </row>
    <row r="300" spans="1:21" ht="18.7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8"/>
      <c r="T300" s="45"/>
      <c r="U300" s="45"/>
    </row>
    <row r="301" spans="1:21" ht="18.7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8"/>
      <c r="T301" s="45"/>
      <c r="U301" s="45"/>
    </row>
    <row r="302" spans="1:21" ht="18.7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8"/>
      <c r="T302" s="45"/>
      <c r="U302" s="45"/>
    </row>
    <row r="303" spans="1:21" ht="18.7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8"/>
      <c r="T303" s="45"/>
      <c r="U303" s="45"/>
    </row>
    <row r="304" spans="1:21" ht="18.7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8"/>
      <c r="T304" s="45"/>
      <c r="U304" s="45"/>
    </row>
    <row r="305" spans="1:21" ht="18.7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8"/>
      <c r="T305" s="45"/>
      <c r="U305" s="45"/>
    </row>
    <row r="306" spans="1:21" ht="18.7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8"/>
      <c r="T306" s="45"/>
      <c r="U306" s="45"/>
    </row>
    <row r="307" spans="1:21" ht="18.7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8"/>
      <c r="T307" s="45"/>
      <c r="U307" s="45"/>
    </row>
    <row r="308" spans="1:21" ht="18.7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8"/>
      <c r="T308" s="45"/>
      <c r="U308" s="45"/>
    </row>
    <row r="309" spans="1:21" ht="18.7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8"/>
      <c r="T309" s="45"/>
      <c r="U309" s="45"/>
    </row>
    <row r="310" spans="1:21" ht="18.7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8"/>
      <c r="T310" s="45"/>
      <c r="U310" s="45"/>
    </row>
    <row r="311" spans="1:21" ht="18.7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8"/>
      <c r="T311" s="45"/>
      <c r="U311" s="45"/>
    </row>
    <row r="312" spans="1:21" ht="18.7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8"/>
      <c r="T312" s="45"/>
      <c r="U312" s="45"/>
    </row>
    <row r="313" spans="1:21" ht="18.7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8"/>
      <c r="T313" s="45"/>
      <c r="U313" s="45"/>
    </row>
    <row r="314" spans="1:21" ht="18.7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8"/>
      <c r="T314" s="45"/>
      <c r="U314" s="45"/>
    </row>
    <row r="315" spans="1:21" ht="18.7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8"/>
      <c r="T315" s="45"/>
      <c r="U315" s="45"/>
    </row>
    <row r="316" spans="1:21" ht="18.7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8"/>
      <c r="T316" s="45"/>
      <c r="U316" s="45"/>
    </row>
    <row r="317" spans="1:21" ht="18.7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8"/>
      <c r="T317" s="45"/>
      <c r="U317" s="45"/>
    </row>
    <row r="318" spans="1:21" ht="18.7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8"/>
      <c r="T318" s="45"/>
      <c r="U318" s="45"/>
    </row>
    <row r="319" spans="1:21" ht="18.7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8"/>
      <c r="T319" s="45"/>
      <c r="U319" s="45"/>
    </row>
    <row r="320" spans="1:21" ht="18.7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8"/>
      <c r="T320" s="45"/>
      <c r="U320" s="45"/>
    </row>
    <row r="321" spans="1:21" ht="18.7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8"/>
      <c r="T321" s="45"/>
      <c r="U321" s="45"/>
    </row>
    <row r="322" spans="1:21" ht="18.7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8"/>
      <c r="T322" s="45"/>
      <c r="U322" s="45"/>
    </row>
    <row r="323" spans="1:21" ht="18.7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8"/>
      <c r="T323" s="45"/>
      <c r="U323" s="45"/>
    </row>
    <row r="324" spans="1:21" ht="18.7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8"/>
      <c r="T325" s="45"/>
      <c r="U325" s="45"/>
    </row>
    <row r="326" spans="1:21" ht="18.7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8"/>
      <c r="T326" s="45"/>
      <c r="U326" s="45"/>
    </row>
    <row r="327" spans="1:21" ht="18.7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8"/>
      <c r="T327" s="45"/>
      <c r="U327" s="45"/>
    </row>
    <row r="328" spans="1:21" ht="18.7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8"/>
      <c r="T328" s="45"/>
      <c r="U328" s="45"/>
    </row>
    <row r="329" spans="1:21" ht="18.7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8"/>
      <c r="T329" s="45"/>
      <c r="U329" s="45"/>
    </row>
    <row r="330" spans="1:21" ht="18.7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8"/>
      <c r="T330" s="45"/>
      <c r="U330" s="45"/>
    </row>
    <row r="331" spans="1:21" ht="18.7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8"/>
      <c r="T331" s="45"/>
      <c r="U331" s="45"/>
    </row>
    <row r="332" spans="1:21" ht="18.7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8"/>
      <c r="T332" s="45"/>
      <c r="U332" s="45"/>
    </row>
    <row r="333" spans="1:21" ht="18.7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8"/>
      <c r="T333" s="45"/>
      <c r="U333" s="45"/>
    </row>
    <row r="334" spans="1:21" ht="18.7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8"/>
      <c r="T334" s="45"/>
      <c r="U334" s="45"/>
    </row>
    <row r="335" spans="1:21" ht="18.7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8"/>
      <c r="T335" s="45"/>
      <c r="U335" s="45"/>
    </row>
    <row r="336" spans="1:21" ht="18.7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8"/>
      <c r="T336" s="45"/>
      <c r="U336" s="45"/>
    </row>
    <row r="337" spans="1:21" ht="18.7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8"/>
      <c r="T337" s="45"/>
      <c r="U337" s="45"/>
    </row>
    <row r="338" spans="1:21" ht="18.7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8"/>
      <c r="T338" s="45"/>
      <c r="U338" s="45"/>
    </row>
    <row r="339" spans="1:21" ht="18.7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8"/>
      <c r="T339" s="45"/>
      <c r="U339" s="45"/>
    </row>
    <row r="340" spans="1:21" ht="18.7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8"/>
      <c r="T340" s="45"/>
      <c r="U340" s="45"/>
    </row>
    <row r="341" spans="1:21" ht="18.7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8"/>
      <c r="T341" s="45"/>
      <c r="U341" s="45"/>
    </row>
    <row r="342" spans="1:21" ht="18.7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8"/>
      <c r="T342" s="45"/>
      <c r="U342" s="45"/>
    </row>
    <row r="343" spans="1:21" ht="18.7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8"/>
      <c r="T343" s="45"/>
      <c r="U343" s="45"/>
    </row>
    <row r="344" spans="1:21" ht="18.7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8"/>
      <c r="T344" s="45"/>
      <c r="U344" s="45"/>
    </row>
    <row r="345" spans="1:21" ht="18.7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8"/>
      <c r="T345" s="45"/>
      <c r="U345" s="45"/>
    </row>
    <row r="346" spans="1:21" ht="18.7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8"/>
      <c r="T346" s="45"/>
      <c r="U346" s="45"/>
    </row>
    <row r="347" spans="1:21" ht="18.7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8"/>
      <c r="T347" s="45"/>
      <c r="U347" s="45"/>
    </row>
    <row r="348" spans="1:21" ht="18.7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8"/>
      <c r="T348" s="45"/>
      <c r="U348" s="45"/>
    </row>
    <row r="349" spans="1:21" ht="18.7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8"/>
      <c r="T349" s="45"/>
      <c r="U349" s="45"/>
    </row>
    <row r="350" spans="1:21" ht="18.7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8"/>
      <c r="T350" s="45"/>
      <c r="U350" s="45"/>
    </row>
    <row r="351" spans="1:21" ht="18.7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8"/>
      <c r="T351" s="45"/>
      <c r="U351" s="45"/>
    </row>
    <row r="352" spans="1:21" ht="18.7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8"/>
      <c r="T352" s="45"/>
      <c r="U352" s="45"/>
    </row>
    <row r="353" spans="1:21" ht="18.7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8"/>
      <c r="T353" s="45"/>
      <c r="U353" s="45"/>
    </row>
    <row r="354" spans="1:21" ht="18.7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8"/>
      <c r="T354" s="45"/>
      <c r="U354" s="45"/>
    </row>
    <row r="355" spans="1:21" ht="18.7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8"/>
      <c r="T355" s="45"/>
      <c r="U355" s="45"/>
    </row>
    <row r="356" spans="1:21" ht="18.7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8"/>
      <c r="T356" s="45"/>
      <c r="U356" s="45"/>
    </row>
    <row r="357" spans="1:21" ht="18.7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8"/>
      <c r="T357" s="45"/>
      <c r="U357" s="45"/>
    </row>
    <row r="358" spans="1:21" ht="18.7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8"/>
      <c r="T358" s="45"/>
      <c r="U358" s="45"/>
    </row>
    <row r="359" spans="1:21" ht="18.7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8"/>
      <c r="T359" s="45"/>
      <c r="U359" s="45"/>
    </row>
    <row r="360" spans="1:21" ht="18.7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8"/>
      <c r="T360" s="45"/>
      <c r="U360" s="45"/>
    </row>
    <row r="361" spans="1:21" ht="18.7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8"/>
      <c r="T361" s="45"/>
      <c r="U361" s="45"/>
    </row>
    <row r="362" spans="1:21" ht="18.7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8"/>
      <c r="T362" s="45"/>
      <c r="U362" s="45"/>
    </row>
    <row r="363" spans="1:21" ht="18.7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8"/>
      <c r="T363" s="45"/>
      <c r="U363" s="45"/>
    </row>
    <row r="364" spans="1:21" ht="18.7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8"/>
      <c r="T364" s="45"/>
      <c r="U364" s="45"/>
    </row>
    <row r="365" spans="1:21" ht="18.7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8"/>
      <c r="T365" s="45"/>
      <c r="U365" s="45"/>
    </row>
    <row r="366" spans="1:21" ht="18.7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8"/>
      <c r="T366" s="45"/>
      <c r="U366" s="45"/>
    </row>
    <row r="367" spans="1:21" ht="18.7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8"/>
      <c r="T367" s="45"/>
      <c r="U367" s="45"/>
    </row>
    <row r="368" spans="1:21" ht="18.7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8"/>
      <c r="T368" s="45"/>
      <c r="U368" s="45"/>
    </row>
    <row r="369" spans="1:21" ht="18.7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8"/>
      <c r="T369" s="45"/>
      <c r="U369" s="45"/>
    </row>
    <row r="370" spans="1:21" ht="18.7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8"/>
      <c r="T370" s="45"/>
      <c r="U370" s="45"/>
    </row>
    <row r="371" spans="1:21" ht="18.7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8"/>
      <c r="T371" s="45"/>
      <c r="U371" s="45"/>
    </row>
    <row r="372" spans="1:21" ht="18.7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8"/>
      <c r="T372" s="45"/>
      <c r="U372" s="45"/>
    </row>
    <row r="373" spans="1:21" ht="18.7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8"/>
      <c r="T373" s="45"/>
      <c r="U373" s="45"/>
    </row>
    <row r="374" spans="1:21" ht="18.7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8"/>
      <c r="T374" s="45"/>
      <c r="U374" s="45"/>
    </row>
    <row r="375" spans="1:21" ht="18.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8"/>
      <c r="T375" s="45"/>
      <c r="U375" s="45"/>
    </row>
    <row r="376" spans="1:21" ht="18.7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8"/>
      <c r="T376" s="45"/>
      <c r="U376" s="45"/>
    </row>
    <row r="377" spans="1:21" ht="18.7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8"/>
      <c r="T377" s="45"/>
      <c r="U377" s="45"/>
    </row>
    <row r="378" spans="1:21" ht="18.7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8"/>
      <c r="T378" s="45"/>
      <c r="U378" s="45"/>
    </row>
    <row r="379" spans="1:21" ht="18.7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8"/>
      <c r="T379" s="45"/>
      <c r="U379" s="45"/>
    </row>
    <row r="380" spans="1:21" ht="18.7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8"/>
      <c r="T380" s="45"/>
      <c r="U380" s="45"/>
    </row>
    <row r="381" spans="1:21" ht="18.7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8"/>
      <c r="T381" s="45"/>
      <c r="U381" s="45"/>
    </row>
    <row r="382" spans="1:21" ht="18.7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8"/>
      <c r="T382" s="45"/>
      <c r="U382" s="45"/>
    </row>
    <row r="383" spans="1:21" ht="18.7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8"/>
      <c r="T383" s="45"/>
      <c r="U383" s="45"/>
    </row>
    <row r="384" spans="1:21" ht="18.7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8"/>
      <c r="T384" s="45"/>
      <c r="U384" s="45"/>
    </row>
    <row r="385" spans="1:21" ht="18.7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8"/>
      <c r="T385" s="45"/>
      <c r="U385" s="45"/>
    </row>
    <row r="386" spans="1:21" ht="18.7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8"/>
      <c r="T386" s="45"/>
      <c r="U386" s="45"/>
    </row>
    <row r="387" spans="1:21" ht="18.7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8"/>
      <c r="T387" s="45"/>
      <c r="U387" s="45"/>
    </row>
    <row r="388" spans="1:21" ht="18.7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8"/>
      <c r="T388" s="45"/>
      <c r="U388" s="45"/>
    </row>
    <row r="389" spans="1:21" ht="18.7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8"/>
      <c r="T389" s="45"/>
      <c r="U389" s="45"/>
    </row>
    <row r="390" spans="1:21" ht="18.7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8"/>
      <c r="T390" s="45"/>
      <c r="U390" s="45"/>
    </row>
    <row r="391" spans="1:21" ht="18.7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8"/>
      <c r="T391" s="45"/>
      <c r="U391" s="45"/>
    </row>
    <row r="392" spans="1:21" ht="18.7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8"/>
      <c r="T392" s="45"/>
      <c r="U392" s="45"/>
    </row>
    <row r="393" spans="1:21" ht="18.7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8"/>
      <c r="T393" s="45"/>
      <c r="U393" s="45"/>
    </row>
    <row r="394" spans="1:21" ht="18.7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8"/>
      <c r="T394" s="45"/>
      <c r="U394" s="45"/>
    </row>
    <row r="395" spans="1:21" ht="18.7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8"/>
      <c r="T395" s="45"/>
      <c r="U395" s="45"/>
    </row>
    <row r="396" spans="1:21" ht="18.7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8"/>
      <c r="T396" s="45"/>
      <c r="U396" s="45"/>
    </row>
    <row r="397" spans="1:21" ht="18.7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8"/>
      <c r="T397" s="45"/>
      <c r="U397" s="45"/>
    </row>
    <row r="398" spans="1:21" ht="18.7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8"/>
      <c r="T398" s="45"/>
      <c r="U398" s="45"/>
    </row>
    <row r="399" spans="1:21" ht="18.7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8"/>
      <c r="T399" s="45"/>
      <c r="U399" s="45"/>
    </row>
    <row r="400" spans="1:21" ht="18.7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8"/>
      <c r="T400" s="45"/>
      <c r="U400" s="45"/>
    </row>
    <row r="401" spans="1:21" ht="18.7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8"/>
      <c r="T401" s="45"/>
      <c r="U401" s="45"/>
    </row>
    <row r="402" spans="1:21" ht="18.7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8"/>
      <c r="T402" s="45"/>
      <c r="U402" s="45"/>
    </row>
    <row r="403" spans="1:21" ht="18.7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8"/>
      <c r="T403" s="45"/>
      <c r="U403" s="45"/>
    </row>
    <row r="404" spans="1:21" ht="18.7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8"/>
      <c r="T404" s="45"/>
      <c r="U404" s="45"/>
    </row>
    <row r="405" spans="1:21" ht="18.7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8"/>
      <c r="T405" s="45"/>
      <c r="U405" s="45"/>
    </row>
    <row r="406" spans="1:21" ht="18.7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8"/>
      <c r="T406" s="45"/>
      <c r="U406" s="45"/>
    </row>
    <row r="407" spans="1:21" ht="18.7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8"/>
      <c r="T407" s="45"/>
      <c r="U407" s="45"/>
    </row>
    <row r="408" spans="1:21" ht="18.7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8"/>
      <c r="T408" s="45"/>
      <c r="U408" s="45"/>
    </row>
    <row r="409" spans="1:21" ht="18.7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8"/>
      <c r="T409" s="45"/>
      <c r="U409" s="45"/>
    </row>
    <row r="410" spans="1:21" ht="18.7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8"/>
      <c r="T410" s="45"/>
      <c r="U410" s="45"/>
    </row>
    <row r="411" spans="1:21" ht="18.7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8"/>
      <c r="T411" s="45"/>
      <c r="U411" s="45"/>
    </row>
    <row r="412" spans="1:21" ht="18.7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8"/>
      <c r="T412" s="45"/>
      <c r="U412" s="45"/>
    </row>
    <row r="413" spans="1:21" ht="18.7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8"/>
      <c r="T413" s="45"/>
      <c r="U413" s="45"/>
    </row>
    <row r="414" spans="1:21" ht="18.7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8"/>
      <c r="T414" s="45"/>
      <c r="U414" s="45"/>
    </row>
    <row r="415" spans="1:21" ht="18.7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8"/>
      <c r="T415" s="45"/>
      <c r="U415" s="45"/>
    </row>
    <row r="416" spans="1:21" ht="18.7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8"/>
      <c r="T416" s="45"/>
      <c r="U416" s="45"/>
    </row>
    <row r="417" spans="1:21" ht="18.7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8"/>
      <c r="T417" s="45"/>
      <c r="U417" s="45"/>
    </row>
    <row r="418" spans="1:21" ht="18.7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8"/>
      <c r="T418" s="45"/>
      <c r="U418" s="45"/>
    </row>
    <row r="419" spans="1:21" ht="18.7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8"/>
      <c r="T419" s="45"/>
      <c r="U419" s="45"/>
    </row>
    <row r="420" spans="1:21" ht="18.7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8"/>
      <c r="T420" s="45"/>
      <c r="U420" s="45"/>
    </row>
    <row r="421" spans="1:21" ht="18.7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8"/>
      <c r="T421" s="45"/>
      <c r="U421" s="45"/>
    </row>
    <row r="422" spans="1:21" ht="18.7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8"/>
      <c r="T422" s="45"/>
      <c r="U422" s="45"/>
    </row>
    <row r="423" spans="1:21" ht="18.7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8"/>
      <c r="T423" s="45"/>
      <c r="U423" s="45"/>
    </row>
    <row r="424" spans="1:21" ht="18.7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8"/>
      <c r="T424" s="45"/>
      <c r="U424" s="45"/>
    </row>
    <row r="425" spans="1:21" ht="18.7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8"/>
      <c r="T425" s="45"/>
      <c r="U425" s="45"/>
    </row>
    <row r="426" spans="1:21" ht="18.7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8"/>
      <c r="T426" s="45"/>
      <c r="U426" s="45"/>
    </row>
    <row r="427" spans="1:21" ht="18.7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8"/>
      <c r="T427" s="45"/>
      <c r="U427" s="45"/>
    </row>
    <row r="428" spans="1:21" ht="18.7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8"/>
      <c r="T428" s="45"/>
      <c r="U428" s="45"/>
    </row>
    <row r="429" spans="1:21" ht="18.7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8"/>
      <c r="T429" s="45"/>
      <c r="U429" s="45"/>
    </row>
    <row r="430" spans="1:21" ht="18.7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8"/>
      <c r="T430" s="45"/>
      <c r="U430" s="45"/>
    </row>
    <row r="431" spans="1:21" ht="18.7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8"/>
      <c r="T431" s="45"/>
      <c r="U431" s="45"/>
    </row>
    <row r="432" spans="1:21" ht="18.7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8"/>
      <c r="T432" s="45"/>
      <c r="U432" s="45"/>
    </row>
    <row r="433" spans="1:21" ht="18.7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8"/>
      <c r="T433" s="45"/>
      <c r="U433" s="45"/>
    </row>
    <row r="434" spans="1:21" ht="18.7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8"/>
      <c r="T434" s="45"/>
      <c r="U434" s="45"/>
    </row>
    <row r="435" spans="1:21" ht="18.7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8"/>
      <c r="T435" s="45"/>
      <c r="U435" s="45"/>
    </row>
    <row r="436" spans="1:21" ht="18.7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8"/>
      <c r="T436" s="45"/>
      <c r="U436" s="45"/>
    </row>
    <row r="437" spans="1:21" ht="18.7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8"/>
      <c r="T437" s="45"/>
      <c r="U437" s="45"/>
    </row>
    <row r="438" spans="1:21" ht="18.7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8"/>
      <c r="T438" s="45"/>
      <c r="U438" s="45"/>
    </row>
    <row r="439" spans="1:21" ht="18.7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8"/>
      <c r="T439" s="45"/>
      <c r="U439" s="45"/>
    </row>
    <row r="440" spans="1:21" ht="18.7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8"/>
      <c r="T440" s="45"/>
      <c r="U440" s="45"/>
    </row>
    <row r="441" spans="1:21" ht="18.7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8"/>
      <c r="T441" s="45"/>
      <c r="U441" s="45"/>
    </row>
    <row r="442" spans="1:21" ht="18.7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8"/>
      <c r="T442" s="45"/>
      <c r="U442" s="45"/>
    </row>
    <row r="443" spans="1:21" ht="18.7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8"/>
      <c r="T443" s="45"/>
      <c r="U443" s="45"/>
    </row>
    <row r="444" spans="1:21" ht="18.7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8"/>
      <c r="T444" s="45"/>
      <c r="U444" s="45"/>
    </row>
    <row r="445" spans="1:21" ht="18.7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8"/>
      <c r="T445" s="45"/>
      <c r="U445" s="45"/>
    </row>
    <row r="446" spans="1:21" ht="18.7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8"/>
      <c r="T446" s="45"/>
      <c r="U446" s="45"/>
    </row>
    <row r="447" spans="1:21" ht="18.7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8"/>
      <c r="T447" s="45"/>
      <c r="U447" s="45"/>
    </row>
    <row r="448" spans="1:21" ht="18.7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8"/>
      <c r="T448" s="45"/>
      <c r="U448" s="45"/>
    </row>
    <row r="449" spans="1:21" ht="18.7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8"/>
      <c r="T449" s="45"/>
      <c r="U449" s="45"/>
    </row>
    <row r="450" spans="1:21" ht="18.7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8"/>
      <c r="T450" s="45"/>
      <c r="U450" s="45"/>
    </row>
    <row r="451" spans="1:21" ht="18.7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8"/>
      <c r="T451" s="45"/>
      <c r="U451" s="45"/>
    </row>
    <row r="452" spans="1:21" ht="18.7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8"/>
      <c r="T452" s="45"/>
      <c r="U452" s="45"/>
    </row>
    <row r="453" spans="1:21" ht="18.7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8"/>
      <c r="T453" s="45"/>
      <c r="U453" s="45"/>
    </row>
    <row r="454" spans="1:21" ht="18.7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8"/>
      <c r="T454" s="45"/>
      <c r="U454" s="45"/>
    </row>
    <row r="455" spans="1:21" ht="18.7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8"/>
      <c r="T455" s="45"/>
      <c r="U455" s="45"/>
    </row>
    <row r="456" spans="1:21" ht="18.7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8"/>
      <c r="T456" s="45"/>
      <c r="U456" s="45"/>
    </row>
    <row r="457" spans="1:21" ht="18.7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8"/>
      <c r="T457" s="45"/>
      <c r="U457" s="45"/>
    </row>
    <row r="458" spans="1:21" ht="18.7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8"/>
      <c r="T458" s="45"/>
      <c r="U458" s="45"/>
    </row>
    <row r="459" spans="1:21" ht="18.7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8"/>
      <c r="T459" s="45"/>
      <c r="U459" s="45"/>
    </row>
    <row r="460" spans="1:21" ht="18.7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8"/>
      <c r="T460" s="45"/>
      <c r="U460" s="45"/>
    </row>
    <row r="461" spans="1:21" ht="18.7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8"/>
      <c r="T461" s="45"/>
      <c r="U461" s="45"/>
    </row>
    <row r="462" spans="1:21" ht="18.7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8"/>
      <c r="T462" s="45"/>
      <c r="U462" s="45"/>
    </row>
    <row r="463" spans="1:21" ht="18.7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8"/>
      <c r="T463" s="45"/>
      <c r="U463" s="45"/>
    </row>
    <row r="464" spans="1:21" ht="18.7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8"/>
      <c r="T464" s="45"/>
      <c r="U464" s="45"/>
    </row>
    <row r="465" spans="1:21" ht="18.7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8"/>
      <c r="T465" s="45"/>
      <c r="U465" s="45"/>
    </row>
    <row r="466" spans="1:21" ht="18.7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8"/>
      <c r="T466" s="45"/>
      <c r="U466" s="45"/>
    </row>
    <row r="467" spans="1:21" ht="18.7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8"/>
      <c r="T467" s="45"/>
      <c r="U467" s="45"/>
    </row>
    <row r="468" spans="1:21" ht="18.7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8"/>
      <c r="T468" s="45"/>
      <c r="U468" s="45"/>
    </row>
    <row r="469" spans="1:21" ht="18.7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8"/>
      <c r="T469" s="45"/>
      <c r="U469" s="45"/>
    </row>
    <row r="470" spans="1:21" ht="18.7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8"/>
      <c r="T470" s="45"/>
      <c r="U470" s="45"/>
    </row>
    <row r="471" spans="1:21" ht="18.7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8"/>
      <c r="T471" s="45"/>
      <c r="U471" s="45"/>
    </row>
    <row r="472" spans="1:21" ht="18.7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8"/>
      <c r="T472" s="45"/>
      <c r="U472" s="45"/>
    </row>
    <row r="473" spans="1:21" ht="18.7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8"/>
      <c r="T473" s="45"/>
      <c r="U473" s="45"/>
    </row>
    <row r="474" spans="1:21" ht="18.7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8"/>
      <c r="T474" s="45"/>
      <c r="U474" s="45"/>
    </row>
    <row r="475" spans="1:21" ht="18.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8"/>
      <c r="T475" s="45"/>
      <c r="U475" s="45"/>
    </row>
    <row r="476" spans="1:21" ht="18.7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8"/>
      <c r="T476" s="45"/>
      <c r="U476" s="45"/>
    </row>
    <row r="477" spans="1:21" ht="18.7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8"/>
      <c r="T477" s="45"/>
      <c r="U477" s="45"/>
    </row>
    <row r="478" spans="1:21" ht="18.7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8"/>
      <c r="T478" s="45"/>
      <c r="U478" s="45"/>
    </row>
    <row r="479" spans="1:21" ht="18.7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8"/>
      <c r="T479" s="45"/>
      <c r="U479" s="45"/>
    </row>
    <row r="480" spans="1:21" ht="18.7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8"/>
      <c r="T480" s="45"/>
      <c r="U480" s="45"/>
    </row>
    <row r="481" spans="1:21" ht="18.7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8"/>
      <c r="T481" s="45"/>
      <c r="U481" s="45"/>
    </row>
    <row r="482" spans="1:21" ht="18.7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8"/>
      <c r="T482" s="45"/>
      <c r="U482" s="45"/>
    </row>
    <row r="483" spans="1:21" ht="18.7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8"/>
      <c r="T483" s="45"/>
      <c r="U483" s="45"/>
    </row>
    <row r="484" spans="1:21" ht="18.7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8"/>
      <c r="T484" s="45"/>
      <c r="U484" s="45"/>
    </row>
    <row r="485" spans="1:21" ht="18.7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8"/>
      <c r="T485" s="45"/>
      <c r="U485" s="45"/>
    </row>
    <row r="486" spans="1:21" ht="18.7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8"/>
      <c r="T486" s="45"/>
      <c r="U486" s="45"/>
    </row>
    <row r="487" spans="1:21" ht="18.7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8"/>
      <c r="T487" s="45"/>
      <c r="U487" s="45"/>
    </row>
    <row r="488" spans="1:21" ht="18.7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8"/>
      <c r="T488" s="45"/>
      <c r="U488" s="45"/>
    </row>
    <row r="489" spans="1:21" ht="18.7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8"/>
      <c r="T489" s="45"/>
      <c r="U489" s="45"/>
    </row>
    <row r="490" spans="1:21" ht="18.7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8"/>
      <c r="T490" s="45"/>
      <c r="U490" s="45"/>
    </row>
    <row r="491" spans="1:21" ht="18.7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8"/>
      <c r="T491" s="45"/>
      <c r="U491" s="45"/>
    </row>
    <row r="492" spans="1:21" ht="18.7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8"/>
      <c r="T492" s="45"/>
      <c r="U492" s="45"/>
    </row>
    <row r="493" spans="1:21" ht="18.7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8"/>
      <c r="T493" s="45"/>
      <c r="U493" s="45"/>
    </row>
    <row r="494" spans="1:21" ht="18.7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8"/>
      <c r="T494" s="45"/>
      <c r="U494" s="45"/>
    </row>
    <row r="495" spans="1:21" ht="18.7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8"/>
      <c r="T495" s="45"/>
      <c r="U495" s="45"/>
    </row>
    <row r="496" spans="1:21" ht="18.7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8"/>
      <c r="T496" s="45"/>
      <c r="U496" s="45"/>
    </row>
    <row r="497" spans="1:21" ht="18.7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8"/>
      <c r="T497" s="45"/>
      <c r="U497" s="45"/>
    </row>
    <row r="498" spans="1:21" ht="18.7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8"/>
      <c r="T498" s="45"/>
      <c r="U498" s="45"/>
    </row>
    <row r="499" spans="1:21" ht="18.7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8"/>
      <c r="T499" s="45"/>
      <c r="U499" s="45"/>
    </row>
    <row r="500" spans="1:21" ht="18.7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8"/>
      <c r="T500" s="45"/>
      <c r="U500" s="45"/>
    </row>
    <row r="501" spans="1:21" ht="18.7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8"/>
      <c r="T501" s="45"/>
      <c r="U501" s="45"/>
    </row>
    <row r="502" spans="1:21" ht="18.7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8"/>
      <c r="T502" s="45"/>
      <c r="U502" s="45"/>
    </row>
    <row r="503" spans="1:21" ht="18.7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8"/>
      <c r="T503" s="45"/>
      <c r="U503" s="45"/>
    </row>
    <row r="504" spans="1:21" ht="18.7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8"/>
      <c r="T504" s="45"/>
      <c r="U504" s="45"/>
    </row>
    <row r="505" spans="1:21" ht="18.7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8"/>
      <c r="T505" s="45"/>
      <c r="U505" s="45"/>
    </row>
    <row r="506" spans="1:21" ht="18.7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8"/>
      <c r="T506" s="45"/>
      <c r="U506" s="45"/>
    </row>
    <row r="507" spans="1:21" ht="18.7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8"/>
      <c r="T507" s="45"/>
      <c r="U507" s="45"/>
    </row>
    <row r="508" spans="1:21" ht="18.7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8"/>
      <c r="T508" s="45"/>
      <c r="U508" s="45"/>
    </row>
    <row r="509" spans="1:21" ht="18.7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8"/>
      <c r="T509" s="45"/>
      <c r="U509" s="45"/>
    </row>
    <row r="510" spans="1:21" ht="18.7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8"/>
      <c r="T510" s="45"/>
      <c r="U510" s="45"/>
    </row>
    <row r="511" spans="1:21" ht="18.7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8"/>
      <c r="T511" s="45"/>
      <c r="U511" s="45"/>
    </row>
    <row r="512" spans="1:21" ht="18.7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8"/>
      <c r="T512" s="45"/>
      <c r="U512" s="45"/>
    </row>
    <row r="513" spans="1:21" ht="18.7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8"/>
      <c r="T513" s="45"/>
      <c r="U513" s="45"/>
    </row>
    <row r="514" spans="1:21" ht="18.7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8"/>
      <c r="T514" s="45"/>
      <c r="U514" s="45"/>
    </row>
    <row r="515" spans="1:21" ht="18.7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8"/>
      <c r="T515" s="45"/>
      <c r="U515" s="45"/>
    </row>
    <row r="516" spans="1:21" ht="18.7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8"/>
      <c r="T516" s="45"/>
      <c r="U516" s="45"/>
    </row>
    <row r="517" spans="1:21" ht="18.7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8"/>
      <c r="T517" s="45"/>
      <c r="U517" s="45"/>
    </row>
    <row r="518" spans="1:21" ht="18.7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8"/>
      <c r="T518" s="45"/>
      <c r="U518" s="45"/>
    </row>
    <row r="519" spans="1:21" ht="18.7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8"/>
      <c r="T519" s="45"/>
      <c r="U519" s="45"/>
    </row>
    <row r="520" spans="1:21" ht="18.7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8"/>
      <c r="T520" s="45"/>
      <c r="U520" s="45"/>
    </row>
    <row r="521" spans="1:21" ht="18.7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8"/>
      <c r="T521" s="45"/>
      <c r="U521" s="45"/>
    </row>
    <row r="522" spans="1:21" ht="18.7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8"/>
      <c r="T522" s="45"/>
      <c r="U522" s="45"/>
    </row>
    <row r="523" spans="1:21" ht="18.7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8"/>
      <c r="T523" s="45"/>
      <c r="U523" s="45"/>
    </row>
    <row r="524" spans="1:21" ht="18.7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8"/>
      <c r="T524" s="45"/>
      <c r="U524" s="45"/>
    </row>
    <row r="525" spans="1:21" ht="18.7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8"/>
      <c r="T525" s="45"/>
      <c r="U525" s="45"/>
    </row>
    <row r="526" spans="1:21" ht="18.7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8"/>
      <c r="T526" s="45"/>
      <c r="U526" s="45"/>
    </row>
    <row r="527" spans="1:21" ht="18.7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8"/>
      <c r="T527" s="45"/>
      <c r="U527" s="45"/>
    </row>
    <row r="528" spans="1:21" ht="18.7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8"/>
      <c r="T528" s="45"/>
      <c r="U528" s="45"/>
    </row>
    <row r="529" spans="1:21" ht="18.7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8"/>
      <c r="T529" s="45"/>
      <c r="U529" s="45"/>
    </row>
    <row r="530" spans="1:21" ht="18.7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8"/>
      <c r="T530" s="45"/>
      <c r="U530" s="45"/>
    </row>
    <row r="531" spans="1:21" ht="18.7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8"/>
      <c r="T531" s="45"/>
      <c r="U531" s="45"/>
    </row>
    <row r="532" spans="1:21" ht="18.7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8"/>
      <c r="T532" s="45"/>
      <c r="U532" s="45"/>
    </row>
    <row r="533" spans="1:21" ht="18.7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8"/>
      <c r="T533" s="45"/>
      <c r="U533" s="45"/>
    </row>
    <row r="534" spans="1:21" ht="18.7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8"/>
      <c r="T534" s="45"/>
      <c r="U534" s="45"/>
    </row>
    <row r="535" spans="1:21" ht="18.7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8"/>
      <c r="T535" s="45"/>
      <c r="U535" s="45"/>
    </row>
    <row r="536" spans="1:21" ht="18.7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8"/>
      <c r="T536" s="45"/>
      <c r="U536" s="45"/>
    </row>
    <row r="537" spans="1:21" ht="18.7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8"/>
      <c r="T537" s="45"/>
      <c r="U537" s="45"/>
    </row>
    <row r="538" spans="1:21" ht="18.7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8"/>
      <c r="T538" s="45"/>
      <c r="U538" s="45"/>
    </row>
    <row r="539" spans="1:21" ht="18.7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8"/>
      <c r="T539" s="45"/>
      <c r="U539" s="45"/>
    </row>
    <row r="540" spans="1:21" ht="18.7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8"/>
      <c r="T540" s="45"/>
      <c r="U540" s="45"/>
    </row>
    <row r="541" spans="1:21" ht="18.7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8"/>
      <c r="T541" s="45"/>
      <c r="U541" s="45"/>
    </row>
    <row r="542" spans="1:21" ht="18.7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8"/>
      <c r="T542" s="45"/>
      <c r="U542" s="45"/>
    </row>
    <row r="543" spans="1:21" ht="18.7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8"/>
      <c r="T543" s="45"/>
      <c r="U543" s="45"/>
    </row>
    <row r="544" spans="1:21" ht="18.7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8"/>
      <c r="T544" s="45"/>
      <c r="U544" s="45"/>
    </row>
    <row r="545" spans="1:21" ht="18.7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8"/>
      <c r="T545" s="45"/>
      <c r="U545" s="45"/>
    </row>
    <row r="546" spans="1:21" ht="18.7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8"/>
      <c r="T546" s="45"/>
      <c r="U546" s="45"/>
    </row>
    <row r="547" spans="1:21" ht="18.7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8"/>
      <c r="T547" s="45"/>
      <c r="U547" s="45"/>
    </row>
    <row r="548" spans="1:21" ht="18.7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8"/>
      <c r="T548" s="45"/>
      <c r="U548" s="45"/>
    </row>
    <row r="549" spans="1:21" ht="18.7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8"/>
      <c r="T549" s="45"/>
      <c r="U549" s="45"/>
    </row>
    <row r="550" spans="1:21" ht="18.7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8"/>
      <c r="T550" s="45"/>
      <c r="U550" s="45"/>
    </row>
    <row r="551" spans="1:21" ht="18.7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8"/>
      <c r="T551" s="45"/>
      <c r="U551" s="45"/>
    </row>
    <row r="552" spans="1:21" ht="18.7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8"/>
      <c r="T552" s="45"/>
      <c r="U552" s="45"/>
    </row>
    <row r="553" spans="1:21" ht="18.7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8"/>
      <c r="T553" s="45"/>
      <c r="U553" s="45"/>
    </row>
    <row r="554" spans="1:21" ht="18.7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8"/>
      <c r="T554" s="45"/>
      <c r="U554" s="45"/>
    </row>
    <row r="555" spans="1:21" ht="18.7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8"/>
      <c r="T555" s="45"/>
      <c r="U555" s="45"/>
    </row>
    <row r="556" spans="1:21" ht="18.7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8"/>
      <c r="T556" s="45"/>
      <c r="U556" s="45"/>
    </row>
    <row r="557" spans="1:21" ht="18.7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8"/>
      <c r="T557" s="45"/>
      <c r="U557" s="45"/>
    </row>
    <row r="558" spans="1:21" ht="18.7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8"/>
      <c r="T558" s="45"/>
      <c r="U558" s="45"/>
    </row>
    <row r="559" spans="1:21" ht="18.7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8"/>
      <c r="T559" s="45"/>
      <c r="U559" s="45"/>
    </row>
    <row r="560" spans="1:21" ht="18.7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8"/>
      <c r="T560" s="45"/>
      <c r="U560" s="45"/>
    </row>
    <row r="561" spans="1:21" ht="18.7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8"/>
      <c r="T561" s="45"/>
      <c r="U561" s="45"/>
    </row>
    <row r="562" spans="1:21" ht="18.7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8"/>
      <c r="T562" s="45"/>
      <c r="U562" s="45"/>
    </row>
    <row r="563" spans="1:21" ht="18.7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8"/>
      <c r="T563" s="45"/>
      <c r="U563" s="45"/>
    </row>
    <row r="564" spans="1:21" ht="18.7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8"/>
      <c r="T564" s="45"/>
      <c r="U564" s="45"/>
    </row>
    <row r="565" spans="1:21" ht="18.7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8"/>
      <c r="T565" s="45"/>
      <c r="U565" s="45"/>
    </row>
    <row r="566" spans="1:21" ht="18.7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8"/>
      <c r="T566" s="45"/>
      <c r="U566" s="45"/>
    </row>
    <row r="567" spans="1:21" ht="18.7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8"/>
      <c r="T567" s="45"/>
      <c r="U567" s="45"/>
    </row>
    <row r="568" spans="1:21" ht="18.7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8"/>
      <c r="T568" s="45"/>
      <c r="U568" s="45"/>
    </row>
    <row r="569" spans="1:21" ht="18.7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8"/>
      <c r="T569" s="45"/>
      <c r="U569" s="45"/>
    </row>
    <row r="570" spans="1:21" ht="18.7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8"/>
      <c r="T570" s="45"/>
      <c r="U570" s="45"/>
    </row>
    <row r="571" spans="1:21" ht="18.7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8"/>
      <c r="T571" s="45"/>
      <c r="U571" s="45"/>
    </row>
    <row r="572" spans="1:21" ht="18.7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8"/>
      <c r="T572" s="45"/>
      <c r="U572" s="45"/>
    </row>
    <row r="573" spans="1:21" ht="18.7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8"/>
      <c r="T573" s="45"/>
      <c r="U573" s="45"/>
    </row>
    <row r="574" spans="1:21" ht="18.7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8"/>
      <c r="T574" s="45"/>
      <c r="U574" s="45"/>
    </row>
    <row r="575" spans="1:21" ht="18.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8"/>
      <c r="T575" s="45"/>
      <c r="U575" s="45"/>
    </row>
    <row r="576" spans="1:21" ht="18.7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8"/>
      <c r="T576" s="45"/>
      <c r="U576" s="45"/>
    </row>
    <row r="577" spans="1:21" ht="18.7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8"/>
      <c r="T577" s="45"/>
      <c r="U577" s="45"/>
    </row>
    <row r="578" spans="1:21" ht="18.7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8"/>
      <c r="T578" s="45"/>
      <c r="U578" s="45"/>
    </row>
    <row r="579" spans="1:21" ht="18.7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8"/>
      <c r="T579" s="45"/>
      <c r="U579" s="45"/>
    </row>
    <row r="580" spans="1:21" ht="18.7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8"/>
      <c r="T580" s="45"/>
      <c r="U580" s="45"/>
    </row>
    <row r="581" spans="1:21" ht="18.7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8"/>
      <c r="T581" s="45"/>
      <c r="U581" s="45"/>
    </row>
    <row r="582" spans="1:21" ht="18.7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8"/>
      <c r="T582" s="45"/>
      <c r="U582" s="45"/>
    </row>
    <row r="583" spans="1:21" ht="18.7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8"/>
      <c r="T583" s="45"/>
      <c r="U583" s="45"/>
    </row>
    <row r="584" spans="1:21" ht="18.7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8"/>
      <c r="T584" s="45"/>
      <c r="U584" s="45"/>
    </row>
    <row r="585" spans="1:21" ht="18.7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8"/>
      <c r="T585" s="45"/>
      <c r="U585" s="45"/>
    </row>
    <row r="586" spans="1:21" ht="18.7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8"/>
      <c r="T586" s="45"/>
      <c r="U586" s="45"/>
    </row>
    <row r="587" spans="1:21" ht="18.7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8"/>
      <c r="T587" s="45"/>
      <c r="U587" s="45"/>
    </row>
    <row r="588" spans="1:21" ht="18.7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8"/>
      <c r="T588" s="45"/>
      <c r="U588" s="45"/>
    </row>
    <row r="589" spans="1:21" ht="18.7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8"/>
      <c r="T589" s="45"/>
      <c r="U589" s="45"/>
    </row>
    <row r="590" spans="1:21" ht="18.7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8"/>
      <c r="T590" s="45"/>
      <c r="U590" s="45"/>
    </row>
    <row r="591" spans="1:21" ht="18.7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8"/>
      <c r="T591" s="45"/>
      <c r="U591" s="45"/>
    </row>
    <row r="592" spans="1:21" ht="18.7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8"/>
      <c r="T592" s="45"/>
      <c r="U592" s="45"/>
    </row>
    <row r="593" spans="1:21" ht="18.7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8"/>
      <c r="T593" s="45"/>
      <c r="U593" s="45"/>
    </row>
    <row r="594" spans="1:21" ht="18.7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8"/>
      <c r="T594" s="45"/>
      <c r="U594" s="45"/>
    </row>
    <row r="595" spans="1:21" ht="18.7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8"/>
      <c r="T595" s="45"/>
      <c r="U595" s="45"/>
    </row>
    <row r="596" spans="1:21" ht="18.7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8"/>
      <c r="T596" s="45"/>
      <c r="U596" s="45"/>
    </row>
    <row r="597" spans="1:21" ht="18.7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8"/>
      <c r="T597" s="45"/>
      <c r="U597" s="45"/>
    </row>
    <row r="598" spans="1:21" ht="18.7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8"/>
      <c r="T598" s="45"/>
      <c r="U598" s="45"/>
    </row>
    <row r="599" spans="1:21" ht="18.7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8"/>
      <c r="T599" s="45"/>
      <c r="U599" s="45"/>
    </row>
    <row r="600" spans="1:21" ht="18.7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8"/>
      <c r="T600" s="45"/>
      <c r="U600" s="45"/>
    </row>
    <row r="601" spans="1:21" ht="18.7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8"/>
      <c r="T601" s="45"/>
      <c r="U601" s="45"/>
    </row>
    <row r="602" spans="1:21" ht="18.7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8"/>
      <c r="T602" s="45"/>
      <c r="U602" s="45"/>
    </row>
    <row r="603" spans="1:21" ht="18.7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8"/>
      <c r="T603" s="45"/>
      <c r="U603" s="45"/>
    </row>
    <row r="604" spans="1:21" ht="18.7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8"/>
      <c r="T604" s="45"/>
      <c r="U604" s="45"/>
    </row>
    <row r="605" spans="1:21" ht="18.7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8"/>
      <c r="T605" s="45"/>
      <c r="U605" s="45"/>
    </row>
    <row r="606" spans="1:21" ht="18.7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8"/>
      <c r="T606" s="45"/>
      <c r="U606" s="45"/>
    </row>
    <row r="607" spans="1:21" ht="18.7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8"/>
      <c r="T607" s="45"/>
      <c r="U607" s="45"/>
    </row>
    <row r="608" spans="1:21" ht="18.7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8"/>
      <c r="T608" s="45"/>
      <c r="U608" s="45"/>
    </row>
    <row r="609" spans="1:21" ht="18.7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8"/>
      <c r="T609" s="45"/>
      <c r="U609" s="45"/>
    </row>
    <row r="610" spans="1:21" ht="18.7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8"/>
      <c r="T610" s="45"/>
      <c r="U610" s="45"/>
    </row>
    <row r="611" spans="1:21" ht="18.7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8"/>
      <c r="T611" s="45"/>
      <c r="U611" s="45"/>
    </row>
    <row r="612" spans="1:21" ht="18.7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8"/>
      <c r="T612" s="45"/>
      <c r="U612" s="45"/>
    </row>
    <row r="613" spans="1:21" ht="18.7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8"/>
      <c r="T613" s="45"/>
      <c r="U613" s="45"/>
    </row>
    <row r="614" spans="1:21" ht="18.7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8"/>
      <c r="T614" s="45"/>
      <c r="U614" s="45"/>
    </row>
    <row r="615" spans="1:21" ht="18.7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8"/>
      <c r="T615" s="45"/>
      <c r="U615" s="45"/>
    </row>
    <row r="616" spans="1:21" ht="18.7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8"/>
      <c r="T616" s="45"/>
      <c r="U616" s="45"/>
    </row>
    <row r="617" spans="1:21" ht="18.7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8"/>
      <c r="T617" s="45"/>
      <c r="U617" s="45"/>
    </row>
    <row r="618" spans="1:21" ht="18.7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8"/>
      <c r="T618" s="45"/>
      <c r="U618" s="45"/>
    </row>
    <row r="619" spans="1:21" ht="18.7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8"/>
      <c r="T619" s="45"/>
      <c r="U619" s="45"/>
    </row>
    <row r="620" spans="1:21" ht="18.7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8"/>
      <c r="T620" s="45"/>
      <c r="U620" s="45"/>
    </row>
    <row r="621" spans="1:21" ht="18.7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8"/>
      <c r="T621" s="45"/>
      <c r="U621" s="45"/>
    </row>
    <row r="622" spans="1:21" ht="18.7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8"/>
      <c r="T622" s="45"/>
      <c r="U622" s="45"/>
    </row>
    <row r="623" spans="1:21" ht="18.7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8"/>
      <c r="T623" s="45"/>
      <c r="U623" s="45"/>
    </row>
    <row r="624" spans="1:21" ht="18.7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8"/>
      <c r="T624" s="45"/>
      <c r="U624" s="45"/>
    </row>
    <row r="625" spans="1:21" ht="18.7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8"/>
      <c r="T625" s="45"/>
      <c r="U625" s="45"/>
    </row>
    <row r="626" spans="1:21" ht="18.7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8"/>
      <c r="T626" s="45"/>
      <c r="U626" s="45"/>
    </row>
    <row r="627" spans="1:21" ht="18.7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8"/>
      <c r="T627" s="45"/>
      <c r="U627" s="45"/>
    </row>
    <row r="628" spans="1:21" ht="18.7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8"/>
      <c r="T628" s="45"/>
      <c r="U628" s="45"/>
    </row>
    <row r="629" spans="1:21" ht="18.7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8"/>
      <c r="T629" s="45"/>
      <c r="U629" s="45"/>
    </row>
    <row r="630" spans="1:21" ht="18.7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8"/>
      <c r="T630" s="45"/>
      <c r="U630" s="45"/>
    </row>
    <row r="631" spans="1:21" ht="18.7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8"/>
      <c r="T631" s="45"/>
      <c r="U631" s="45"/>
    </row>
    <row r="632" spans="1:21" ht="18.7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8"/>
      <c r="T632" s="45"/>
      <c r="U632" s="45"/>
    </row>
    <row r="633" spans="1:21" ht="18.7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8"/>
      <c r="T633" s="45"/>
      <c r="U633" s="45"/>
    </row>
    <row r="634" spans="1:21" ht="18.7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8"/>
      <c r="T634" s="45"/>
      <c r="U634" s="45"/>
    </row>
    <row r="635" spans="1:21" ht="18.7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8"/>
      <c r="T635" s="45"/>
      <c r="U635" s="45"/>
    </row>
    <row r="636" spans="1:21" ht="18.7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8"/>
      <c r="T636" s="45"/>
      <c r="U636" s="45"/>
    </row>
    <row r="637" spans="1:21" ht="18.7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8"/>
      <c r="T637" s="45"/>
      <c r="U637" s="45"/>
    </row>
    <row r="638" spans="1:21" ht="18.7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8"/>
      <c r="T638" s="45"/>
      <c r="U638" s="45"/>
    </row>
    <row r="639" spans="1:21" ht="18.7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8"/>
      <c r="T639" s="45"/>
      <c r="U639" s="45"/>
    </row>
    <row r="640" spans="1:21" ht="18.7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8"/>
      <c r="T640" s="45"/>
      <c r="U640" s="45"/>
    </row>
    <row r="641" spans="1:21" ht="18.7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8"/>
      <c r="T641" s="45"/>
      <c r="U641" s="45"/>
    </row>
    <row r="642" spans="1:21" ht="18.7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8"/>
      <c r="T642" s="45"/>
      <c r="U642" s="45"/>
    </row>
    <row r="643" spans="1:21" ht="18.7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8"/>
      <c r="T643" s="45"/>
      <c r="U643" s="45"/>
    </row>
    <row r="644" spans="1:21" ht="18.7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8"/>
      <c r="T644" s="45"/>
      <c r="U644" s="45"/>
    </row>
    <row r="645" spans="1:21" ht="18.7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8"/>
      <c r="T645" s="45"/>
      <c r="U645" s="45"/>
    </row>
    <row r="646" spans="1:21" ht="18.7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8"/>
      <c r="T646" s="45"/>
      <c r="U646" s="45"/>
    </row>
    <row r="647" spans="1:21" ht="18.7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8"/>
      <c r="T647" s="45"/>
      <c r="U647" s="45"/>
    </row>
    <row r="648" spans="1:21" ht="18.7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8"/>
      <c r="T648" s="45"/>
      <c r="U648" s="45"/>
    </row>
    <row r="649" spans="1:21" ht="18.7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8"/>
      <c r="T649" s="45"/>
      <c r="U649" s="45"/>
    </row>
    <row r="650" spans="1:21" ht="18.7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8"/>
      <c r="T650" s="45"/>
      <c r="U650" s="45"/>
    </row>
    <row r="651" spans="1:21" ht="18.7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8"/>
      <c r="T651" s="45"/>
      <c r="U651" s="45"/>
    </row>
    <row r="652" spans="1:21" ht="18.7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8"/>
      <c r="T652" s="45"/>
      <c r="U652" s="45"/>
    </row>
    <row r="653" spans="1:21" ht="18.7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8"/>
      <c r="T653" s="45"/>
      <c r="U653" s="45"/>
    </row>
    <row r="654" spans="1:21" ht="18.7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8"/>
      <c r="T654" s="45"/>
      <c r="U654" s="45"/>
    </row>
    <row r="655" spans="1:21" ht="18.7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8"/>
      <c r="T655" s="45"/>
      <c r="U655" s="45"/>
    </row>
    <row r="656" spans="1:21" ht="18.7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8"/>
      <c r="T656" s="45"/>
      <c r="U656" s="45"/>
    </row>
    <row r="657" spans="1:21" ht="18.7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8"/>
      <c r="T657" s="45"/>
      <c r="U657" s="45"/>
    </row>
    <row r="658" spans="1:21" ht="18.7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8"/>
      <c r="T658" s="45"/>
      <c r="U658" s="45"/>
    </row>
  </sheetData>
  <autoFilter ref="A1:U25" xr:uid="{00000000-0009-0000-0000-000001000000}"/>
  <conditionalFormatting sqref="H1:H1048576 L1:L1048576">
    <cfRule type="cellIs" dxfId="31" priority="5" operator="lessThan">
      <formula>0.65</formula>
    </cfRule>
    <cfRule type="cellIs" dxfId="30" priority="6" operator="greaterThan">
      <formula>1</formula>
    </cfRule>
  </conditionalFormatting>
  <conditionalFormatting sqref="O2:R25">
    <cfRule type="cellIs" dxfId="29" priority="7" operator="lessThan">
      <formula>0.65</formula>
    </cfRule>
  </conditionalFormatting>
  <conditionalFormatting sqref="Q1">
    <cfRule type="cellIs" dxfId="28" priority="1" operator="lessThan">
      <formula>0.65</formula>
    </cfRule>
    <cfRule type="cellIs" dxfId="27" priority="2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58"/>
  <sheetViews>
    <sheetView zoomScale="85" zoomScaleNormal="85" workbookViewId="0">
      <pane ySplit="1" topLeftCell="A2" activePane="bottomLeft" state="frozen"/>
      <selection pane="bottomLeft" activeCell="A26" sqref="A26:XFD32"/>
    </sheetView>
  </sheetViews>
  <sheetFormatPr defaultColWidth="9.140625" defaultRowHeight="15"/>
  <cols>
    <col min="1" max="1" width="14.42578125" style="46" customWidth="1"/>
    <col min="2" max="18" width="12.7109375" style="46" customWidth="1"/>
    <col min="19" max="19" width="12.7109375" style="49" customWidth="1"/>
    <col min="20" max="20" width="12.7109375" style="46" customWidth="1"/>
    <col min="21" max="21" width="14.42578125" style="46" customWidth="1"/>
    <col min="22" max="16384" width="9.140625" style="32"/>
  </cols>
  <sheetData>
    <row r="1" spans="1:21" ht="60">
      <c r="A1" s="27" t="s">
        <v>121</v>
      </c>
      <c r="B1" s="28" t="s">
        <v>98</v>
      </c>
      <c r="C1" s="29" t="s">
        <v>99</v>
      </c>
      <c r="D1" s="30" t="s">
        <v>100</v>
      </c>
      <c r="E1" s="29" t="s">
        <v>101</v>
      </c>
      <c r="F1" s="30" t="s">
        <v>102</v>
      </c>
      <c r="G1" s="30" t="s">
        <v>103</v>
      </c>
      <c r="H1" s="29" t="s">
        <v>104</v>
      </c>
      <c r="I1" s="29" t="s">
        <v>105</v>
      </c>
      <c r="J1" s="30" t="s">
        <v>106</v>
      </c>
      <c r="K1" s="30" t="s">
        <v>107</v>
      </c>
      <c r="L1" s="29" t="s">
        <v>108</v>
      </c>
      <c r="M1" s="29" t="s">
        <v>109</v>
      </c>
      <c r="N1" s="29" t="s">
        <v>110</v>
      </c>
      <c r="O1" s="29" t="s">
        <v>111</v>
      </c>
      <c r="P1" s="29" t="s">
        <v>112</v>
      </c>
      <c r="Q1" s="29" t="s">
        <v>113</v>
      </c>
      <c r="R1" s="29" t="s">
        <v>114</v>
      </c>
      <c r="S1" s="47" t="s">
        <v>115</v>
      </c>
      <c r="T1" s="29" t="s">
        <v>116</v>
      </c>
      <c r="U1" s="31" t="s">
        <v>117</v>
      </c>
    </row>
    <row r="2" spans="1:21" ht="18.75">
      <c r="A2" s="44">
        <v>46055</v>
      </c>
      <c r="B2" s="34">
        <f>SUMIFS('OEE AHV'!J:J,'OEE AHV'!$B:$B,'AHV-02'!$A2,'OEE AHV'!$D:$D,'AHV-02'!$A$1)</f>
        <v>83.296875</v>
      </c>
      <c r="C2" s="35">
        <f t="shared" ref="C2:C25" si="0">AVERAGEIF($B:$B,"&gt;0")</f>
        <v>102.92437065972221</v>
      </c>
      <c r="D2" s="34">
        <f t="shared" ref="D2:D25" si="1">ROUNDDOWN((K2/750)+(F2/240)+(F2/240),"0")</f>
        <v>24</v>
      </c>
      <c r="E2" s="36">
        <f t="shared" ref="E2:E25" si="2">AVERAGEIF($D:$D,"&gt;0")</f>
        <v>32.083333333333336</v>
      </c>
      <c r="F2" s="34">
        <f>SUMIFS('OEE AHV'!M:M,'OEE AHV'!$B:$B,'AHV-02'!$A2,'OEE AHV'!$D:$D,'AHV-02'!$A$1)</f>
        <v>900.703125</v>
      </c>
      <c r="G2" s="37">
        <f t="shared" ref="G2:G25" si="3">ROUNDUP((1400-F2)-(F2*0.5%),"0")</f>
        <v>495</v>
      </c>
      <c r="H2" s="38">
        <f t="shared" ref="H2:H25" si="4">IFERROR(IF(AND(F2="",G2="")=TRUE,"",F2/(1440-G2)),"")</f>
        <v>0.953125</v>
      </c>
      <c r="I2" s="38">
        <f>95%</f>
        <v>0.95</v>
      </c>
      <c r="J2" s="39"/>
      <c r="K2" s="40">
        <f>SUMIFS('OEE AHV'!Q:Q,'OEE AHV'!$B:$B,'AHV-02'!$A2,'OEE AHV'!$D:$D,'AHV-02'!$A$1)</f>
        <v>12792</v>
      </c>
      <c r="L2" s="38">
        <f t="shared" ref="L2:L25" si="5">IF(AND(J2="",K2="")=TRUE,"",IF(OR(J2="MMS",K2="MMS")=TRUE,"",IFERROR(K2/((F2*60)/J2),1)))</f>
        <v>1</v>
      </c>
      <c r="M2" s="38">
        <f>99%</f>
        <v>0.99</v>
      </c>
      <c r="N2" s="41" t="s">
        <v>118</v>
      </c>
      <c r="O2" s="38">
        <f t="shared" ref="O2:O25" si="6">IF(N2="","",IF(N2="MMS","",IFERROR((K2-N2)/K2,1)))</f>
        <v>1</v>
      </c>
      <c r="P2" s="38">
        <f>100%</f>
        <v>1</v>
      </c>
      <c r="Q2" s="38">
        <f t="shared" ref="Q2:R17" si="7">IFERROR(IF(AND(H2="",L2="",O2="")=TRUE,"",IF(H2="",1,H2)*IF(L2="",1,L2)*IF(O2="",1,O2)),"")</f>
        <v>0.953125</v>
      </c>
      <c r="R2" s="38">
        <f t="shared" si="7"/>
        <v>0.9405</v>
      </c>
      <c r="S2" s="42">
        <f>ROUNDUP((('AHV-02'!$F2/480)/3),"0")</f>
        <v>1</v>
      </c>
      <c r="T2" s="43">
        <f t="shared" ref="T2:T25" si="8">IFERROR(K2/S2,"")</f>
        <v>12792</v>
      </c>
      <c r="U2" s="33" t="s">
        <v>119</v>
      </c>
    </row>
    <row r="3" spans="1:21" ht="18.75">
      <c r="A3" s="44">
        <v>46056</v>
      </c>
      <c r="B3" s="34">
        <f>SUMIFS('OEE AHV'!J:J,'OEE AHV'!$B:$B,'AHV-02'!$A3,'OEE AHV'!$D:$D,'AHV-02'!$A$1)</f>
        <v>99.625651041666657</v>
      </c>
      <c r="C3" s="35">
        <f t="shared" si="0"/>
        <v>102.92437065972221</v>
      </c>
      <c r="D3" s="34">
        <f t="shared" si="1"/>
        <v>31</v>
      </c>
      <c r="E3" s="36">
        <f t="shared" si="2"/>
        <v>32.083333333333336</v>
      </c>
      <c r="F3" s="34">
        <f>SUMIFS('OEE AHV'!M:M,'OEE AHV'!$B:$B,'AHV-02'!$A3,'OEE AHV'!$D:$D,'AHV-02'!$A$1)</f>
        <v>1159.3743489583335</v>
      </c>
      <c r="G3" s="37">
        <f t="shared" si="3"/>
        <v>235</v>
      </c>
      <c r="H3" s="38">
        <f t="shared" si="4"/>
        <v>0.96213638917704025</v>
      </c>
      <c r="I3" s="38">
        <f t="shared" ref="I3:I25" si="9">I2</f>
        <v>0.95</v>
      </c>
      <c r="J3" s="39"/>
      <c r="K3" s="40">
        <f>SUMIFS('OEE AHV'!Q:Q,'OEE AHV'!$B:$B,'AHV-02'!$A3,'OEE AHV'!$D:$D,'AHV-02'!$A$1)</f>
        <v>16375</v>
      </c>
      <c r="L3" s="38">
        <f t="shared" si="5"/>
        <v>1</v>
      </c>
      <c r="M3" s="38">
        <f t="shared" ref="M3:M25" si="10">M2</f>
        <v>0.99</v>
      </c>
      <c r="N3" s="41" t="s">
        <v>118</v>
      </c>
      <c r="O3" s="38">
        <f t="shared" si="6"/>
        <v>1</v>
      </c>
      <c r="P3" s="38">
        <f t="shared" ref="P3:P25" si="11">P2</f>
        <v>1</v>
      </c>
      <c r="Q3" s="38">
        <f t="shared" si="7"/>
        <v>0.96213638917704025</v>
      </c>
      <c r="R3" s="38">
        <f t="shared" si="7"/>
        <v>0.9405</v>
      </c>
      <c r="S3" s="42">
        <f>ROUNDUP((('AHV-02'!$F3/480)/3),"0")</f>
        <v>1</v>
      </c>
      <c r="T3" s="43">
        <f t="shared" si="8"/>
        <v>16375</v>
      </c>
      <c r="U3" s="33" t="str">
        <f t="shared" ref="U3:U25" si="12">U2</f>
        <v>FY2025_MLS_Spindle Motor_Spindle Motor(FDB UNIT)_Bang Pa-in</v>
      </c>
    </row>
    <row r="4" spans="1:21" ht="18.75">
      <c r="A4" s="44">
        <v>46057</v>
      </c>
      <c r="B4" s="34">
        <f>SUMIFS('OEE AHV'!J:J,'OEE AHV'!$B:$B,'AHV-02'!$A4,'OEE AHV'!$D:$D,'AHV-02'!$A$1)</f>
        <v>99.6484375</v>
      </c>
      <c r="C4" s="35">
        <f t="shared" si="0"/>
        <v>102.92437065972221</v>
      </c>
      <c r="D4" s="34">
        <f t="shared" si="1"/>
        <v>30</v>
      </c>
      <c r="E4" s="36">
        <f t="shared" si="2"/>
        <v>32.083333333333336</v>
      </c>
      <c r="F4" s="34">
        <f>SUMIFS('OEE AHV'!M:M,'OEE AHV'!$B:$B,'AHV-02'!$A4,'OEE AHV'!$D:$D,'AHV-02'!$A$1)</f>
        <v>1066.3515625</v>
      </c>
      <c r="G4" s="37">
        <f t="shared" si="3"/>
        <v>329</v>
      </c>
      <c r="H4" s="38">
        <f t="shared" si="4"/>
        <v>0.95981238748874886</v>
      </c>
      <c r="I4" s="38">
        <f t="shared" si="9"/>
        <v>0.95</v>
      </c>
      <c r="J4" s="39"/>
      <c r="K4" s="40">
        <f>SUMIFS('OEE AHV'!Q:Q,'OEE AHV'!$B:$B,'AHV-02'!$A4,'OEE AHV'!$D:$D,'AHV-02'!$A$1)</f>
        <v>16380</v>
      </c>
      <c r="L4" s="38">
        <f t="shared" si="5"/>
        <v>1</v>
      </c>
      <c r="M4" s="38">
        <f t="shared" si="10"/>
        <v>0.99</v>
      </c>
      <c r="N4" s="41" t="s">
        <v>118</v>
      </c>
      <c r="O4" s="38">
        <f t="shared" si="6"/>
        <v>1</v>
      </c>
      <c r="P4" s="38">
        <f t="shared" si="11"/>
        <v>1</v>
      </c>
      <c r="Q4" s="38">
        <f t="shared" si="7"/>
        <v>0.95981238748874886</v>
      </c>
      <c r="R4" s="38">
        <f t="shared" si="7"/>
        <v>0.9405</v>
      </c>
      <c r="S4" s="42">
        <f>ROUNDUP((('AHV-02'!$F4/480)/3),"0")</f>
        <v>1</v>
      </c>
      <c r="T4" s="43">
        <f t="shared" si="8"/>
        <v>16380</v>
      </c>
      <c r="U4" s="33" t="str">
        <f t="shared" si="12"/>
        <v>FY2025_MLS_Spindle Motor_Spindle Motor(FDB UNIT)_Bang Pa-in</v>
      </c>
    </row>
    <row r="5" spans="1:21" ht="18.75">
      <c r="A5" s="44">
        <v>46058</v>
      </c>
      <c r="B5" s="34">
        <f>SUMIFS('OEE AHV'!J:J,'OEE AHV'!$B:$B,'AHV-02'!$A5,'OEE AHV'!$D:$D,'AHV-02'!$A$1)</f>
        <v>104.255859375</v>
      </c>
      <c r="C5" s="35">
        <f t="shared" si="0"/>
        <v>102.92437065972221</v>
      </c>
      <c r="D5" s="34">
        <f t="shared" si="1"/>
        <v>32</v>
      </c>
      <c r="E5" s="36">
        <f t="shared" si="2"/>
        <v>32.083333333333336</v>
      </c>
      <c r="F5" s="34">
        <f>SUMIFS('OEE AHV'!M:M,'OEE AHV'!$B:$B,'AHV-02'!$A5,'OEE AHV'!$D:$D,'AHV-02'!$A$1)</f>
        <v>1171.744140625</v>
      </c>
      <c r="G5" s="37">
        <f t="shared" si="3"/>
        <v>223</v>
      </c>
      <c r="H5" s="38">
        <f t="shared" si="4"/>
        <v>0.96281359131059985</v>
      </c>
      <c r="I5" s="38">
        <f t="shared" si="9"/>
        <v>0.95</v>
      </c>
      <c r="J5" s="39"/>
      <c r="K5" s="40">
        <f>SUMIFS('OEE AHV'!Q:Q,'OEE AHV'!$B:$B,'AHV-02'!$A5,'OEE AHV'!$D:$D,'AHV-02'!$A$1)</f>
        <v>17391</v>
      </c>
      <c r="L5" s="38">
        <f t="shared" si="5"/>
        <v>1</v>
      </c>
      <c r="M5" s="38">
        <f t="shared" si="10"/>
        <v>0.99</v>
      </c>
      <c r="N5" s="41" t="s">
        <v>118</v>
      </c>
      <c r="O5" s="38">
        <f t="shared" si="6"/>
        <v>1</v>
      </c>
      <c r="P5" s="38">
        <f t="shared" si="11"/>
        <v>1</v>
      </c>
      <c r="Q5" s="38">
        <f t="shared" si="7"/>
        <v>0.96281359131059985</v>
      </c>
      <c r="R5" s="38">
        <f t="shared" si="7"/>
        <v>0.9405</v>
      </c>
      <c r="S5" s="42">
        <f>ROUNDUP((('AHV-02'!$F5/480)/3),"0")</f>
        <v>1</v>
      </c>
      <c r="T5" s="43">
        <f t="shared" si="8"/>
        <v>17391</v>
      </c>
      <c r="U5" s="33" t="str">
        <f t="shared" si="12"/>
        <v>FY2025_MLS_Spindle Motor_Spindle Motor(FDB UNIT)_Bang Pa-in</v>
      </c>
    </row>
    <row r="6" spans="1:21" ht="18.75">
      <c r="A6" s="44">
        <v>46059</v>
      </c>
      <c r="B6" s="34">
        <f>SUMIFS('OEE AHV'!J:J,'OEE AHV'!$B:$B,'AHV-02'!$A6,'OEE AHV'!$D:$D,'AHV-02'!$A$1)</f>
        <v>101.93619791666667</v>
      </c>
      <c r="C6" s="35">
        <f t="shared" si="0"/>
        <v>102.92437065972221</v>
      </c>
      <c r="D6" s="34">
        <f t="shared" si="1"/>
        <v>33</v>
      </c>
      <c r="E6" s="36">
        <f t="shared" si="2"/>
        <v>32.083333333333336</v>
      </c>
      <c r="F6" s="34">
        <f>SUMIFS('OEE AHV'!M:M,'OEE AHV'!$B:$B,'AHV-02'!$A6,'OEE AHV'!$D:$D,'AHV-02'!$A$1)</f>
        <v>1338.0638020833333</v>
      </c>
      <c r="G6" s="37">
        <f t="shared" si="3"/>
        <v>56</v>
      </c>
      <c r="H6" s="38">
        <f t="shared" si="4"/>
        <v>0.96680910555154143</v>
      </c>
      <c r="I6" s="38">
        <f t="shared" si="9"/>
        <v>0.95</v>
      </c>
      <c r="J6" s="39"/>
      <c r="K6" s="40">
        <f>SUMIFS('OEE AHV'!Q:Q,'OEE AHV'!$B:$B,'AHV-02'!$A6,'OEE AHV'!$D:$D,'AHV-02'!$A$1)</f>
        <v>16882</v>
      </c>
      <c r="L6" s="38">
        <f t="shared" si="5"/>
        <v>1</v>
      </c>
      <c r="M6" s="38">
        <f t="shared" si="10"/>
        <v>0.99</v>
      </c>
      <c r="N6" s="41" t="s">
        <v>118</v>
      </c>
      <c r="O6" s="38">
        <f t="shared" si="6"/>
        <v>1</v>
      </c>
      <c r="P6" s="38">
        <f t="shared" si="11"/>
        <v>1</v>
      </c>
      <c r="Q6" s="38">
        <f t="shared" si="7"/>
        <v>0.96680910555154143</v>
      </c>
      <c r="R6" s="38">
        <f t="shared" si="7"/>
        <v>0.9405</v>
      </c>
      <c r="S6" s="42">
        <f>ROUNDUP((('AHV-02'!$F6/480)/3),"0")</f>
        <v>1</v>
      </c>
      <c r="T6" s="43">
        <f t="shared" si="8"/>
        <v>16882</v>
      </c>
      <c r="U6" s="33" t="str">
        <f t="shared" si="12"/>
        <v>FY2025_MLS_Spindle Motor_Spindle Motor(FDB UNIT)_Bang Pa-in</v>
      </c>
    </row>
    <row r="7" spans="1:21" ht="18.75">
      <c r="A7" s="44">
        <v>46060</v>
      </c>
      <c r="B7" s="34">
        <f>SUMIFS('OEE AHV'!J:J,'OEE AHV'!$B:$B,'AHV-02'!$A7,'OEE AHV'!$D:$D,'AHV-02'!$A$1)</f>
        <v>108.96354166666667</v>
      </c>
      <c r="C7" s="35">
        <f t="shared" si="0"/>
        <v>102.92437065972221</v>
      </c>
      <c r="D7" s="34">
        <f t="shared" si="1"/>
        <v>33</v>
      </c>
      <c r="E7" s="36">
        <f t="shared" si="2"/>
        <v>32.083333333333336</v>
      </c>
      <c r="F7" s="34">
        <f>SUMIFS('OEE AHV'!M:M,'OEE AHV'!$B:$B,'AHV-02'!$A7,'OEE AHV'!$D:$D,'AHV-02'!$A$1)</f>
        <v>1052.0364583333333</v>
      </c>
      <c r="G7" s="37">
        <f t="shared" si="3"/>
        <v>343</v>
      </c>
      <c r="H7" s="38">
        <f t="shared" si="4"/>
        <v>0.9590122683075053</v>
      </c>
      <c r="I7" s="38">
        <f t="shared" si="9"/>
        <v>0.95</v>
      </c>
      <c r="J7" s="39"/>
      <c r="K7" s="40">
        <f>SUMIFS('OEE AHV'!Q:Q,'OEE AHV'!$B:$B,'AHV-02'!$A7,'OEE AHV'!$D:$D,'AHV-02'!$A$1)</f>
        <v>18424</v>
      </c>
      <c r="L7" s="38">
        <f t="shared" si="5"/>
        <v>1</v>
      </c>
      <c r="M7" s="38">
        <f t="shared" si="10"/>
        <v>0.99</v>
      </c>
      <c r="N7" s="41" t="s">
        <v>118</v>
      </c>
      <c r="O7" s="38">
        <f t="shared" si="6"/>
        <v>1</v>
      </c>
      <c r="P7" s="38">
        <f t="shared" si="11"/>
        <v>1</v>
      </c>
      <c r="Q7" s="38">
        <f t="shared" si="7"/>
        <v>0.9590122683075053</v>
      </c>
      <c r="R7" s="38">
        <f t="shared" si="7"/>
        <v>0.9405</v>
      </c>
      <c r="S7" s="42">
        <f>ROUNDUP((('AHV-02'!$F7/480)/3),"0")</f>
        <v>1</v>
      </c>
      <c r="T7" s="43">
        <f t="shared" si="8"/>
        <v>18424</v>
      </c>
      <c r="U7" s="33" t="str">
        <f t="shared" si="12"/>
        <v>FY2025_MLS_Spindle Motor_Spindle Motor(FDB UNIT)_Bang Pa-in</v>
      </c>
    </row>
    <row r="8" spans="1:21" ht="18.75">
      <c r="A8" s="44">
        <v>46061</v>
      </c>
      <c r="B8" s="34">
        <f>SUMIFS('OEE AHV'!J:J,'OEE AHV'!$B:$B,'AHV-02'!$A8,'OEE AHV'!$D:$D,'AHV-02'!$A$1)</f>
        <v>34.333333333333336</v>
      </c>
      <c r="C8" s="35">
        <f t="shared" si="0"/>
        <v>102.92437065972221</v>
      </c>
      <c r="D8" s="34">
        <f t="shared" si="1"/>
        <v>8</v>
      </c>
      <c r="E8" s="36">
        <f t="shared" si="2"/>
        <v>32.083333333333336</v>
      </c>
      <c r="F8" s="34">
        <f>SUMIFS('OEE AHV'!M:M,'OEE AHV'!$B:$B,'AHV-02'!$A8,'OEE AHV'!$D:$D,'AHV-02'!$A$1)</f>
        <v>685.66666666666663</v>
      </c>
      <c r="G8" s="37">
        <f t="shared" si="3"/>
        <v>711</v>
      </c>
      <c r="H8" s="38">
        <f t="shared" si="4"/>
        <v>0.94055784179240964</v>
      </c>
      <c r="I8" s="38">
        <f t="shared" si="9"/>
        <v>0.95</v>
      </c>
      <c r="J8" s="39"/>
      <c r="K8" s="40">
        <f>SUMIFS('OEE AHV'!Q:Q,'OEE AHV'!$B:$B,'AHV-02'!$A8,'OEE AHV'!$D:$D,'AHV-02'!$A$1)</f>
        <v>2048</v>
      </c>
      <c r="L8" s="38">
        <f t="shared" si="5"/>
        <v>1</v>
      </c>
      <c r="M8" s="38">
        <f t="shared" si="10"/>
        <v>0.99</v>
      </c>
      <c r="N8" s="41" t="s">
        <v>118</v>
      </c>
      <c r="O8" s="38">
        <f t="shared" si="6"/>
        <v>1</v>
      </c>
      <c r="P8" s="38">
        <f t="shared" si="11"/>
        <v>1</v>
      </c>
      <c r="Q8" s="38">
        <f t="shared" si="7"/>
        <v>0.94055784179240964</v>
      </c>
      <c r="R8" s="38">
        <f t="shared" si="7"/>
        <v>0.9405</v>
      </c>
      <c r="S8" s="42">
        <f>ROUNDUP((('AHV-02'!$F8/480)/3),"0")</f>
        <v>1</v>
      </c>
      <c r="T8" s="43">
        <f t="shared" si="8"/>
        <v>2048</v>
      </c>
      <c r="U8" s="33" t="str">
        <f t="shared" si="12"/>
        <v>FY2025_MLS_Spindle Motor_Spindle Motor(FDB UNIT)_Bang Pa-in</v>
      </c>
    </row>
    <row r="9" spans="1:21" ht="18.75">
      <c r="A9" s="44">
        <v>46062</v>
      </c>
      <c r="B9" s="34">
        <f>SUMIFS('OEE AHV'!J:J,'OEE AHV'!$B:$B,'AHV-02'!$A9,'OEE AHV'!$D:$D,'AHV-02'!$A$1)</f>
        <v>99.639322916666657</v>
      </c>
      <c r="C9" s="35">
        <f t="shared" si="0"/>
        <v>102.92437065972221</v>
      </c>
      <c r="D9" s="34">
        <f t="shared" si="1"/>
        <v>31</v>
      </c>
      <c r="E9" s="36">
        <f t="shared" si="2"/>
        <v>32.083333333333336</v>
      </c>
      <c r="F9" s="34">
        <f>SUMIFS('OEE AHV'!M:M,'OEE AHV'!$B:$B,'AHV-02'!$A9,'OEE AHV'!$D:$D,'AHV-02'!$A$1)</f>
        <v>1144.3606770833335</v>
      </c>
      <c r="G9" s="37">
        <f t="shared" si="3"/>
        <v>250</v>
      </c>
      <c r="H9" s="38">
        <f t="shared" si="4"/>
        <v>0.96164762780112056</v>
      </c>
      <c r="I9" s="38">
        <f t="shared" si="9"/>
        <v>0.95</v>
      </c>
      <c r="J9" s="39"/>
      <c r="K9" s="40">
        <f>SUMIFS('OEE AHV'!Q:Q,'OEE AHV'!$B:$B,'AHV-02'!$A9,'OEE AHV'!$D:$D,'AHV-02'!$A$1)</f>
        <v>16378</v>
      </c>
      <c r="L9" s="38">
        <f t="shared" si="5"/>
        <v>1</v>
      </c>
      <c r="M9" s="38">
        <f t="shared" si="10"/>
        <v>0.99</v>
      </c>
      <c r="N9" s="41" t="s">
        <v>118</v>
      </c>
      <c r="O9" s="38">
        <f t="shared" si="6"/>
        <v>1</v>
      </c>
      <c r="P9" s="38">
        <f t="shared" si="11"/>
        <v>1</v>
      </c>
      <c r="Q9" s="38">
        <f t="shared" si="7"/>
        <v>0.96164762780112056</v>
      </c>
      <c r="R9" s="38">
        <f t="shared" si="7"/>
        <v>0.9405</v>
      </c>
      <c r="S9" s="42">
        <f>ROUNDUP((('AHV-02'!$F9/480)/3),"0")</f>
        <v>1</v>
      </c>
      <c r="T9" s="43">
        <f t="shared" si="8"/>
        <v>16378</v>
      </c>
      <c r="U9" s="33" t="str">
        <f t="shared" si="12"/>
        <v>FY2025_MLS_Spindle Motor_Spindle Motor(FDB UNIT)_Bang Pa-in</v>
      </c>
    </row>
    <row r="10" spans="1:21" ht="18.75">
      <c r="A10" s="44">
        <v>46063</v>
      </c>
      <c r="B10" s="34">
        <f>SUMIFS('OEE AHV'!J:J,'OEE AHV'!$B:$B,'AHV-02'!$A10,'OEE AHV'!$D:$D,'AHV-02'!$A$1)</f>
        <v>113.607421875</v>
      </c>
      <c r="C10" s="35">
        <f t="shared" si="0"/>
        <v>102.92437065972221</v>
      </c>
      <c r="D10" s="34">
        <f t="shared" si="1"/>
        <v>36</v>
      </c>
      <c r="E10" s="36">
        <f t="shared" si="2"/>
        <v>32.083333333333336</v>
      </c>
      <c r="F10" s="34">
        <f>SUMIFS('OEE AHV'!M:M,'OEE AHV'!$B:$B,'AHV-02'!$A10,'OEE AHV'!$D:$D,'AHV-02'!$A$1)</f>
        <v>1326.392578125</v>
      </c>
      <c r="G10" s="37">
        <f t="shared" si="3"/>
        <v>67</v>
      </c>
      <c r="H10" s="38">
        <f t="shared" si="4"/>
        <v>0.96605431764384564</v>
      </c>
      <c r="I10" s="38">
        <f t="shared" si="9"/>
        <v>0.95</v>
      </c>
      <c r="J10" s="39"/>
      <c r="K10" s="40">
        <f>SUMIFS('OEE AHV'!Q:Q,'OEE AHV'!$B:$B,'AHV-02'!$A10,'OEE AHV'!$D:$D,'AHV-02'!$A$1)</f>
        <v>19443</v>
      </c>
      <c r="L10" s="38">
        <f t="shared" si="5"/>
        <v>1</v>
      </c>
      <c r="M10" s="38">
        <f t="shared" si="10"/>
        <v>0.99</v>
      </c>
      <c r="N10" s="41" t="s">
        <v>118</v>
      </c>
      <c r="O10" s="38">
        <f t="shared" si="6"/>
        <v>1</v>
      </c>
      <c r="P10" s="38">
        <f t="shared" si="11"/>
        <v>1</v>
      </c>
      <c r="Q10" s="38">
        <f t="shared" si="7"/>
        <v>0.96605431764384564</v>
      </c>
      <c r="R10" s="38">
        <f t="shared" si="7"/>
        <v>0.9405</v>
      </c>
      <c r="S10" s="42">
        <f>ROUNDUP((('AHV-02'!$F10/480)/3),"0")</f>
        <v>1</v>
      </c>
      <c r="T10" s="43">
        <f t="shared" si="8"/>
        <v>19443</v>
      </c>
      <c r="U10" s="33" t="str">
        <f t="shared" si="12"/>
        <v>FY2025_MLS_Spindle Motor_Spindle Motor(FDB UNIT)_Bang Pa-in</v>
      </c>
    </row>
    <row r="11" spans="1:21" ht="18.75">
      <c r="A11" s="44">
        <v>46064</v>
      </c>
      <c r="B11" s="34">
        <f>SUMIFS('OEE AHV'!J:J,'OEE AHV'!$B:$B,'AHV-02'!$A11,'OEE AHV'!$D:$D,'AHV-02'!$A$1)</f>
        <v>113.580078125</v>
      </c>
      <c r="C11" s="35">
        <f t="shared" si="0"/>
        <v>102.92437065972221</v>
      </c>
      <c r="D11" s="34">
        <f t="shared" si="1"/>
        <v>36</v>
      </c>
      <c r="E11" s="36">
        <f t="shared" si="2"/>
        <v>32.083333333333336</v>
      </c>
      <c r="F11" s="34">
        <f>SUMIFS('OEE AHV'!M:M,'OEE AHV'!$B:$B,'AHV-02'!$A11,'OEE AHV'!$D:$D,'AHV-02'!$A$1)</f>
        <v>1326.419921875</v>
      </c>
      <c r="G11" s="37">
        <f t="shared" si="3"/>
        <v>67</v>
      </c>
      <c r="H11" s="38">
        <f t="shared" si="4"/>
        <v>0.96607423297523676</v>
      </c>
      <c r="I11" s="38">
        <f t="shared" si="9"/>
        <v>0.95</v>
      </c>
      <c r="J11" s="39"/>
      <c r="K11" s="40">
        <f>SUMIFS('OEE AHV'!Q:Q,'OEE AHV'!$B:$B,'AHV-02'!$A11,'OEE AHV'!$D:$D,'AHV-02'!$A$1)</f>
        <v>19437</v>
      </c>
      <c r="L11" s="38">
        <f t="shared" si="5"/>
        <v>1</v>
      </c>
      <c r="M11" s="38">
        <f t="shared" si="10"/>
        <v>0.99</v>
      </c>
      <c r="N11" s="41" t="s">
        <v>118</v>
      </c>
      <c r="O11" s="38">
        <f t="shared" si="6"/>
        <v>1</v>
      </c>
      <c r="P11" s="38">
        <f t="shared" si="11"/>
        <v>1</v>
      </c>
      <c r="Q11" s="38">
        <f t="shared" si="7"/>
        <v>0.96607423297523676</v>
      </c>
      <c r="R11" s="38">
        <f t="shared" si="7"/>
        <v>0.9405</v>
      </c>
      <c r="S11" s="42">
        <f>ROUNDUP((('AHV-02'!$F11/480)/3),"0")</f>
        <v>1</v>
      </c>
      <c r="T11" s="43">
        <f t="shared" si="8"/>
        <v>19437</v>
      </c>
      <c r="U11" s="33" t="str">
        <f t="shared" si="12"/>
        <v>FY2025_MLS_Spindle Motor_Spindle Motor(FDB UNIT)_Bang Pa-in</v>
      </c>
    </row>
    <row r="12" spans="1:21" ht="18.75">
      <c r="A12" s="44">
        <v>46065</v>
      </c>
      <c r="B12" s="34">
        <f>SUMIFS('OEE AHV'!J:J,'OEE AHV'!$B:$B,'AHV-02'!$A12,'OEE AHV'!$D:$D,'AHV-02'!$A$1)</f>
        <v>108.92708333333333</v>
      </c>
      <c r="C12" s="35">
        <f t="shared" si="0"/>
        <v>102.92437065972221</v>
      </c>
      <c r="D12" s="34">
        <f t="shared" si="1"/>
        <v>35</v>
      </c>
      <c r="E12" s="36">
        <f t="shared" si="2"/>
        <v>32.083333333333336</v>
      </c>
      <c r="F12" s="34">
        <f>SUMIFS('OEE AHV'!M:M,'OEE AHV'!$B:$B,'AHV-02'!$A12,'OEE AHV'!$D:$D,'AHV-02'!$A$1)</f>
        <v>1331.0729166666667</v>
      </c>
      <c r="G12" s="37">
        <f t="shared" si="3"/>
        <v>63</v>
      </c>
      <c r="H12" s="38">
        <f t="shared" si="4"/>
        <v>0.96664699830549505</v>
      </c>
      <c r="I12" s="38">
        <f t="shared" si="9"/>
        <v>0.95</v>
      </c>
      <c r="J12" s="39"/>
      <c r="K12" s="40">
        <f>SUMIFS('OEE AHV'!Q:Q,'OEE AHV'!$B:$B,'AHV-02'!$A12,'OEE AHV'!$D:$D,'AHV-02'!$A$1)</f>
        <v>18416</v>
      </c>
      <c r="L12" s="38">
        <f t="shared" si="5"/>
        <v>1</v>
      </c>
      <c r="M12" s="38">
        <f t="shared" si="10"/>
        <v>0.99</v>
      </c>
      <c r="N12" s="41" t="s">
        <v>118</v>
      </c>
      <c r="O12" s="38">
        <f t="shared" si="6"/>
        <v>1</v>
      </c>
      <c r="P12" s="38">
        <f t="shared" si="11"/>
        <v>1</v>
      </c>
      <c r="Q12" s="38">
        <f t="shared" si="7"/>
        <v>0.96664699830549505</v>
      </c>
      <c r="R12" s="38">
        <f t="shared" si="7"/>
        <v>0.9405</v>
      </c>
      <c r="S12" s="42">
        <f>ROUNDUP((('AHV-02'!$F12/480)/3),"0")</f>
        <v>1</v>
      </c>
      <c r="T12" s="43">
        <f t="shared" si="8"/>
        <v>18416</v>
      </c>
      <c r="U12" s="33" t="str">
        <f t="shared" si="12"/>
        <v>FY2025_MLS_Spindle Motor_Spindle Motor(FDB UNIT)_Bang Pa-in</v>
      </c>
    </row>
    <row r="13" spans="1:21" ht="18.75">
      <c r="A13" s="44">
        <v>46066</v>
      </c>
      <c r="B13" s="34">
        <f>SUMIFS('OEE AHV'!J:J,'OEE AHV'!$B:$B,'AHV-02'!$A13,'OEE AHV'!$D:$D,'AHV-02'!$A$1)</f>
        <v>111.27408854166667</v>
      </c>
      <c r="C13" s="35">
        <f t="shared" si="0"/>
        <v>102.92437065972221</v>
      </c>
      <c r="D13" s="34">
        <f t="shared" si="1"/>
        <v>36</v>
      </c>
      <c r="E13" s="36">
        <f t="shared" si="2"/>
        <v>32.083333333333336</v>
      </c>
      <c r="F13" s="34">
        <f>SUMIFS('OEE AHV'!M:M,'OEE AHV'!$B:$B,'AHV-02'!$A13,'OEE AHV'!$D:$D,'AHV-02'!$A$1)</f>
        <v>1314.7259114583333</v>
      </c>
      <c r="G13" s="37">
        <f t="shared" si="3"/>
        <v>79</v>
      </c>
      <c r="H13" s="38">
        <f t="shared" si="4"/>
        <v>0.96599993494366887</v>
      </c>
      <c r="I13" s="38">
        <f t="shared" si="9"/>
        <v>0.95</v>
      </c>
      <c r="J13" s="39"/>
      <c r="K13" s="40">
        <f>SUMIFS('OEE AHV'!Q:Q,'OEE AHV'!$B:$B,'AHV-02'!$A13,'OEE AHV'!$D:$D,'AHV-02'!$A$1)</f>
        <v>18931</v>
      </c>
      <c r="L13" s="38">
        <f t="shared" si="5"/>
        <v>1</v>
      </c>
      <c r="M13" s="38">
        <f t="shared" si="10"/>
        <v>0.99</v>
      </c>
      <c r="N13" s="41" t="s">
        <v>118</v>
      </c>
      <c r="O13" s="38">
        <f t="shared" si="6"/>
        <v>1</v>
      </c>
      <c r="P13" s="38">
        <f t="shared" si="11"/>
        <v>1</v>
      </c>
      <c r="Q13" s="38">
        <f t="shared" si="7"/>
        <v>0.96599993494366887</v>
      </c>
      <c r="R13" s="38">
        <f t="shared" si="7"/>
        <v>0.9405</v>
      </c>
      <c r="S13" s="42">
        <f>ROUNDUP((('AHV-02'!$F13/480)/3),"0")</f>
        <v>1</v>
      </c>
      <c r="T13" s="43">
        <f t="shared" si="8"/>
        <v>18931</v>
      </c>
      <c r="U13" s="33" t="str">
        <f t="shared" si="12"/>
        <v>FY2025_MLS_Spindle Motor_Spindle Motor(FDB UNIT)_Bang Pa-in</v>
      </c>
    </row>
    <row r="14" spans="1:21" ht="18.75">
      <c r="A14" s="44">
        <v>46067</v>
      </c>
      <c r="B14" s="34">
        <f>SUMIFS('OEE AHV'!J:J,'OEE AHV'!$B:$B,'AHV-02'!$A14,'OEE AHV'!$D:$D,'AHV-02'!$A$1)</f>
        <v>111.310546875</v>
      </c>
      <c r="C14" s="35">
        <f t="shared" si="0"/>
        <v>102.92437065972221</v>
      </c>
      <c r="D14" s="34">
        <f t="shared" si="1"/>
        <v>36</v>
      </c>
      <c r="E14" s="36">
        <f t="shared" si="2"/>
        <v>32.083333333333336</v>
      </c>
      <c r="F14" s="34">
        <f>SUMIFS('OEE AHV'!M:M,'OEE AHV'!$B:$B,'AHV-02'!$A14,'OEE AHV'!$D:$D,'AHV-02'!$A$1)</f>
        <v>1309.689453125</v>
      </c>
      <c r="G14" s="37">
        <f t="shared" si="3"/>
        <v>84</v>
      </c>
      <c r="H14" s="38">
        <f t="shared" si="4"/>
        <v>0.96584767929572268</v>
      </c>
      <c r="I14" s="38">
        <f t="shared" si="9"/>
        <v>0.95</v>
      </c>
      <c r="J14" s="39"/>
      <c r="K14" s="40">
        <f>SUMIFS('OEE AHV'!Q:Q,'OEE AHV'!$B:$B,'AHV-02'!$A14,'OEE AHV'!$D:$D,'AHV-02'!$A$1)</f>
        <v>18939</v>
      </c>
      <c r="L14" s="38">
        <f t="shared" si="5"/>
        <v>1</v>
      </c>
      <c r="M14" s="38">
        <f t="shared" si="10"/>
        <v>0.99</v>
      </c>
      <c r="N14" s="41" t="s">
        <v>118</v>
      </c>
      <c r="O14" s="38">
        <f t="shared" si="6"/>
        <v>1</v>
      </c>
      <c r="P14" s="38">
        <f t="shared" si="11"/>
        <v>1</v>
      </c>
      <c r="Q14" s="38">
        <f t="shared" si="7"/>
        <v>0.96584767929572268</v>
      </c>
      <c r="R14" s="38">
        <f t="shared" si="7"/>
        <v>0.9405</v>
      </c>
      <c r="S14" s="42">
        <f>ROUNDUP((('AHV-02'!$F14/480)/3),"0")</f>
        <v>1</v>
      </c>
      <c r="T14" s="43">
        <f t="shared" si="8"/>
        <v>18939</v>
      </c>
      <c r="U14" s="33" t="str">
        <f t="shared" si="12"/>
        <v>FY2025_MLS_Spindle Motor_Spindle Motor(FDB UNIT)_Bang Pa-in</v>
      </c>
    </row>
    <row r="15" spans="1:21" ht="18.75">
      <c r="A15" s="44">
        <v>46069</v>
      </c>
      <c r="B15" s="34">
        <f>SUMIFS('OEE AHV'!J:J,'OEE AHV'!$B:$B,'AHV-02'!$A15,'OEE AHV'!$D:$D,'AHV-02'!$A$1)</f>
        <v>111.28776041666667</v>
      </c>
      <c r="C15" s="35">
        <f t="shared" si="0"/>
        <v>102.92437065972221</v>
      </c>
      <c r="D15" s="34">
        <f t="shared" si="1"/>
        <v>36</v>
      </c>
      <c r="E15" s="36">
        <f t="shared" si="2"/>
        <v>32.083333333333336</v>
      </c>
      <c r="F15" s="34">
        <f>SUMIFS('OEE AHV'!M:M,'OEE AHV'!$B:$B,'AHV-02'!$A15,'OEE AHV'!$D:$D,'AHV-02'!$A$1)</f>
        <v>1328.7122395833333</v>
      </c>
      <c r="G15" s="37">
        <f t="shared" si="3"/>
        <v>65</v>
      </c>
      <c r="H15" s="38">
        <f t="shared" si="4"/>
        <v>0.96633617424242424</v>
      </c>
      <c r="I15" s="38">
        <f t="shared" si="9"/>
        <v>0.95</v>
      </c>
      <c r="J15" s="39"/>
      <c r="K15" s="40">
        <f>SUMIFS('OEE AHV'!Q:Q,'OEE AHV'!$B:$B,'AHV-02'!$A15,'OEE AHV'!$D:$D,'AHV-02'!$A$1)</f>
        <v>18934</v>
      </c>
      <c r="L15" s="38">
        <f t="shared" si="5"/>
        <v>1</v>
      </c>
      <c r="M15" s="38">
        <f t="shared" si="10"/>
        <v>0.99</v>
      </c>
      <c r="N15" s="41" t="s">
        <v>118</v>
      </c>
      <c r="O15" s="38">
        <f t="shared" si="6"/>
        <v>1</v>
      </c>
      <c r="P15" s="38">
        <f t="shared" si="11"/>
        <v>1</v>
      </c>
      <c r="Q15" s="38">
        <f t="shared" si="7"/>
        <v>0.96633617424242424</v>
      </c>
      <c r="R15" s="38">
        <f t="shared" si="7"/>
        <v>0.9405</v>
      </c>
      <c r="S15" s="42">
        <f>ROUNDUP((('AHV-02'!$F15/480)/3),"0")</f>
        <v>1</v>
      </c>
      <c r="T15" s="43">
        <f t="shared" si="8"/>
        <v>18934</v>
      </c>
      <c r="U15" s="33" t="str">
        <f t="shared" si="12"/>
        <v>FY2025_MLS_Spindle Motor_Spindle Motor(FDB UNIT)_Bang Pa-in</v>
      </c>
    </row>
    <row r="16" spans="1:21" ht="18.75">
      <c r="A16" s="44">
        <v>46070</v>
      </c>
      <c r="B16" s="34">
        <f>SUMIFS('OEE AHV'!J:J,'OEE AHV'!$B:$B,'AHV-02'!$A16,'OEE AHV'!$D:$D,'AHV-02'!$A$1)</f>
        <v>113.6484375</v>
      </c>
      <c r="C16" s="35">
        <f t="shared" si="0"/>
        <v>102.92437065972221</v>
      </c>
      <c r="D16" s="34">
        <f t="shared" si="1"/>
        <v>36</v>
      </c>
      <c r="E16" s="36">
        <f t="shared" si="2"/>
        <v>32.083333333333336</v>
      </c>
      <c r="F16" s="34">
        <f>SUMIFS('OEE AHV'!M:M,'OEE AHV'!$B:$B,'AHV-02'!$A16,'OEE AHV'!$D:$D,'AHV-02'!$A$1)</f>
        <v>1326.3515625</v>
      </c>
      <c r="G16" s="37">
        <f t="shared" si="3"/>
        <v>68</v>
      </c>
      <c r="H16" s="38">
        <f t="shared" si="4"/>
        <v>0.9667285440962099</v>
      </c>
      <c r="I16" s="38">
        <f t="shared" si="9"/>
        <v>0.95</v>
      </c>
      <c r="J16" s="39"/>
      <c r="K16" s="40">
        <f>SUMIFS('OEE AHV'!Q:Q,'OEE AHV'!$B:$B,'AHV-02'!$A16,'OEE AHV'!$D:$D,'AHV-02'!$A$1)</f>
        <v>19452</v>
      </c>
      <c r="L16" s="38">
        <f t="shared" si="5"/>
        <v>1</v>
      </c>
      <c r="M16" s="38">
        <f t="shared" si="10"/>
        <v>0.99</v>
      </c>
      <c r="N16" s="41" t="s">
        <v>118</v>
      </c>
      <c r="O16" s="38">
        <f t="shared" si="6"/>
        <v>1</v>
      </c>
      <c r="P16" s="38">
        <f t="shared" si="11"/>
        <v>1</v>
      </c>
      <c r="Q16" s="38">
        <f t="shared" si="7"/>
        <v>0.9667285440962099</v>
      </c>
      <c r="R16" s="38">
        <f t="shared" si="7"/>
        <v>0.9405</v>
      </c>
      <c r="S16" s="42">
        <f>ROUNDUP((('AHV-02'!$F16/480)/3),"0")</f>
        <v>1</v>
      </c>
      <c r="T16" s="43">
        <f t="shared" si="8"/>
        <v>19452</v>
      </c>
      <c r="U16" s="33" t="str">
        <f t="shared" si="12"/>
        <v>FY2025_MLS_Spindle Motor_Spindle Motor(FDB UNIT)_Bang Pa-in</v>
      </c>
    </row>
    <row r="17" spans="1:21" ht="18.75">
      <c r="A17" s="44">
        <v>46071</v>
      </c>
      <c r="B17" s="34">
        <f>SUMIFS('OEE AHV'!J:J,'OEE AHV'!$B:$B,'AHV-02'!$A17,'OEE AHV'!$D:$D,'AHV-02'!$A$1)</f>
        <v>113.58463541666666</v>
      </c>
      <c r="C17" s="35">
        <f t="shared" si="0"/>
        <v>102.92437065972221</v>
      </c>
      <c r="D17" s="34">
        <f t="shared" si="1"/>
        <v>36</v>
      </c>
      <c r="E17" s="36">
        <f t="shared" si="2"/>
        <v>32.083333333333336</v>
      </c>
      <c r="F17" s="34">
        <f>SUMIFS('OEE AHV'!M:M,'OEE AHV'!$B:$B,'AHV-02'!$A17,'OEE AHV'!$D:$D,'AHV-02'!$A$1)</f>
        <v>1326.4153645833333</v>
      </c>
      <c r="G17" s="37">
        <f t="shared" si="3"/>
        <v>67</v>
      </c>
      <c r="H17" s="38">
        <f t="shared" si="4"/>
        <v>0.96607091375333809</v>
      </c>
      <c r="I17" s="38">
        <f t="shared" si="9"/>
        <v>0.95</v>
      </c>
      <c r="J17" s="39"/>
      <c r="K17" s="40">
        <f>SUMIFS('OEE AHV'!Q:Q,'OEE AHV'!$B:$B,'AHV-02'!$A17,'OEE AHV'!$D:$D,'AHV-02'!$A$1)</f>
        <v>19438</v>
      </c>
      <c r="L17" s="38">
        <f t="shared" si="5"/>
        <v>1</v>
      </c>
      <c r="M17" s="38">
        <f t="shared" si="10"/>
        <v>0.99</v>
      </c>
      <c r="N17" s="41" t="s">
        <v>118</v>
      </c>
      <c r="O17" s="38">
        <f t="shared" si="6"/>
        <v>1</v>
      </c>
      <c r="P17" s="38">
        <f t="shared" si="11"/>
        <v>1</v>
      </c>
      <c r="Q17" s="38">
        <f t="shared" si="7"/>
        <v>0.96607091375333809</v>
      </c>
      <c r="R17" s="38">
        <f t="shared" si="7"/>
        <v>0.9405</v>
      </c>
      <c r="S17" s="42">
        <f>ROUNDUP((('AHV-02'!$F17/480)/3),"0")</f>
        <v>1</v>
      </c>
      <c r="T17" s="43">
        <f t="shared" si="8"/>
        <v>19438</v>
      </c>
      <c r="U17" s="33" t="str">
        <f t="shared" si="12"/>
        <v>FY2025_MLS_Spindle Motor_Spindle Motor(FDB UNIT)_Bang Pa-in</v>
      </c>
    </row>
    <row r="18" spans="1:21" ht="18.75">
      <c r="A18" s="44">
        <v>46072</v>
      </c>
      <c r="B18" s="34">
        <f>SUMIFS('OEE AHV'!J:J,'OEE AHV'!$B:$B,'AHV-02'!$A18,'OEE AHV'!$D:$D,'AHV-02'!$A$1)</f>
        <v>113.662109375</v>
      </c>
      <c r="C18" s="35">
        <f t="shared" si="0"/>
        <v>102.92437065972221</v>
      </c>
      <c r="D18" s="34">
        <f t="shared" si="1"/>
        <v>36</v>
      </c>
      <c r="E18" s="36">
        <f t="shared" si="2"/>
        <v>32.083333333333336</v>
      </c>
      <c r="F18" s="34">
        <f>SUMIFS('OEE AHV'!M:M,'OEE AHV'!$B:$B,'AHV-02'!$A18,'OEE AHV'!$D:$D,'AHV-02'!$A$1)</f>
        <v>1326.337890625</v>
      </c>
      <c r="G18" s="37">
        <f t="shared" si="3"/>
        <v>68</v>
      </c>
      <c r="H18" s="38">
        <f t="shared" si="4"/>
        <v>0.96671857917274051</v>
      </c>
      <c r="I18" s="38">
        <f t="shared" si="9"/>
        <v>0.95</v>
      </c>
      <c r="J18" s="39"/>
      <c r="K18" s="40">
        <f>SUMIFS('OEE AHV'!Q:Q,'OEE AHV'!$B:$B,'AHV-02'!$A18,'OEE AHV'!$D:$D,'AHV-02'!$A$1)</f>
        <v>19455</v>
      </c>
      <c r="L18" s="38">
        <f t="shared" si="5"/>
        <v>1</v>
      </c>
      <c r="M18" s="38">
        <f t="shared" si="10"/>
        <v>0.99</v>
      </c>
      <c r="N18" s="41" t="s">
        <v>118</v>
      </c>
      <c r="O18" s="38">
        <f t="shared" si="6"/>
        <v>1</v>
      </c>
      <c r="P18" s="38">
        <f t="shared" si="11"/>
        <v>1</v>
      </c>
      <c r="Q18" s="38">
        <f t="shared" ref="Q18:R25" si="13">IFERROR(IF(AND(H18="",L18="",O18="")=TRUE,"",IF(H18="",1,H18)*IF(L18="",1,L18)*IF(O18="",1,O18)),"")</f>
        <v>0.96671857917274051</v>
      </c>
      <c r="R18" s="38">
        <f t="shared" si="13"/>
        <v>0.9405</v>
      </c>
      <c r="S18" s="42">
        <f>ROUNDUP((('AHV-02'!$F18/480)/3),"0")</f>
        <v>1</v>
      </c>
      <c r="T18" s="43">
        <f t="shared" si="8"/>
        <v>19455</v>
      </c>
      <c r="U18" s="33" t="str">
        <f t="shared" si="12"/>
        <v>FY2025_MLS_Spindle Motor_Spindle Motor(FDB UNIT)_Bang Pa-in</v>
      </c>
    </row>
    <row r="19" spans="1:21" ht="18.75">
      <c r="A19" s="44">
        <v>46073</v>
      </c>
      <c r="B19" s="34">
        <f>SUMIFS('OEE AHV'!J:J,'OEE AHV'!$B:$B,'AHV-02'!$A19,'OEE AHV'!$D:$D,'AHV-02'!$A$1)</f>
        <v>108.92708333333333</v>
      </c>
      <c r="C19" s="35">
        <f t="shared" si="0"/>
        <v>102.92437065972221</v>
      </c>
      <c r="D19" s="34">
        <f t="shared" si="1"/>
        <v>34</v>
      </c>
      <c r="E19" s="36">
        <f t="shared" si="2"/>
        <v>32.083333333333336</v>
      </c>
      <c r="F19" s="34">
        <f>SUMIFS('OEE AHV'!M:M,'OEE AHV'!$B:$B,'AHV-02'!$A19,'OEE AHV'!$D:$D,'AHV-02'!$A$1)</f>
        <v>1227.0729166666667</v>
      </c>
      <c r="G19" s="37">
        <f t="shared" si="3"/>
        <v>167</v>
      </c>
      <c r="H19" s="38">
        <f t="shared" si="4"/>
        <v>0.96392216548834775</v>
      </c>
      <c r="I19" s="38">
        <f t="shared" si="9"/>
        <v>0.95</v>
      </c>
      <c r="J19" s="39"/>
      <c r="K19" s="40">
        <f>SUMIFS('OEE AHV'!Q:Q,'OEE AHV'!$B:$B,'AHV-02'!$A19,'OEE AHV'!$D:$D,'AHV-02'!$A$1)</f>
        <v>18416</v>
      </c>
      <c r="L19" s="38">
        <f t="shared" si="5"/>
        <v>1</v>
      </c>
      <c r="M19" s="38">
        <f t="shared" si="10"/>
        <v>0.99</v>
      </c>
      <c r="N19" s="41" t="s">
        <v>118</v>
      </c>
      <c r="O19" s="38">
        <f t="shared" si="6"/>
        <v>1</v>
      </c>
      <c r="P19" s="38">
        <f t="shared" si="11"/>
        <v>1</v>
      </c>
      <c r="Q19" s="38">
        <f t="shared" si="13"/>
        <v>0.96392216548834775</v>
      </c>
      <c r="R19" s="38">
        <f t="shared" si="13"/>
        <v>0.9405</v>
      </c>
      <c r="S19" s="42">
        <f>ROUNDUP((('AHV-02'!$F19/480)/3),"0")</f>
        <v>1</v>
      </c>
      <c r="T19" s="43">
        <f t="shared" si="8"/>
        <v>18416</v>
      </c>
      <c r="U19" s="33" t="str">
        <f t="shared" si="12"/>
        <v>FY2025_MLS_Spindle Motor_Spindle Motor(FDB UNIT)_Bang Pa-in</v>
      </c>
    </row>
    <row r="20" spans="1:21" ht="18.75">
      <c r="A20" s="44">
        <v>46074</v>
      </c>
      <c r="B20" s="34">
        <f>SUMIFS('OEE AHV'!J:J,'OEE AHV'!$B:$B,'AHV-02'!$A20,'OEE AHV'!$D:$D,'AHV-02'!$A$1)</f>
        <v>111.27864583333334</v>
      </c>
      <c r="C20" s="35">
        <f t="shared" si="0"/>
        <v>102.92437065972221</v>
      </c>
      <c r="D20" s="34">
        <f t="shared" si="1"/>
        <v>35</v>
      </c>
      <c r="E20" s="36">
        <f t="shared" si="2"/>
        <v>32.083333333333336</v>
      </c>
      <c r="F20" s="34">
        <f>SUMIFS('OEE AHV'!M:M,'OEE AHV'!$B:$B,'AHV-02'!$A20,'OEE AHV'!$D:$D,'AHV-02'!$A$1)</f>
        <v>1279.7213541666667</v>
      </c>
      <c r="G20" s="37">
        <f t="shared" si="3"/>
        <v>114</v>
      </c>
      <c r="H20" s="38">
        <f t="shared" si="4"/>
        <v>0.96509906045751637</v>
      </c>
      <c r="I20" s="38">
        <f t="shared" si="9"/>
        <v>0.95</v>
      </c>
      <c r="J20" s="39"/>
      <c r="K20" s="40">
        <f>SUMIFS('OEE AHV'!Q:Q,'OEE AHV'!$B:$B,'AHV-02'!$A20,'OEE AHV'!$D:$D,'AHV-02'!$A$1)</f>
        <v>18932</v>
      </c>
      <c r="L20" s="38">
        <f t="shared" si="5"/>
        <v>1</v>
      </c>
      <c r="M20" s="38">
        <f t="shared" si="10"/>
        <v>0.99</v>
      </c>
      <c r="N20" s="41" t="s">
        <v>118</v>
      </c>
      <c r="O20" s="38">
        <f t="shared" si="6"/>
        <v>1</v>
      </c>
      <c r="P20" s="38">
        <f t="shared" si="11"/>
        <v>1</v>
      </c>
      <c r="Q20" s="38">
        <f t="shared" si="13"/>
        <v>0.96509906045751637</v>
      </c>
      <c r="R20" s="38">
        <f t="shared" si="13"/>
        <v>0.9405</v>
      </c>
      <c r="S20" s="42">
        <f>ROUNDUP((('AHV-02'!$F20/480)/3),"0")</f>
        <v>1</v>
      </c>
      <c r="T20" s="43">
        <f t="shared" si="8"/>
        <v>18932</v>
      </c>
      <c r="U20" s="33" t="str">
        <f t="shared" si="12"/>
        <v>FY2025_MLS_Spindle Motor_Spindle Motor(FDB UNIT)_Bang Pa-in</v>
      </c>
    </row>
    <row r="21" spans="1:21" ht="18.75">
      <c r="A21" s="44">
        <v>46076</v>
      </c>
      <c r="B21" s="34">
        <f>SUMIFS('OEE AHV'!J:J,'OEE AHV'!$B:$B,'AHV-02'!$A21,'OEE AHV'!$D:$D,'AHV-02'!$A$1)</f>
        <v>92.625651041666671</v>
      </c>
      <c r="C21" s="35">
        <f t="shared" si="0"/>
        <v>102.92437065972221</v>
      </c>
      <c r="D21" s="34">
        <f t="shared" si="1"/>
        <v>28</v>
      </c>
      <c r="E21" s="36">
        <f t="shared" si="2"/>
        <v>32.083333333333336</v>
      </c>
      <c r="F21" s="34">
        <f>SUMIFS('OEE AHV'!M:M,'OEE AHV'!$B:$B,'AHV-02'!$A21,'OEE AHV'!$D:$D,'AHV-02'!$A$1)</f>
        <v>1001.3743489583333</v>
      </c>
      <c r="G21" s="37">
        <f t="shared" si="3"/>
        <v>394</v>
      </c>
      <c r="H21" s="38">
        <f t="shared" si="4"/>
        <v>0.95733685368865518</v>
      </c>
      <c r="I21" s="38">
        <f t="shared" si="9"/>
        <v>0.95</v>
      </c>
      <c r="J21" s="39"/>
      <c r="K21" s="40">
        <f>SUMIFS('OEE AHV'!Q:Q,'OEE AHV'!$B:$B,'AHV-02'!$A21,'OEE AHV'!$D:$D,'AHV-02'!$A$1)</f>
        <v>14839</v>
      </c>
      <c r="L21" s="38">
        <f t="shared" si="5"/>
        <v>1</v>
      </c>
      <c r="M21" s="38">
        <f t="shared" si="10"/>
        <v>0.99</v>
      </c>
      <c r="N21" s="41" t="s">
        <v>118</v>
      </c>
      <c r="O21" s="38">
        <f t="shared" si="6"/>
        <v>1</v>
      </c>
      <c r="P21" s="38">
        <f t="shared" si="11"/>
        <v>1</v>
      </c>
      <c r="Q21" s="38">
        <f t="shared" si="13"/>
        <v>0.95733685368865518</v>
      </c>
      <c r="R21" s="38">
        <f t="shared" si="13"/>
        <v>0.9405</v>
      </c>
      <c r="S21" s="42">
        <f>ROUNDUP((('AHV-02'!$F21/480)/3),"0")</f>
        <v>1</v>
      </c>
      <c r="T21" s="43">
        <f t="shared" si="8"/>
        <v>14839</v>
      </c>
      <c r="U21" s="33" t="str">
        <f t="shared" si="12"/>
        <v>FY2025_MLS_Spindle Motor_Spindle Motor(FDB UNIT)_Bang Pa-in</v>
      </c>
    </row>
    <row r="22" spans="1:21" ht="18.75">
      <c r="A22" s="44">
        <v>46077</v>
      </c>
      <c r="B22" s="34">
        <f>SUMIFS('OEE AHV'!J:J,'OEE AHV'!$B:$B,'AHV-02'!$A22,'OEE AHV'!$D:$D,'AHV-02'!$A$1)</f>
        <v>99.607421875</v>
      </c>
      <c r="C22" s="35">
        <f t="shared" si="0"/>
        <v>102.92437065972221</v>
      </c>
      <c r="D22" s="34">
        <f t="shared" si="1"/>
        <v>31</v>
      </c>
      <c r="E22" s="36">
        <f t="shared" si="2"/>
        <v>32.083333333333336</v>
      </c>
      <c r="F22" s="34">
        <f>SUMIFS('OEE AHV'!M:M,'OEE AHV'!$B:$B,'AHV-02'!$A22,'OEE AHV'!$D:$D,'AHV-02'!$A$1)</f>
        <v>1147.392578125</v>
      </c>
      <c r="G22" s="37">
        <f t="shared" si="3"/>
        <v>247</v>
      </c>
      <c r="H22" s="38">
        <f t="shared" si="4"/>
        <v>0.96177081150461019</v>
      </c>
      <c r="I22" s="38">
        <f t="shared" si="9"/>
        <v>0.95</v>
      </c>
      <c r="J22" s="39"/>
      <c r="K22" s="40">
        <f>SUMIFS('OEE AHV'!Q:Q,'OEE AHV'!$B:$B,'AHV-02'!$A22,'OEE AHV'!$D:$D,'AHV-02'!$A$1)</f>
        <v>16371</v>
      </c>
      <c r="L22" s="38">
        <f t="shared" si="5"/>
        <v>1</v>
      </c>
      <c r="M22" s="38">
        <f t="shared" si="10"/>
        <v>0.99</v>
      </c>
      <c r="N22" s="41" t="s">
        <v>118</v>
      </c>
      <c r="O22" s="38">
        <f t="shared" si="6"/>
        <v>1</v>
      </c>
      <c r="P22" s="38">
        <f t="shared" si="11"/>
        <v>1</v>
      </c>
      <c r="Q22" s="38">
        <f t="shared" si="13"/>
        <v>0.96177081150461019</v>
      </c>
      <c r="R22" s="38">
        <f t="shared" si="13"/>
        <v>0.9405</v>
      </c>
      <c r="S22" s="42">
        <f>ROUNDUP((('AHV-02'!$F22/480)/3),"0")</f>
        <v>1</v>
      </c>
      <c r="T22" s="43">
        <f t="shared" si="8"/>
        <v>16371</v>
      </c>
      <c r="U22" s="33" t="str">
        <f t="shared" si="12"/>
        <v>FY2025_MLS_Spindle Motor_Spindle Motor(FDB UNIT)_Bang Pa-in</v>
      </c>
    </row>
    <row r="23" spans="1:21" ht="18.75">
      <c r="A23" s="44">
        <v>46078</v>
      </c>
      <c r="B23" s="34">
        <f>SUMIFS('OEE AHV'!J:J,'OEE AHV'!$B:$B,'AHV-02'!$A23,'OEE AHV'!$D:$D,'AHV-02'!$A$1)</f>
        <v>113.62109375</v>
      </c>
      <c r="C23" s="35">
        <f t="shared" si="0"/>
        <v>102.92437065972221</v>
      </c>
      <c r="D23" s="34">
        <f t="shared" si="1"/>
        <v>36</v>
      </c>
      <c r="E23" s="36">
        <f t="shared" si="2"/>
        <v>32.083333333333336</v>
      </c>
      <c r="F23" s="34">
        <f>SUMIFS('OEE AHV'!M:M,'OEE AHV'!$B:$B,'AHV-02'!$A23,'OEE AHV'!$D:$D,'AHV-02'!$A$1)</f>
        <v>1326.37890625</v>
      </c>
      <c r="G23" s="37">
        <f t="shared" si="3"/>
        <v>67</v>
      </c>
      <c r="H23" s="38">
        <f t="shared" si="4"/>
        <v>0.96604435997815008</v>
      </c>
      <c r="I23" s="38">
        <f t="shared" si="9"/>
        <v>0.95</v>
      </c>
      <c r="J23" s="39"/>
      <c r="K23" s="40">
        <f>SUMIFS('OEE AHV'!Q:Q,'OEE AHV'!$B:$B,'AHV-02'!$A23,'OEE AHV'!$D:$D,'AHV-02'!$A$1)</f>
        <v>19446</v>
      </c>
      <c r="L23" s="38">
        <f t="shared" si="5"/>
        <v>1</v>
      </c>
      <c r="M23" s="38">
        <f t="shared" si="10"/>
        <v>0.99</v>
      </c>
      <c r="N23" s="41" t="s">
        <v>118</v>
      </c>
      <c r="O23" s="38">
        <f t="shared" si="6"/>
        <v>1</v>
      </c>
      <c r="P23" s="38">
        <f t="shared" si="11"/>
        <v>1</v>
      </c>
      <c r="Q23" s="38">
        <f t="shared" si="13"/>
        <v>0.96604435997815008</v>
      </c>
      <c r="R23" s="38">
        <f t="shared" si="13"/>
        <v>0.9405</v>
      </c>
      <c r="S23" s="42">
        <f>ROUNDUP((('AHV-02'!$F23/480)/3),"0")</f>
        <v>1</v>
      </c>
      <c r="T23" s="43">
        <f t="shared" si="8"/>
        <v>19446</v>
      </c>
      <c r="U23" s="33" t="str">
        <f t="shared" si="12"/>
        <v>FY2025_MLS_Spindle Motor_Spindle Motor(FDB UNIT)_Bang Pa-in</v>
      </c>
    </row>
    <row r="24" spans="1:21" ht="18.75">
      <c r="A24" s="44">
        <v>46079</v>
      </c>
      <c r="B24" s="34">
        <f>SUMIFS('OEE AHV'!J:J,'OEE AHV'!$B:$B,'AHV-02'!$A24,'OEE AHV'!$D:$D,'AHV-02'!$A$1)</f>
        <v>97.283203125</v>
      </c>
      <c r="C24" s="35">
        <f t="shared" si="0"/>
        <v>102.92437065972221</v>
      </c>
      <c r="D24" s="34">
        <f t="shared" si="1"/>
        <v>28</v>
      </c>
      <c r="E24" s="36">
        <f t="shared" si="2"/>
        <v>32.083333333333336</v>
      </c>
      <c r="F24" s="34">
        <f>SUMIFS('OEE AHV'!M:M,'OEE AHV'!$B:$B,'AHV-02'!$A24,'OEE AHV'!$D:$D,'AHV-02'!$A$1)</f>
        <v>941.716796875</v>
      </c>
      <c r="G24" s="37">
        <f t="shared" si="3"/>
        <v>454</v>
      </c>
      <c r="H24" s="38">
        <f t="shared" si="4"/>
        <v>0.95508802928498981</v>
      </c>
      <c r="I24" s="38">
        <f t="shared" si="9"/>
        <v>0.95</v>
      </c>
      <c r="J24" s="39"/>
      <c r="K24" s="40">
        <f>SUMIFS('OEE AHV'!Q:Q,'OEE AHV'!$B:$B,'AHV-02'!$A24,'OEE AHV'!$D:$D,'AHV-02'!$A$1)</f>
        <v>15861</v>
      </c>
      <c r="L24" s="38">
        <f t="shared" si="5"/>
        <v>1</v>
      </c>
      <c r="M24" s="38">
        <f t="shared" si="10"/>
        <v>0.99</v>
      </c>
      <c r="N24" s="41" t="s">
        <v>118</v>
      </c>
      <c r="O24" s="38">
        <f t="shared" si="6"/>
        <v>1</v>
      </c>
      <c r="P24" s="38">
        <f t="shared" si="11"/>
        <v>1</v>
      </c>
      <c r="Q24" s="38">
        <f t="shared" si="13"/>
        <v>0.95508802928498981</v>
      </c>
      <c r="R24" s="38">
        <f t="shared" si="13"/>
        <v>0.9405</v>
      </c>
      <c r="S24" s="42">
        <f>ROUNDUP((('AHV-02'!$F24/480)/3),"0")</f>
        <v>1</v>
      </c>
      <c r="T24" s="43">
        <f t="shared" si="8"/>
        <v>15861</v>
      </c>
      <c r="U24" s="33" t="str">
        <f t="shared" si="12"/>
        <v>FY2025_MLS_Spindle Motor_Spindle Motor(FDB UNIT)_Bang Pa-in</v>
      </c>
    </row>
    <row r="25" spans="1:21" ht="18.75">
      <c r="A25" s="44">
        <v>46080</v>
      </c>
      <c r="B25" s="34">
        <f>SUMIFS('OEE AHV'!J:J,'OEE AHV'!$B:$B,'AHV-02'!$A25,'OEE AHV'!$D:$D,'AHV-02'!$A$1)</f>
        <v>104.26041666666667</v>
      </c>
      <c r="C25" s="35">
        <f t="shared" si="0"/>
        <v>102.92437065972221</v>
      </c>
      <c r="D25" s="34">
        <f t="shared" si="1"/>
        <v>33</v>
      </c>
      <c r="E25" s="36">
        <f t="shared" si="2"/>
        <v>32.083333333333336</v>
      </c>
      <c r="F25" s="34">
        <f>SUMIFS('OEE AHV'!M:M,'OEE AHV'!$B:$B,'AHV-02'!$A25,'OEE AHV'!$D:$D,'AHV-02'!$A$1)</f>
        <v>1197.7395833333333</v>
      </c>
      <c r="G25" s="37">
        <f t="shared" si="3"/>
        <v>197</v>
      </c>
      <c r="H25" s="38">
        <f t="shared" si="4"/>
        <v>0.96358775811209429</v>
      </c>
      <c r="I25" s="38">
        <f t="shared" si="9"/>
        <v>0.95</v>
      </c>
      <c r="J25" s="39"/>
      <c r="K25" s="40">
        <f>SUMIFS('OEE AHV'!Q:Q,'OEE AHV'!$B:$B,'AHV-02'!$A25,'OEE AHV'!$D:$D,'AHV-02'!$A$1)</f>
        <v>17392</v>
      </c>
      <c r="L25" s="38">
        <f t="shared" si="5"/>
        <v>1</v>
      </c>
      <c r="M25" s="38">
        <f t="shared" si="10"/>
        <v>0.99</v>
      </c>
      <c r="N25" s="41" t="s">
        <v>118</v>
      </c>
      <c r="O25" s="38">
        <f t="shared" si="6"/>
        <v>1</v>
      </c>
      <c r="P25" s="38">
        <f t="shared" si="11"/>
        <v>1</v>
      </c>
      <c r="Q25" s="38">
        <f t="shared" si="13"/>
        <v>0.96358775811209429</v>
      </c>
      <c r="R25" s="38">
        <f t="shared" si="13"/>
        <v>0.9405</v>
      </c>
      <c r="S25" s="42">
        <f>ROUNDUP((('AHV-02'!$F25/480)/3),"0")</f>
        <v>1</v>
      </c>
      <c r="T25" s="43">
        <f t="shared" si="8"/>
        <v>17392</v>
      </c>
      <c r="U25" s="33" t="str">
        <f t="shared" si="12"/>
        <v>FY2025_MLS_Spindle Motor_Spindle Motor(FDB UNIT)_Bang Pa-in</v>
      </c>
    </row>
    <row r="26" spans="1:21" ht="18.7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8"/>
      <c r="T26" s="45"/>
      <c r="U26" s="45"/>
    </row>
    <row r="27" spans="1:21" ht="18.7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8"/>
      <c r="T27" s="45"/>
      <c r="U27" s="45"/>
    </row>
    <row r="28" spans="1:21" ht="18.7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8"/>
      <c r="T28" s="45"/>
      <c r="U28" s="45"/>
    </row>
    <row r="29" spans="1:21" ht="18.7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8"/>
      <c r="T29" s="45"/>
      <c r="U29" s="45"/>
    </row>
    <row r="30" spans="1:21" ht="18.7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8"/>
      <c r="T30" s="45"/>
      <c r="U30" s="45"/>
    </row>
    <row r="31" spans="1:21" ht="18.7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8"/>
      <c r="T31" s="45"/>
      <c r="U31" s="45"/>
    </row>
    <row r="32" spans="1:21" ht="18.7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8"/>
      <c r="T32" s="45"/>
      <c r="U32" s="45"/>
    </row>
    <row r="33" spans="1:21" ht="18.7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8"/>
      <c r="T33" s="45"/>
      <c r="U33" s="45"/>
    </row>
    <row r="34" spans="1:21" ht="18.7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8"/>
      <c r="T34" s="45"/>
      <c r="U34" s="45"/>
    </row>
    <row r="35" spans="1:21" ht="18.7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8"/>
      <c r="T35" s="45"/>
      <c r="U35" s="45"/>
    </row>
    <row r="36" spans="1:21" ht="18.7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8"/>
      <c r="T36" s="45"/>
      <c r="U36" s="45"/>
    </row>
    <row r="37" spans="1:21" ht="18.7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8"/>
      <c r="T37" s="45"/>
      <c r="U37" s="45"/>
    </row>
    <row r="38" spans="1:21" ht="18.7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8"/>
      <c r="T38" s="45"/>
      <c r="U38" s="45"/>
    </row>
    <row r="39" spans="1:21" ht="18.7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8"/>
      <c r="T39" s="45"/>
      <c r="U39" s="45"/>
    </row>
    <row r="40" spans="1:21" ht="18.7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8"/>
      <c r="T40" s="45"/>
      <c r="U40" s="45"/>
    </row>
    <row r="41" spans="1:21" ht="18.7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8"/>
      <c r="T41" s="45"/>
      <c r="U41" s="45"/>
    </row>
    <row r="42" spans="1:21" ht="18.7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8"/>
      <c r="T42" s="45"/>
      <c r="U42" s="45"/>
    </row>
    <row r="43" spans="1:21" ht="18.7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8"/>
      <c r="T43" s="45"/>
      <c r="U43" s="45"/>
    </row>
    <row r="44" spans="1:21" ht="18.7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8"/>
      <c r="T44" s="45"/>
      <c r="U44" s="45"/>
    </row>
    <row r="45" spans="1:21" ht="18.7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8"/>
      <c r="T45" s="45"/>
      <c r="U45" s="45"/>
    </row>
    <row r="46" spans="1:21" ht="18.7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8"/>
      <c r="T46" s="45"/>
      <c r="U46" s="45"/>
    </row>
    <row r="47" spans="1:21" ht="18.7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8"/>
      <c r="T47" s="45"/>
      <c r="U47" s="45"/>
    </row>
    <row r="48" spans="1:21" ht="18.7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8"/>
      <c r="T48" s="45"/>
      <c r="U48" s="45"/>
    </row>
    <row r="49" spans="1:21" ht="18.7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8"/>
      <c r="T49" s="45"/>
      <c r="U49" s="45"/>
    </row>
    <row r="50" spans="1:21" ht="18.7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8"/>
      <c r="T50" s="45"/>
      <c r="U50" s="45"/>
    </row>
    <row r="51" spans="1:21" ht="18.7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8"/>
      <c r="T51" s="45"/>
      <c r="U51" s="45"/>
    </row>
    <row r="52" spans="1:21" ht="18.7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8"/>
      <c r="T52" s="45"/>
      <c r="U52" s="45"/>
    </row>
    <row r="53" spans="1:21" ht="18.7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8"/>
      <c r="T53" s="45"/>
      <c r="U53" s="45"/>
    </row>
    <row r="54" spans="1:21" ht="18.7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8"/>
      <c r="T54" s="45"/>
      <c r="U54" s="45"/>
    </row>
    <row r="55" spans="1:21" ht="18.7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8"/>
      <c r="T55" s="45"/>
      <c r="U55" s="45"/>
    </row>
    <row r="56" spans="1:21" ht="18.7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8"/>
      <c r="T56" s="45"/>
      <c r="U56" s="45"/>
    </row>
    <row r="57" spans="1:21" ht="18.7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8"/>
      <c r="T57" s="45"/>
      <c r="U57" s="45"/>
    </row>
    <row r="58" spans="1:21" ht="18.7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8"/>
      <c r="T58" s="45"/>
      <c r="U58" s="45"/>
    </row>
    <row r="59" spans="1:21" ht="18.7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8"/>
      <c r="T59" s="45"/>
      <c r="U59" s="45"/>
    </row>
    <row r="60" spans="1:21" ht="18.7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8"/>
      <c r="T60" s="45"/>
      <c r="U60" s="45"/>
    </row>
    <row r="61" spans="1:21" ht="18.7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8"/>
      <c r="T61" s="45"/>
      <c r="U61" s="45"/>
    </row>
    <row r="62" spans="1:21" ht="18.7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8"/>
      <c r="T62" s="45"/>
      <c r="U62" s="45"/>
    </row>
    <row r="63" spans="1:21" ht="18.7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8"/>
      <c r="T63" s="45"/>
      <c r="U63" s="45"/>
    </row>
    <row r="64" spans="1:21" ht="18.7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8"/>
      <c r="T64" s="45"/>
      <c r="U64" s="45"/>
    </row>
    <row r="65" spans="1:21" ht="18.7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8"/>
      <c r="T65" s="45"/>
      <c r="U65" s="45"/>
    </row>
    <row r="66" spans="1:21" ht="18.7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8"/>
      <c r="T66" s="45"/>
      <c r="U66" s="45"/>
    </row>
    <row r="67" spans="1:21" ht="18.7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8"/>
      <c r="T67" s="45"/>
      <c r="U67" s="45"/>
    </row>
    <row r="68" spans="1:21" ht="18.7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8"/>
      <c r="T68" s="45"/>
      <c r="U68" s="45"/>
    </row>
    <row r="69" spans="1:21" ht="18.7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8"/>
      <c r="T69" s="45"/>
      <c r="U69" s="45"/>
    </row>
    <row r="70" spans="1:21" ht="18.7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8"/>
      <c r="T70" s="45"/>
      <c r="U70" s="45"/>
    </row>
    <row r="71" spans="1:21" ht="18.7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8"/>
      <c r="T71" s="45"/>
      <c r="U71" s="45"/>
    </row>
    <row r="72" spans="1:21" ht="18.7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8"/>
      <c r="T72" s="45"/>
      <c r="U72" s="45"/>
    </row>
    <row r="73" spans="1:21" ht="18.7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8"/>
      <c r="T73" s="45"/>
      <c r="U73" s="45"/>
    </row>
    <row r="74" spans="1:21" ht="18.7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8"/>
      <c r="T74" s="45"/>
      <c r="U74" s="45"/>
    </row>
    <row r="75" spans="1:21" ht="18.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8"/>
      <c r="T75" s="45"/>
      <c r="U75" s="45"/>
    </row>
    <row r="76" spans="1:21" ht="18.7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8"/>
      <c r="T76" s="45"/>
      <c r="U76" s="45"/>
    </row>
    <row r="77" spans="1:21" ht="18.7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8"/>
      <c r="T77" s="45"/>
      <c r="U77" s="45"/>
    </row>
    <row r="78" spans="1:21" ht="18.7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8"/>
      <c r="T78" s="45"/>
      <c r="U78" s="45"/>
    </row>
    <row r="79" spans="1:21" ht="18.7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8"/>
      <c r="T79" s="45"/>
      <c r="U79" s="45"/>
    </row>
    <row r="80" spans="1:21" ht="18.7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8"/>
      <c r="T80" s="45"/>
      <c r="U80" s="45"/>
    </row>
    <row r="81" spans="1:21" ht="18.7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8"/>
      <c r="T81" s="45"/>
      <c r="U81" s="45"/>
    </row>
    <row r="82" spans="1:21" ht="18.7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8"/>
      <c r="T82" s="45"/>
      <c r="U82" s="45"/>
    </row>
    <row r="83" spans="1:21" ht="18.7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8"/>
      <c r="T83" s="45"/>
      <c r="U83" s="45"/>
    </row>
    <row r="84" spans="1:21" ht="18.7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8"/>
      <c r="T84" s="45"/>
      <c r="U84" s="45"/>
    </row>
    <row r="85" spans="1:21" ht="18.7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8"/>
      <c r="T85" s="45"/>
      <c r="U85" s="45"/>
    </row>
    <row r="86" spans="1:21" ht="18.7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8"/>
      <c r="T86" s="45"/>
      <c r="U86" s="45"/>
    </row>
    <row r="87" spans="1:21" ht="18.7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8"/>
      <c r="T87" s="45"/>
      <c r="U87" s="45"/>
    </row>
    <row r="88" spans="1:21" ht="18.7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8"/>
      <c r="T88" s="45"/>
      <c r="U88" s="45"/>
    </row>
    <row r="89" spans="1:21" ht="18.7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8"/>
      <c r="T89" s="45"/>
      <c r="U89" s="45"/>
    </row>
    <row r="90" spans="1:21" ht="18.7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8"/>
      <c r="T90" s="45"/>
      <c r="U90" s="45"/>
    </row>
    <row r="91" spans="1:21" ht="18.7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8"/>
      <c r="T91" s="45"/>
      <c r="U91" s="45"/>
    </row>
    <row r="92" spans="1:21" ht="18.7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8"/>
      <c r="T92" s="45"/>
      <c r="U92" s="45"/>
    </row>
    <row r="93" spans="1:21" ht="18.7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8"/>
      <c r="T93" s="45"/>
      <c r="U93" s="45"/>
    </row>
    <row r="94" spans="1:21" ht="18.7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8"/>
      <c r="T94" s="45"/>
      <c r="U94" s="45"/>
    </row>
    <row r="95" spans="1:21" ht="18.7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8"/>
      <c r="T95" s="45"/>
      <c r="U95" s="45"/>
    </row>
    <row r="96" spans="1:21" ht="18.7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8"/>
      <c r="T96" s="45"/>
      <c r="U96" s="45"/>
    </row>
    <row r="97" spans="1:21" ht="18.7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8"/>
      <c r="T97" s="45"/>
      <c r="U97" s="45"/>
    </row>
    <row r="98" spans="1:21" ht="18.7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8"/>
      <c r="T98" s="45"/>
      <c r="U98" s="45"/>
    </row>
    <row r="99" spans="1:21" ht="18.7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8"/>
      <c r="T99" s="45"/>
      <c r="U99" s="45"/>
    </row>
    <row r="100" spans="1:21" ht="18.7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8"/>
      <c r="T100" s="45"/>
      <c r="U100" s="45"/>
    </row>
    <row r="101" spans="1:21" ht="18.7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8"/>
      <c r="T101" s="45"/>
      <c r="U101" s="45"/>
    </row>
    <row r="102" spans="1:21" ht="18.7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8"/>
      <c r="T102" s="45"/>
      <c r="U102" s="45"/>
    </row>
    <row r="103" spans="1:21" ht="18.7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8"/>
      <c r="T103" s="45"/>
      <c r="U103" s="45"/>
    </row>
    <row r="104" spans="1:21" ht="18.7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8"/>
      <c r="T104" s="45"/>
      <c r="U104" s="45"/>
    </row>
    <row r="105" spans="1:21" ht="18.7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8"/>
      <c r="T105" s="45"/>
      <c r="U105" s="45"/>
    </row>
    <row r="106" spans="1:21" ht="18.7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8"/>
      <c r="T106" s="45"/>
      <c r="U106" s="45"/>
    </row>
    <row r="107" spans="1:21" ht="18.7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8"/>
      <c r="T107" s="45"/>
      <c r="U107" s="45"/>
    </row>
    <row r="108" spans="1:21" ht="18.7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8"/>
      <c r="T108" s="45"/>
      <c r="U108" s="45"/>
    </row>
    <row r="109" spans="1:21" ht="18.7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8"/>
      <c r="T109" s="45"/>
      <c r="U109" s="45"/>
    </row>
    <row r="110" spans="1:21" ht="18.7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8"/>
      <c r="T110" s="45"/>
      <c r="U110" s="45"/>
    </row>
    <row r="111" spans="1:21" ht="18.7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8"/>
      <c r="T111" s="45"/>
      <c r="U111" s="45"/>
    </row>
    <row r="112" spans="1:21" ht="18.7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8"/>
      <c r="T112" s="45"/>
      <c r="U112" s="45"/>
    </row>
    <row r="113" spans="1:21" ht="18.7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8"/>
      <c r="T113" s="45"/>
      <c r="U113" s="45"/>
    </row>
    <row r="114" spans="1:21" ht="18.7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8"/>
      <c r="T114" s="45"/>
      <c r="U114" s="45"/>
    </row>
    <row r="115" spans="1:21" ht="18.7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8"/>
      <c r="T115" s="45"/>
      <c r="U115" s="45"/>
    </row>
    <row r="116" spans="1:21" ht="18.7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8"/>
      <c r="T116" s="45"/>
      <c r="U116" s="45"/>
    </row>
    <row r="117" spans="1:21" ht="18.7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8"/>
      <c r="T117" s="45"/>
      <c r="U117" s="45"/>
    </row>
    <row r="118" spans="1:21" ht="18.7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8"/>
      <c r="T118" s="45"/>
      <c r="U118" s="45"/>
    </row>
    <row r="119" spans="1:21" ht="18.7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8"/>
      <c r="T119" s="45"/>
      <c r="U119" s="45"/>
    </row>
    <row r="120" spans="1:21" ht="18.7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8"/>
      <c r="T120" s="45"/>
      <c r="U120" s="45"/>
    </row>
    <row r="121" spans="1:21" ht="18.7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8"/>
      <c r="T121" s="45"/>
      <c r="U121" s="45"/>
    </row>
    <row r="122" spans="1:21" ht="18.7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8"/>
      <c r="T122" s="45"/>
      <c r="U122" s="45"/>
    </row>
    <row r="123" spans="1:21" ht="18.7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8"/>
      <c r="T123" s="45"/>
      <c r="U123" s="45"/>
    </row>
    <row r="124" spans="1:21" ht="18.7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8"/>
      <c r="T124" s="45"/>
      <c r="U124" s="45"/>
    </row>
    <row r="125" spans="1:21" ht="18.7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8"/>
      <c r="T125" s="45"/>
      <c r="U125" s="45"/>
    </row>
    <row r="126" spans="1:21" ht="18.7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8"/>
      <c r="T126" s="45"/>
      <c r="U126" s="45"/>
    </row>
    <row r="127" spans="1:21" ht="18.7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8"/>
      <c r="T127" s="45"/>
      <c r="U127" s="45"/>
    </row>
    <row r="128" spans="1:21" ht="18.7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8"/>
      <c r="T128" s="45"/>
      <c r="U128" s="45"/>
    </row>
    <row r="129" spans="1:21" ht="18.7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8"/>
      <c r="T129" s="45"/>
      <c r="U129" s="45"/>
    </row>
    <row r="130" spans="1:21" ht="18.7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8"/>
      <c r="T130" s="45"/>
      <c r="U130" s="45"/>
    </row>
    <row r="131" spans="1:21" ht="18.7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8"/>
      <c r="T131" s="45"/>
      <c r="U131" s="45"/>
    </row>
    <row r="132" spans="1:21" ht="18.7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8"/>
      <c r="T132" s="45"/>
      <c r="U132" s="45"/>
    </row>
    <row r="133" spans="1:21" ht="18.7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8"/>
      <c r="T133" s="45"/>
      <c r="U133" s="45"/>
    </row>
    <row r="134" spans="1:21" ht="18.7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8"/>
      <c r="T134" s="45"/>
      <c r="U134" s="45"/>
    </row>
    <row r="135" spans="1:21" ht="18.7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8"/>
      <c r="T135" s="45"/>
      <c r="U135" s="45"/>
    </row>
    <row r="136" spans="1:21" ht="18.7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8"/>
      <c r="T136" s="45"/>
      <c r="U136" s="45"/>
    </row>
    <row r="137" spans="1:21" ht="18.7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8"/>
      <c r="T137" s="45"/>
      <c r="U137" s="45"/>
    </row>
    <row r="138" spans="1:21" ht="18.7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8"/>
      <c r="T138" s="45"/>
      <c r="U138" s="45"/>
    </row>
    <row r="139" spans="1:21" ht="18.7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8"/>
      <c r="T139" s="45"/>
      <c r="U139" s="45"/>
    </row>
    <row r="140" spans="1:21" ht="18.7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8"/>
      <c r="T140" s="45"/>
      <c r="U140" s="45"/>
    </row>
    <row r="141" spans="1:21" ht="18.7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8"/>
      <c r="T141" s="45"/>
      <c r="U141" s="45"/>
    </row>
    <row r="142" spans="1:21" ht="18.7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8"/>
      <c r="T142" s="45"/>
      <c r="U142" s="45"/>
    </row>
    <row r="143" spans="1:21" ht="18.7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8"/>
      <c r="T143" s="45"/>
      <c r="U143" s="45"/>
    </row>
    <row r="144" spans="1:21" ht="18.7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8"/>
      <c r="T144" s="45"/>
      <c r="U144" s="45"/>
    </row>
    <row r="145" spans="1:21" ht="18.7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8"/>
      <c r="T145" s="45"/>
      <c r="U145" s="45"/>
    </row>
    <row r="146" spans="1:21" ht="18.7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8"/>
      <c r="T146" s="45"/>
      <c r="U146" s="45"/>
    </row>
    <row r="147" spans="1:21" ht="18.7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8"/>
      <c r="T147" s="45"/>
      <c r="U147" s="45"/>
    </row>
    <row r="148" spans="1:21" ht="18.7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8"/>
      <c r="T148" s="45"/>
      <c r="U148" s="45"/>
    </row>
    <row r="149" spans="1:21" ht="18.7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8"/>
      <c r="T149" s="45"/>
      <c r="U149" s="45"/>
    </row>
    <row r="150" spans="1:21" ht="18.7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8"/>
      <c r="T150" s="45"/>
      <c r="U150" s="45"/>
    </row>
    <row r="151" spans="1:21" ht="18.7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8"/>
      <c r="T151" s="45"/>
      <c r="U151" s="45"/>
    </row>
    <row r="152" spans="1:21" ht="18.7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8"/>
      <c r="T152" s="45"/>
      <c r="U152" s="45"/>
    </row>
    <row r="153" spans="1:21" ht="18.7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8"/>
      <c r="T153" s="45"/>
      <c r="U153" s="45"/>
    </row>
    <row r="154" spans="1:21" ht="18.7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8"/>
      <c r="T154" s="45"/>
      <c r="U154" s="45"/>
    </row>
    <row r="155" spans="1:21" ht="18.7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8"/>
      <c r="T155" s="45"/>
      <c r="U155" s="45"/>
    </row>
    <row r="156" spans="1:21" ht="18.7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8"/>
      <c r="T156" s="45"/>
      <c r="U156" s="45"/>
    </row>
    <row r="157" spans="1:21" ht="18.7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8"/>
      <c r="T157" s="45"/>
      <c r="U157" s="45"/>
    </row>
    <row r="158" spans="1:21" ht="18.7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8"/>
      <c r="T158" s="45"/>
      <c r="U158" s="45"/>
    </row>
    <row r="159" spans="1:21" ht="18.7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8"/>
      <c r="T159" s="45"/>
      <c r="U159" s="45"/>
    </row>
    <row r="160" spans="1:21" ht="18.7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8"/>
      <c r="T160" s="45"/>
      <c r="U160" s="45"/>
    </row>
    <row r="161" spans="1:21" ht="18.7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8"/>
      <c r="T161" s="45"/>
      <c r="U161" s="45"/>
    </row>
    <row r="162" spans="1:21" ht="18.7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8"/>
      <c r="T162" s="45"/>
      <c r="U162" s="45"/>
    </row>
    <row r="163" spans="1:21" ht="18.7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8"/>
      <c r="T163" s="45"/>
      <c r="U163" s="45"/>
    </row>
    <row r="164" spans="1:21" ht="18.7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8"/>
      <c r="T164" s="45"/>
      <c r="U164" s="45"/>
    </row>
    <row r="165" spans="1:21" ht="18.7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8"/>
      <c r="T165" s="45"/>
      <c r="U165" s="45"/>
    </row>
    <row r="166" spans="1:21" ht="18.7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8"/>
      <c r="T166" s="45"/>
      <c r="U166" s="45"/>
    </row>
    <row r="167" spans="1:21" ht="18.7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8"/>
      <c r="T167" s="45"/>
      <c r="U167" s="45"/>
    </row>
    <row r="168" spans="1:21" ht="18.7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8"/>
      <c r="T168" s="45"/>
      <c r="U168" s="45"/>
    </row>
    <row r="169" spans="1:21" ht="18.7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8"/>
      <c r="T169" s="45"/>
      <c r="U169" s="45"/>
    </row>
    <row r="170" spans="1:21" ht="18.7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8"/>
      <c r="T170" s="45"/>
      <c r="U170" s="45"/>
    </row>
    <row r="171" spans="1:21" ht="18.7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8"/>
      <c r="T171" s="45"/>
      <c r="U171" s="45"/>
    </row>
    <row r="172" spans="1:21" ht="18.7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8"/>
      <c r="T172" s="45"/>
      <c r="U172" s="45"/>
    </row>
    <row r="173" spans="1:21" ht="18.7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8"/>
      <c r="T173" s="45"/>
      <c r="U173" s="45"/>
    </row>
    <row r="174" spans="1:21" ht="18.7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8"/>
      <c r="T174" s="45"/>
      <c r="U174" s="45"/>
    </row>
    <row r="175" spans="1:21" ht="18.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8"/>
      <c r="T175" s="45"/>
      <c r="U175" s="45"/>
    </row>
    <row r="176" spans="1:21" ht="18.7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8"/>
      <c r="T176" s="45"/>
      <c r="U176" s="45"/>
    </row>
    <row r="177" spans="1:21" ht="18.7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8"/>
      <c r="T177" s="45"/>
      <c r="U177" s="45"/>
    </row>
    <row r="178" spans="1:21" ht="18.7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8"/>
      <c r="T178" s="45"/>
      <c r="U178" s="45"/>
    </row>
    <row r="179" spans="1:21" ht="18.7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8"/>
      <c r="T179" s="45"/>
      <c r="U179" s="45"/>
    </row>
    <row r="180" spans="1:21" ht="18.7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8"/>
      <c r="T180" s="45"/>
      <c r="U180" s="45"/>
    </row>
    <row r="181" spans="1:21" ht="18.7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8"/>
      <c r="T181" s="45"/>
      <c r="U181" s="45"/>
    </row>
    <row r="182" spans="1:21" ht="18.7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8"/>
      <c r="T182" s="45"/>
      <c r="U182" s="45"/>
    </row>
    <row r="183" spans="1:21" ht="18.7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8"/>
      <c r="T183" s="45"/>
      <c r="U183" s="45"/>
    </row>
    <row r="184" spans="1:21" ht="18.7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8"/>
      <c r="T184" s="45"/>
      <c r="U184" s="45"/>
    </row>
    <row r="185" spans="1:21" ht="18.7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8"/>
      <c r="T185" s="45"/>
      <c r="U185" s="45"/>
    </row>
    <row r="186" spans="1:21" ht="18.7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8"/>
      <c r="T186" s="45"/>
      <c r="U186" s="45"/>
    </row>
    <row r="187" spans="1:21" ht="18.7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8"/>
      <c r="T187" s="45"/>
      <c r="U187" s="45"/>
    </row>
    <row r="188" spans="1:21" ht="18.7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8"/>
      <c r="T188" s="45"/>
      <c r="U188" s="45"/>
    </row>
    <row r="189" spans="1:21" ht="18.7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8"/>
      <c r="T189" s="45"/>
      <c r="U189" s="45"/>
    </row>
    <row r="190" spans="1:21" ht="18.7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8"/>
      <c r="T190" s="45"/>
      <c r="U190" s="45"/>
    </row>
    <row r="191" spans="1:21" ht="18.7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8"/>
      <c r="T191" s="45"/>
      <c r="U191" s="45"/>
    </row>
    <row r="192" spans="1:21" ht="18.7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8"/>
      <c r="T192" s="45"/>
      <c r="U192" s="45"/>
    </row>
    <row r="193" spans="1:21" ht="18.7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8"/>
      <c r="T193" s="45"/>
      <c r="U193" s="45"/>
    </row>
    <row r="194" spans="1:21" ht="18.7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8"/>
      <c r="T194" s="45"/>
      <c r="U194" s="45"/>
    </row>
    <row r="195" spans="1:21" ht="18.7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8"/>
      <c r="T195" s="45"/>
      <c r="U195" s="45"/>
    </row>
    <row r="196" spans="1:21" ht="18.7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8"/>
      <c r="T196" s="45"/>
      <c r="U196" s="45"/>
    </row>
    <row r="197" spans="1:21" ht="18.7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8"/>
      <c r="T197" s="45"/>
      <c r="U197" s="45"/>
    </row>
    <row r="198" spans="1:21" ht="18.7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8"/>
      <c r="T198" s="45"/>
      <c r="U198" s="45"/>
    </row>
    <row r="199" spans="1:21" ht="18.7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8"/>
      <c r="T199" s="45"/>
      <c r="U199" s="45"/>
    </row>
    <row r="200" spans="1:21" ht="18.7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8"/>
      <c r="T200" s="45"/>
      <c r="U200" s="45"/>
    </row>
    <row r="201" spans="1:21" ht="18.7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8"/>
      <c r="T201" s="45"/>
      <c r="U201" s="45"/>
    </row>
    <row r="202" spans="1:21" ht="18.7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8"/>
      <c r="T202" s="45"/>
      <c r="U202" s="45"/>
    </row>
    <row r="203" spans="1:21" ht="18.7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8"/>
      <c r="T203" s="45"/>
      <c r="U203" s="45"/>
    </row>
    <row r="204" spans="1:21" ht="18.7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8"/>
      <c r="T204" s="45"/>
      <c r="U204" s="45"/>
    </row>
    <row r="205" spans="1:21" ht="18.7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8"/>
      <c r="T205" s="45"/>
      <c r="U205" s="45"/>
    </row>
    <row r="206" spans="1:21" ht="18.7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8"/>
      <c r="T206" s="45"/>
      <c r="U206" s="45"/>
    </row>
    <row r="207" spans="1:21" ht="18.7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8"/>
      <c r="T207" s="45"/>
      <c r="U207" s="45"/>
    </row>
    <row r="208" spans="1:21" ht="18.7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8"/>
      <c r="T208" s="45"/>
      <c r="U208" s="45"/>
    </row>
    <row r="209" spans="1:21" ht="18.7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8"/>
      <c r="T209" s="45"/>
      <c r="U209" s="45"/>
    </row>
    <row r="210" spans="1:21" ht="18.7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8"/>
      <c r="T210" s="45"/>
      <c r="U210" s="45"/>
    </row>
    <row r="211" spans="1:21" ht="18.7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8"/>
      <c r="T211" s="45"/>
      <c r="U211" s="45"/>
    </row>
    <row r="212" spans="1:21" ht="18.7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8"/>
      <c r="T212" s="45"/>
      <c r="U212" s="45"/>
    </row>
    <row r="213" spans="1:21" ht="18.7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8"/>
      <c r="T213" s="45"/>
      <c r="U213" s="45"/>
    </row>
    <row r="214" spans="1:21" ht="18.7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8"/>
      <c r="T214" s="45"/>
      <c r="U214" s="45"/>
    </row>
    <row r="215" spans="1:21" ht="18.7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8"/>
      <c r="T215" s="45"/>
      <c r="U215" s="45"/>
    </row>
    <row r="216" spans="1:21" ht="18.7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8"/>
      <c r="T216" s="45"/>
      <c r="U216" s="45"/>
    </row>
    <row r="217" spans="1:21" ht="18.7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8"/>
      <c r="T217" s="45"/>
      <c r="U217" s="45"/>
    </row>
    <row r="218" spans="1:21" ht="18.7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8"/>
      <c r="T218" s="45"/>
      <c r="U218" s="45"/>
    </row>
    <row r="219" spans="1:21" ht="18.7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8"/>
      <c r="T219" s="45"/>
      <c r="U219" s="45"/>
    </row>
    <row r="220" spans="1:21" ht="18.7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8"/>
      <c r="T220" s="45"/>
      <c r="U220" s="45"/>
    </row>
    <row r="221" spans="1:21" ht="18.7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8"/>
      <c r="T221" s="45"/>
      <c r="U221" s="45"/>
    </row>
    <row r="222" spans="1:21" ht="18.7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8"/>
      <c r="T222" s="45"/>
      <c r="U222" s="45"/>
    </row>
    <row r="223" spans="1:21" ht="18.7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8"/>
      <c r="T223" s="45"/>
      <c r="U223" s="45"/>
    </row>
    <row r="224" spans="1:21" ht="18.7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8"/>
      <c r="T224" s="45"/>
      <c r="U224" s="45"/>
    </row>
    <row r="225" spans="1:21" ht="18.7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8"/>
      <c r="T225" s="45"/>
      <c r="U225" s="45"/>
    </row>
    <row r="226" spans="1:21" ht="18.7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8"/>
      <c r="T226" s="45"/>
      <c r="U226" s="45"/>
    </row>
    <row r="227" spans="1:21" ht="18.7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8"/>
      <c r="T227" s="45"/>
      <c r="U227" s="45"/>
    </row>
    <row r="228" spans="1:21" ht="18.7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8"/>
      <c r="T228" s="45"/>
      <c r="U228" s="45"/>
    </row>
    <row r="229" spans="1:21" ht="18.7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8"/>
      <c r="T229" s="45"/>
      <c r="U229" s="45"/>
    </row>
    <row r="230" spans="1:21" ht="18.7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8"/>
      <c r="T230" s="45"/>
      <c r="U230" s="45"/>
    </row>
    <row r="231" spans="1:21" ht="18.7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8"/>
      <c r="T231" s="45"/>
      <c r="U231" s="45"/>
    </row>
    <row r="232" spans="1:21" ht="18.7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8"/>
      <c r="T232" s="45"/>
      <c r="U232" s="45"/>
    </row>
    <row r="233" spans="1:21" ht="18.7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8"/>
      <c r="T233" s="45"/>
      <c r="U233" s="45"/>
    </row>
    <row r="234" spans="1:21" ht="18.7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8"/>
      <c r="T234" s="45"/>
      <c r="U234" s="45"/>
    </row>
    <row r="235" spans="1:21" ht="18.7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8"/>
      <c r="T235" s="45"/>
      <c r="U235" s="45"/>
    </row>
    <row r="236" spans="1:21" ht="18.7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8"/>
      <c r="T236" s="45"/>
      <c r="U236" s="45"/>
    </row>
    <row r="237" spans="1:21" ht="18.7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8"/>
      <c r="T237" s="45"/>
      <c r="U237" s="45"/>
    </row>
    <row r="238" spans="1:21" ht="18.7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8"/>
      <c r="T238" s="45"/>
      <c r="U238" s="45"/>
    </row>
    <row r="239" spans="1:21" ht="18.7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8"/>
      <c r="T239" s="45"/>
      <c r="U239" s="45"/>
    </row>
    <row r="240" spans="1:21" ht="18.7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8"/>
      <c r="T240" s="45"/>
      <c r="U240" s="45"/>
    </row>
    <row r="241" spans="1:21" ht="18.7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8"/>
      <c r="T241" s="45"/>
      <c r="U241" s="45"/>
    </row>
    <row r="242" spans="1:21" ht="18.7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8"/>
      <c r="T242" s="45"/>
      <c r="U242" s="45"/>
    </row>
    <row r="243" spans="1:21" ht="18.7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8"/>
      <c r="T243" s="45"/>
      <c r="U243" s="45"/>
    </row>
    <row r="244" spans="1:21" ht="18.7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8"/>
      <c r="T244" s="45"/>
      <c r="U244" s="45"/>
    </row>
    <row r="245" spans="1:21" ht="18.7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8"/>
      <c r="T245" s="45"/>
      <c r="U245" s="45"/>
    </row>
    <row r="246" spans="1:21" ht="18.7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8"/>
      <c r="T246" s="45"/>
      <c r="U246" s="45"/>
    </row>
    <row r="247" spans="1:21" ht="18.7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8"/>
      <c r="T247" s="45"/>
      <c r="U247" s="45"/>
    </row>
    <row r="248" spans="1:21" ht="18.7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8"/>
      <c r="T248" s="45"/>
      <c r="U248" s="45"/>
    </row>
    <row r="249" spans="1:21" ht="18.7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8"/>
      <c r="T249" s="45"/>
      <c r="U249" s="45"/>
    </row>
    <row r="250" spans="1:21" ht="18.7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8"/>
      <c r="T250" s="45"/>
      <c r="U250" s="45"/>
    </row>
    <row r="251" spans="1:21" ht="18.7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8"/>
      <c r="T251" s="45"/>
      <c r="U251" s="45"/>
    </row>
    <row r="252" spans="1:21" ht="18.7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8"/>
      <c r="T252" s="45"/>
      <c r="U252" s="45"/>
    </row>
    <row r="253" spans="1:21" ht="18.7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8"/>
      <c r="T253" s="45"/>
      <c r="U253" s="45"/>
    </row>
    <row r="254" spans="1:21" ht="18.7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8"/>
      <c r="T254" s="45"/>
      <c r="U254" s="45"/>
    </row>
    <row r="255" spans="1:21" ht="18.7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8"/>
      <c r="T255" s="45"/>
      <c r="U255" s="45"/>
    </row>
    <row r="256" spans="1:21" ht="18.7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8"/>
      <c r="T256" s="45"/>
      <c r="U256" s="45"/>
    </row>
    <row r="257" spans="1:21" ht="18.7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8"/>
      <c r="T257" s="45"/>
      <c r="U257" s="45"/>
    </row>
    <row r="258" spans="1:21" ht="18.7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8"/>
      <c r="T258" s="45"/>
      <c r="U258" s="45"/>
    </row>
    <row r="259" spans="1:21" ht="18.7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8"/>
      <c r="T259" s="45"/>
      <c r="U259" s="45"/>
    </row>
    <row r="260" spans="1:21" ht="18.7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8"/>
      <c r="T260" s="45"/>
      <c r="U260" s="45"/>
    </row>
    <row r="261" spans="1:21" ht="18.7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8"/>
      <c r="T261" s="45"/>
      <c r="U261" s="45"/>
    </row>
    <row r="262" spans="1:21" ht="18.7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8"/>
      <c r="T262" s="45"/>
      <c r="U262" s="45"/>
    </row>
    <row r="263" spans="1:21" ht="18.7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8"/>
      <c r="T263" s="45"/>
      <c r="U263" s="45"/>
    </row>
    <row r="264" spans="1:21" ht="18.7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8"/>
      <c r="T264" s="45"/>
      <c r="U264" s="45"/>
    </row>
    <row r="265" spans="1:21" ht="18.7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8"/>
      <c r="T265" s="45"/>
      <c r="U265" s="45"/>
    </row>
    <row r="266" spans="1:21" ht="18.7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8"/>
      <c r="T266" s="45"/>
      <c r="U266" s="45"/>
    </row>
    <row r="267" spans="1:21" ht="18.7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8"/>
      <c r="T267" s="45"/>
      <c r="U267" s="45"/>
    </row>
    <row r="268" spans="1:21" ht="18.7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8"/>
      <c r="T268" s="45"/>
      <c r="U268" s="45"/>
    </row>
    <row r="269" spans="1:21" ht="18.7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8"/>
      <c r="T269" s="45"/>
      <c r="U269" s="45"/>
    </row>
    <row r="270" spans="1:21" ht="18.7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8"/>
      <c r="T270" s="45"/>
      <c r="U270" s="45"/>
    </row>
    <row r="271" spans="1:21" ht="18.7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8"/>
      <c r="T271" s="45"/>
      <c r="U271" s="45"/>
    </row>
    <row r="272" spans="1:21" ht="18.7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8"/>
      <c r="T272" s="45"/>
      <c r="U272" s="45"/>
    </row>
    <row r="273" spans="1:21" ht="18.7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8"/>
      <c r="T273" s="45"/>
      <c r="U273" s="45"/>
    </row>
    <row r="274" spans="1:21" ht="18.7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8"/>
      <c r="T274" s="45"/>
      <c r="U274" s="45"/>
    </row>
    <row r="275" spans="1:21" ht="18.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8"/>
      <c r="T275" s="45"/>
      <c r="U275" s="45"/>
    </row>
    <row r="276" spans="1:21" ht="18.7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8"/>
      <c r="T276" s="45"/>
      <c r="U276" s="45"/>
    </row>
    <row r="277" spans="1:21" ht="18.7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8"/>
      <c r="T277" s="45"/>
      <c r="U277" s="45"/>
    </row>
    <row r="278" spans="1:21" ht="18.7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8"/>
      <c r="T278" s="45"/>
      <c r="U278" s="45"/>
    </row>
    <row r="279" spans="1:21" ht="18.7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8"/>
      <c r="T279" s="45"/>
      <c r="U279" s="45"/>
    </row>
    <row r="280" spans="1:21" ht="18.7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8"/>
      <c r="T280" s="45"/>
      <c r="U280" s="45"/>
    </row>
    <row r="281" spans="1:21" ht="18.7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8"/>
      <c r="T281" s="45"/>
      <c r="U281" s="45"/>
    </row>
    <row r="282" spans="1:21" ht="18.7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8"/>
      <c r="T282" s="45"/>
      <c r="U282" s="45"/>
    </row>
    <row r="283" spans="1:21" ht="18.7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8"/>
      <c r="T283" s="45"/>
      <c r="U283" s="45"/>
    </row>
    <row r="284" spans="1:21" ht="18.7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8"/>
      <c r="T284" s="45"/>
      <c r="U284" s="45"/>
    </row>
    <row r="285" spans="1:21" ht="18.7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8"/>
      <c r="T285" s="45"/>
      <c r="U285" s="45"/>
    </row>
    <row r="286" spans="1:21" ht="18.7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8"/>
      <c r="T286" s="45"/>
      <c r="U286" s="45"/>
    </row>
    <row r="287" spans="1:21" ht="18.7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8"/>
      <c r="T287" s="45"/>
      <c r="U287" s="45"/>
    </row>
    <row r="288" spans="1:21" ht="18.7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8"/>
      <c r="T288" s="45"/>
      <c r="U288" s="45"/>
    </row>
    <row r="289" spans="1:21" ht="18.7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8"/>
      <c r="T289" s="45"/>
      <c r="U289" s="45"/>
    </row>
    <row r="290" spans="1:21" ht="18.7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8"/>
      <c r="T290" s="45"/>
      <c r="U290" s="45"/>
    </row>
    <row r="291" spans="1:21" ht="18.7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8"/>
      <c r="T291" s="45"/>
      <c r="U291" s="45"/>
    </row>
    <row r="292" spans="1:21" ht="18.7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8"/>
      <c r="T292" s="45"/>
      <c r="U292" s="45"/>
    </row>
    <row r="293" spans="1:21" ht="18.7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8"/>
      <c r="T293" s="45"/>
      <c r="U293" s="45"/>
    </row>
    <row r="294" spans="1:21" ht="18.7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8"/>
      <c r="T294" s="45"/>
      <c r="U294" s="45"/>
    </row>
    <row r="295" spans="1:21" ht="18.7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8"/>
      <c r="T295" s="45"/>
      <c r="U295" s="45"/>
    </row>
    <row r="296" spans="1:21" ht="18.7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8"/>
      <c r="T296" s="45"/>
      <c r="U296" s="45"/>
    </row>
    <row r="297" spans="1:21" ht="18.7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8"/>
      <c r="T297" s="45"/>
      <c r="U297" s="45"/>
    </row>
    <row r="298" spans="1:21" ht="18.7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8"/>
      <c r="T298" s="45"/>
      <c r="U298" s="45"/>
    </row>
    <row r="299" spans="1:21" ht="18.7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8"/>
      <c r="T299" s="45"/>
      <c r="U299" s="45"/>
    </row>
    <row r="300" spans="1:21" ht="18.7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8"/>
      <c r="T300" s="45"/>
      <c r="U300" s="45"/>
    </row>
    <row r="301" spans="1:21" ht="18.7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8"/>
      <c r="T301" s="45"/>
      <c r="U301" s="45"/>
    </row>
    <row r="302" spans="1:21" ht="18.7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8"/>
      <c r="T302" s="45"/>
      <c r="U302" s="45"/>
    </row>
    <row r="303" spans="1:21" ht="18.7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8"/>
      <c r="T303" s="45"/>
      <c r="U303" s="45"/>
    </row>
    <row r="304" spans="1:21" ht="18.7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8"/>
      <c r="T304" s="45"/>
      <c r="U304" s="45"/>
    </row>
    <row r="305" spans="1:21" ht="18.7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8"/>
      <c r="T305" s="45"/>
      <c r="U305" s="45"/>
    </row>
    <row r="306" spans="1:21" ht="18.7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8"/>
      <c r="T306" s="45"/>
      <c r="U306" s="45"/>
    </row>
    <row r="307" spans="1:21" ht="18.7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8"/>
      <c r="T307" s="45"/>
      <c r="U307" s="45"/>
    </row>
    <row r="308" spans="1:21" ht="18.7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8"/>
      <c r="T308" s="45"/>
      <c r="U308" s="45"/>
    </row>
    <row r="309" spans="1:21" ht="18.7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8"/>
      <c r="T309" s="45"/>
      <c r="U309" s="45"/>
    </row>
    <row r="310" spans="1:21" ht="18.7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8"/>
      <c r="T310" s="45"/>
      <c r="U310" s="45"/>
    </row>
    <row r="311" spans="1:21" ht="18.7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8"/>
      <c r="T311" s="45"/>
      <c r="U311" s="45"/>
    </row>
    <row r="312" spans="1:21" ht="18.7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8"/>
      <c r="T312" s="45"/>
      <c r="U312" s="45"/>
    </row>
    <row r="313" spans="1:21" ht="18.7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8"/>
      <c r="T313" s="45"/>
      <c r="U313" s="45"/>
    </row>
    <row r="314" spans="1:21" ht="18.7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8"/>
      <c r="T314" s="45"/>
      <c r="U314" s="45"/>
    </row>
    <row r="315" spans="1:21" ht="18.7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8"/>
      <c r="T315" s="45"/>
      <c r="U315" s="45"/>
    </row>
    <row r="316" spans="1:21" ht="18.7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8"/>
      <c r="T316" s="45"/>
      <c r="U316" s="45"/>
    </row>
    <row r="317" spans="1:21" ht="18.7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8"/>
      <c r="T317" s="45"/>
      <c r="U317" s="45"/>
    </row>
    <row r="318" spans="1:21" ht="18.7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8"/>
      <c r="T318" s="45"/>
      <c r="U318" s="45"/>
    </row>
    <row r="319" spans="1:21" ht="18.7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8"/>
      <c r="T319" s="45"/>
      <c r="U319" s="45"/>
    </row>
    <row r="320" spans="1:21" ht="18.7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8"/>
      <c r="T320" s="45"/>
      <c r="U320" s="45"/>
    </row>
    <row r="321" spans="1:21" ht="18.7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8"/>
      <c r="T321" s="45"/>
      <c r="U321" s="45"/>
    </row>
    <row r="322" spans="1:21" ht="18.7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8"/>
      <c r="T322" s="45"/>
      <c r="U322" s="45"/>
    </row>
    <row r="323" spans="1:21" ht="18.7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8"/>
      <c r="T323" s="45"/>
      <c r="U323" s="45"/>
    </row>
    <row r="324" spans="1:21" ht="18.7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8"/>
      <c r="T325" s="45"/>
      <c r="U325" s="45"/>
    </row>
    <row r="326" spans="1:21" ht="18.7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8"/>
      <c r="T326" s="45"/>
      <c r="U326" s="45"/>
    </row>
    <row r="327" spans="1:21" ht="18.7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8"/>
      <c r="T327" s="45"/>
      <c r="U327" s="45"/>
    </row>
    <row r="328" spans="1:21" ht="18.7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8"/>
      <c r="T328" s="45"/>
      <c r="U328" s="45"/>
    </row>
    <row r="329" spans="1:21" ht="18.7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8"/>
      <c r="T329" s="45"/>
      <c r="U329" s="45"/>
    </row>
    <row r="330" spans="1:21" ht="18.7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8"/>
      <c r="T330" s="45"/>
      <c r="U330" s="45"/>
    </row>
    <row r="331" spans="1:21" ht="18.7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8"/>
      <c r="T331" s="45"/>
      <c r="U331" s="45"/>
    </row>
    <row r="332" spans="1:21" ht="18.7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8"/>
      <c r="T332" s="45"/>
      <c r="U332" s="45"/>
    </row>
    <row r="333" spans="1:21" ht="18.7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8"/>
      <c r="T333" s="45"/>
      <c r="U333" s="45"/>
    </row>
    <row r="334" spans="1:21" ht="18.7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8"/>
      <c r="T334" s="45"/>
      <c r="U334" s="45"/>
    </row>
    <row r="335" spans="1:21" ht="18.7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8"/>
      <c r="T335" s="45"/>
      <c r="U335" s="45"/>
    </row>
    <row r="336" spans="1:21" ht="18.7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8"/>
      <c r="T336" s="45"/>
      <c r="U336" s="45"/>
    </row>
    <row r="337" spans="1:21" ht="18.7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8"/>
      <c r="T337" s="45"/>
      <c r="U337" s="45"/>
    </row>
    <row r="338" spans="1:21" ht="18.7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8"/>
      <c r="T338" s="45"/>
      <c r="U338" s="45"/>
    </row>
    <row r="339" spans="1:21" ht="18.7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8"/>
      <c r="T339" s="45"/>
      <c r="U339" s="45"/>
    </row>
    <row r="340" spans="1:21" ht="18.7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8"/>
      <c r="T340" s="45"/>
      <c r="U340" s="45"/>
    </row>
    <row r="341" spans="1:21" ht="18.7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8"/>
      <c r="T341" s="45"/>
      <c r="U341" s="45"/>
    </row>
    <row r="342" spans="1:21" ht="18.7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8"/>
      <c r="T342" s="45"/>
      <c r="U342" s="45"/>
    </row>
    <row r="343" spans="1:21" ht="18.7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8"/>
      <c r="T343" s="45"/>
      <c r="U343" s="45"/>
    </row>
    <row r="344" spans="1:21" ht="18.7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8"/>
      <c r="T344" s="45"/>
      <c r="U344" s="45"/>
    </row>
    <row r="345" spans="1:21" ht="18.7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8"/>
      <c r="T345" s="45"/>
      <c r="U345" s="45"/>
    </row>
    <row r="346" spans="1:21" ht="18.7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8"/>
      <c r="T346" s="45"/>
      <c r="U346" s="45"/>
    </row>
    <row r="347" spans="1:21" ht="18.7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8"/>
      <c r="T347" s="45"/>
      <c r="U347" s="45"/>
    </row>
    <row r="348" spans="1:21" ht="18.7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8"/>
      <c r="T348" s="45"/>
      <c r="U348" s="45"/>
    </row>
    <row r="349" spans="1:21" ht="18.7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8"/>
      <c r="T349" s="45"/>
      <c r="U349" s="45"/>
    </row>
    <row r="350" spans="1:21" ht="18.7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8"/>
      <c r="T350" s="45"/>
      <c r="U350" s="45"/>
    </row>
    <row r="351" spans="1:21" ht="18.7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8"/>
      <c r="T351" s="45"/>
      <c r="U351" s="45"/>
    </row>
    <row r="352" spans="1:21" ht="18.7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8"/>
      <c r="T352" s="45"/>
      <c r="U352" s="45"/>
    </row>
    <row r="353" spans="1:21" ht="18.7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8"/>
      <c r="T353" s="45"/>
      <c r="U353" s="45"/>
    </row>
    <row r="354" spans="1:21" ht="18.7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8"/>
      <c r="T354" s="45"/>
      <c r="U354" s="45"/>
    </row>
    <row r="355" spans="1:21" ht="18.7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8"/>
      <c r="T355" s="45"/>
      <c r="U355" s="45"/>
    </row>
    <row r="356" spans="1:21" ht="18.7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8"/>
      <c r="T356" s="45"/>
      <c r="U356" s="45"/>
    </row>
    <row r="357" spans="1:21" ht="18.7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8"/>
      <c r="T357" s="45"/>
      <c r="U357" s="45"/>
    </row>
    <row r="358" spans="1:21" ht="18.7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8"/>
      <c r="T358" s="45"/>
      <c r="U358" s="45"/>
    </row>
    <row r="359" spans="1:21" ht="18.7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8"/>
      <c r="T359" s="45"/>
      <c r="U359" s="45"/>
    </row>
    <row r="360" spans="1:21" ht="18.7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8"/>
      <c r="T360" s="45"/>
      <c r="U360" s="45"/>
    </row>
    <row r="361" spans="1:21" ht="18.7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8"/>
      <c r="T361" s="45"/>
      <c r="U361" s="45"/>
    </row>
    <row r="362" spans="1:21" ht="18.7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8"/>
      <c r="T362" s="45"/>
      <c r="U362" s="45"/>
    </row>
    <row r="363" spans="1:21" ht="18.7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8"/>
      <c r="T363" s="45"/>
      <c r="U363" s="45"/>
    </row>
    <row r="364" spans="1:21" ht="18.7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8"/>
      <c r="T364" s="45"/>
      <c r="U364" s="45"/>
    </row>
    <row r="365" spans="1:21" ht="18.7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8"/>
      <c r="T365" s="45"/>
      <c r="U365" s="45"/>
    </row>
    <row r="366" spans="1:21" ht="18.7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8"/>
      <c r="T366" s="45"/>
      <c r="U366" s="45"/>
    </row>
    <row r="367" spans="1:21" ht="18.7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8"/>
      <c r="T367" s="45"/>
      <c r="U367" s="45"/>
    </row>
    <row r="368" spans="1:21" ht="18.7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8"/>
      <c r="T368" s="45"/>
      <c r="U368" s="45"/>
    </row>
    <row r="369" spans="1:21" ht="18.7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8"/>
      <c r="T369" s="45"/>
      <c r="U369" s="45"/>
    </row>
    <row r="370" spans="1:21" ht="18.7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8"/>
      <c r="T370" s="45"/>
      <c r="U370" s="45"/>
    </row>
    <row r="371" spans="1:21" ht="18.7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8"/>
      <c r="T371" s="45"/>
      <c r="U371" s="45"/>
    </row>
    <row r="372" spans="1:21" ht="18.7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8"/>
      <c r="T372" s="45"/>
      <c r="U372" s="45"/>
    </row>
    <row r="373" spans="1:21" ht="18.7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8"/>
      <c r="T373" s="45"/>
      <c r="U373" s="45"/>
    </row>
    <row r="374" spans="1:21" ht="18.7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8"/>
      <c r="T374" s="45"/>
      <c r="U374" s="45"/>
    </row>
    <row r="375" spans="1:21" ht="18.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8"/>
      <c r="T375" s="45"/>
      <c r="U375" s="45"/>
    </row>
    <row r="376" spans="1:21" ht="18.7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8"/>
      <c r="T376" s="45"/>
      <c r="U376" s="45"/>
    </row>
    <row r="377" spans="1:21" ht="18.7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8"/>
      <c r="T377" s="45"/>
      <c r="U377" s="45"/>
    </row>
    <row r="378" spans="1:21" ht="18.7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8"/>
      <c r="T378" s="45"/>
      <c r="U378" s="45"/>
    </row>
    <row r="379" spans="1:21" ht="18.7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8"/>
      <c r="T379" s="45"/>
      <c r="U379" s="45"/>
    </row>
    <row r="380" spans="1:21" ht="18.7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8"/>
      <c r="T380" s="45"/>
      <c r="U380" s="45"/>
    </row>
    <row r="381" spans="1:21" ht="18.7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8"/>
      <c r="T381" s="45"/>
      <c r="U381" s="45"/>
    </row>
    <row r="382" spans="1:21" ht="18.7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8"/>
      <c r="T382" s="45"/>
      <c r="U382" s="45"/>
    </row>
    <row r="383" spans="1:21" ht="18.7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8"/>
      <c r="T383" s="45"/>
      <c r="U383" s="45"/>
    </row>
    <row r="384" spans="1:21" ht="18.7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8"/>
      <c r="T384" s="45"/>
      <c r="U384" s="45"/>
    </row>
    <row r="385" spans="1:21" ht="18.7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8"/>
      <c r="T385" s="45"/>
      <c r="U385" s="45"/>
    </row>
    <row r="386" spans="1:21" ht="18.7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8"/>
      <c r="T386" s="45"/>
      <c r="U386" s="45"/>
    </row>
    <row r="387" spans="1:21" ht="18.7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8"/>
      <c r="T387" s="45"/>
      <c r="U387" s="45"/>
    </row>
    <row r="388" spans="1:21" ht="18.7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8"/>
      <c r="T388" s="45"/>
      <c r="U388" s="45"/>
    </row>
    <row r="389" spans="1:21" ht="18.7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8"/>
      <c r="T389" s="45"/>
      <c r="U389" s="45"/>
    </row>
    <row r="390" spans="1:21" ht="18.7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8"/>
      <c r="T390" s="45"/>
      <c r="U390" s="45"/>
    </row>
    <row r="391" spans="1:21" ht="18.7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8"/>
      <c r="T391" s="45"/>
      <c r="U391" s="45"/>
    </row>
    <row r="392" spans="1:21" ht="18.7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8"/>
      <c r="T392" s="45"/>
      <c r="U392" s="45"/>
    </row>
    <row r="393" spans="1:21" ht="18.7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8"/>
      <c r="T393" s="45"/>
      <c r="U393" s="45"/>
    </row>
    <row r="394" spans="1:21" ht="18.7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8"/>
      <c r="T394" s="45"/>
      <c r="U394" s="45"/>
    </row>
    <row r="395" spans="1:21" ht="18.7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8"/>
      <c r="T395" s="45"/>
      <c r="U395" s="45"/>
    </row>
    <row r="396" spans="1:21" ht="18.7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8"/>
      <c r="T396" s="45"/>
      <c r="U396" s="45"/>
    </row>
    <row r="397" spans="1:21" ht="18.7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8"/>
      <c r="T397" s="45"/>
      <c r="U397" s="45"/>
    </row>
    <row r="398" spans="1:21" ht="18.7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8"/>
      <c r="T398" s="45"/>
      <c r="U398" s="45"/>
    </row>
    <row r="399" spans="1:21" ht="18.7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8"/>
      <c r="T399" s="45"/>
      <c r="U399" s="45"/>
    </row>
    <row r="400" spans="1:21" ht="18.7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8"/>
      <c r="T400" s="45"/>
      <c r="U400" s="45"/>
    </row>
    <row r="401" spans="1:21" ht="18.7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8"/>
      <c r="T401" s="45"/>
      <c r="U401" s="45"/>
    </row>
    <row r="402" spans="1:21" ht="18.7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8"/>
      <c r="T402" s="45"/>
      <c r="U402" s="45"/>
    </row>
    <row r="403" spans="1:21" ht="18.7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8"/>
      <c r="T403" s="45"/>
      <c r="U403" s="45"/>
    </row>
    <row r="404" spans="1:21" ht="18.7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8"/>
      <c r="T404" s="45"/>
      <c r="U404" s="45"/>
    </row>
    <row r="405" spans="1:21" ht="18.7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8"/>
      <c r="T405" s="45"/>
      <c r="U405" s="45"/>
    </row>
    <row r="406" spans="1:21" ht="18.7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8"/>
      <c r="T406" s="45"/>
      <c r="U406" s="45"/>
    </row>
    <row r="407" spans="1:21" ht="18.7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8"/>
      <c r="T407" s="45"/>
      <c r="U407" s="45"/>
    </row>
    <row r="408" spans="1:21" ht="18.7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8"/>
      <c r="T408" s="45"/>
      <c r="U408" s="45"/>
    </row>
    <row r="409" spans="1:21" ht="18.7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8"/>
      <c r="T409" s="45"/>
      <c r="U409" s="45"/>
    </row>
    <row r="410" spans="1:21" ht="18.7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8"/>
      <c r="T410" s="45"/>
      <c r="U410" s="45"/>
    </row>
    <row r="411" spans="1:21" ht="18.7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8"/>
      <c r="T411" s="45"/>
      <c r="U411" s="45"/>
    </row>
    <row r="412" spans="1:21" ht="18.7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8"/>
      <c r="T412" s="45"/>
      <c r="U412" s="45"/>
    </row>
    <row r="413" spans="1:21" ht="18.7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8"/>
      <c r="T413" s="45"/>
      <c r="U413" s="45"/>
    </row>
    <row r="414" spans="1:21" ht="18.7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8"/>
      <c r="T414" s="45"/>
      <c r="U414" s="45"/>
    </row>
    <row r="415" spans="1:21" ht="18.7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8"/>
      <c r="T415" s="45"/>
      <c r="U415" s="45"/>
    </row>
    <row r="416" spans="1:21" ht="18.7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8"/>
      <c r="T416" s="45"/>
      <c r="U416" s="45"/>
    </row>
    <row r="417" spans="1:21" ht="18.7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8"/>
      <c r="T417" s="45"/>
      <c r="U417" s="45"/>
    </row>
    <row r="418" spans="1:21" ht="18.7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8"/>
      <c r="T418" s="45"/>
      <c r="U418" s="45"/>
    </row>
    <row r="419" spans="1:21" ht="18.7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8"/>
      <c r="T419" s="45"/>
      <c r="U419" s="45"/>
    </row>
    <row r="420" spans="1:21" ht="18.7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8"/>
      <c r="T420" s="45"/>
      <c r="U420" s="45"/>
    </row>
    <row r="421" spans="1:21" ht="18.7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8"/>
      <c r="T421" s="45"/>
      <c r="U421" s="45"/>
    </row>
    <row r="422" spans="1:21" ht="18.7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8"/>
      <c r="T422" s="45"/>
      <c r="U422" s="45"/>
    </row>
    <row r="423" spans="1:21" ht="18.7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8"/>
      <c r="T423" s="45"/>
      <c r="U423" s="45"/>
    </row>
    <row r="424" spans="1:21" ht="18.7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8"/>
      <c r="T424" s="45"/>
      <c r="U424" s="45"/>
    </row>
    <row r="425" spans="1:21" ht="18.7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8"/>
      <c r="T425" s="45"/>
      <c r="U425" s="45"/>
    </row>
    <row r="426" spans="1:21" ht="18.7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8"/>
      <c r="T426" s="45"/>
      <c r="U426" s="45"/>
    </row>
    <row r="427" spans="1:21" ht="18.7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8"/>
      <c r="T427" s="45"/>
      <c r="U427" s="45"/>
    </row>
    <row r="428" spans="1:21" ht="18.7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8"/>
      <c r="T428" s="45"/>
      <c r="U428" s="45"/>
    </row>
    <row r="429" spans="1:21" ht="18.7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8"/>
      <c r="T429" s="45"/>
      <c r="U429" s="45"/>
    </row>
    <row r="430" spans="1:21" ht="18.7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8"/>
      <c r="T430" s="45"/>
      <c r="U430" s="45"/>
    </row>
    <row r="431" spans="1:21" ht="18.7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8"/>
      <c r="T431" s="45"/>
      <c r="U431" s="45"/>
    </row>
    <row r="432" spans="1:21" ht="18.7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8"/>
      <c r="T432" s="45"/>
      <c r="U432" s="45"/>
    </row>
    <row r="433" spans="1:21" ht="18.7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8"/>
      <c r="T433" s="45"/>
      <c r="U433" s="45"/>
    </row>
    <row r="434" spans="1:21" ht="18.7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8"/>
      <c r="T434" s="45"/>
      <c r="U434" s="45"/>
    </row>
    <row r="435" spans="1:21" ht="18.7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8"/>
      <c r="T435" s="45"/>
      <c r="U435" s="45"/>
    </row>
    <row r="436" spans="1:21" ht="18.7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8"/>
      <c r="T436" s="45"/>
      <c r="U436" s="45"/>
    </row>
    <row r="437" spans="1:21" ht="18.7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8"/>
      <c r="T437" s="45"/>
      <c r="U437" s="45"/>
    </row>
    <row r="438" spans="1:21" ht="18.7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8"/>
      <c r="T438" s="45"/>
      <c r="U438" s="45"/>
    </row>
    <row r="439" spans="1:21" ht="18.7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8"/>
      <c r="T439" s="45"/>
      <c r="U439" s="45"/>
    </row>
    <row r="440" spans="1:21" ht="18.7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8"/>
      <c r="T440" s="45"/>
      <c r="U440" s="45"/>
    </row>
    <row r="441" spans="1:21" ht="18.7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8"/>
      <c r="T441" s="45"/>
      <c r="U441" s="45"/>
    </row>
    <row r="442" spans="1:21" ht="18.7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8"/>
      <c r="T442" s="45"/>
      <c r="U442" s="45"/>
    </row>
    <row r="443" spans="1:21" ht="18.7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8"/>
      <c r="T443" s="45"/>
      <c r="U443" s="45"/>
    </row>
    <row r="444" spans="1:21" ht="18.7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8"/>
      <c r="T444" s="45"/>
      <c r="U444" s="45"/>
    </row>
    <row r="445" spans="1:21" ht="18.7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8"/>
      <c r="T445" s="45"/>
      <c r="U445" s="45"/>
    </row>
    <row r="446" spans="1:21" ht="18.7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8"/>
      <c r="T446" s="45"/>
      <c r="U446" s="45"/>
    </row>
    <row r="447" spans="1:21" ht="18.7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8"/>
      <c r="T447" s="45"/>
      <c r="U447" s="45"/>
    </row>
    <row r="448" spans="1:21" ht="18.7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8"/>
      <c r="T448" s="45"/>
      <c r="U448" s="45"/>
    </row>
    <row r="449" spans="1:21" ht="18.7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8"/>
      <c r="T449" s="45"/>
      <c r="U449" s="45"/>
    </row>
    <row r="450" spans="1:21" ht="18.7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8"/>
      <c r="T450" s="45"/>
      <c r="U450" s="45"/>
    </row>
    <row r="451" spans="1:21" ht="18.7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8"/>
      <c r="T451" s="45"/>
      <c r="U451" s="45"/>
    </row>
    <row r="452" spans="1:21" ht="18.7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8"/>
      <c r="T452" s="45"/>
      <c r="U452" s="45"/>
    </row>
    <row r="453" spans="1:21" ht="18.7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8"/>
      <c r="T453" s="45"/>
      <c r="U453" s="45"/>
    </row>
    <row r="454" spans="1:21" ht="18.7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8"/>
      <c r="T454" s="45"/>
      <c r="U454" s="45"/>
    </row>
    <row r="455" spans="1:21" ht="18.7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8"/>
      <c r="T455" s="45"/>
      <c r="U455" s="45"/>
    </row>
    <row r="456" spans="1:21" ht="18.7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8"/>
      <c r="T456" s="45"/>
      <c r="U456" s="45"/>
    </row>
    <row r="457" spans="1:21" ht="18.7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8"/>
      <c r="T457" s="45"/>
      <c r="U457" s="45"/>
    </row>
    <row r="458" spans="1:21" ht="18.7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8"/>
      <c r="T458" s="45"/>
      <c r="U458" s="45"/>
    </row>
    <row r="459" spans="1:21" ht="18.7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8"/>
      <c r="T459" s="45"/>
      <c r="U459" s="45"/>
    </row>
    <row r="460" spans="1:21" ht="18.7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8"/>
      <c r="T460" s="45"/>
      <c r="U460" s="45"/>
    </row>
    <row r="461" spans="1:21" ht="18.7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8"/>
      <c r="T461" s="45"/>
      <c r="U461" s="45"/>
    </row>
    <row r="462" spans="1:21" ht="18.7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8"/>
      <c r="T462" s="45"/>
      <c r="U462" s="45"/>
    </row>
    <row r="463" spans="1:21" ht="18.7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8"/>
      <c r="T463" s="45"/>
      <c r="U463" s="45"/>
    </row>
    <row r="464" spans="1:21" ht="18.7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8"/>
      <c r="T464" s="45"/>
      <c r="U464" s="45"/>
    </row>
    <row r="465" spans="1:21" ht="18.7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8"/>
      <c r="T465" s="45"/>
      <c r="U465" s="45"/>
    </row>
    <row r="466" spans="1:21" ht="18.7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8"/>
      <c r="T466" s="45"/>
      <c r="U466" s="45"/>
    </row>
    <row r="467" spans="1:21" ht="18.7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8"/>
      <c r="T467" s="45"/>
      <c r="U467" s="45"/>
    </row>
    <row r="468" spans="1:21" ht="18.7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8"/>
      <c r="T468" s="45"/>
      <c r="U468" s="45"/>
    </row>
    <row r="469" spans="1:21" ht="18.7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8"/>
      <c r="T469" s="45"/>
      <c r="U469" s="45"/>
    </row>
    <row r="470" spans="1:21" ht="18.7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8"/>
      <c r="T470" s="45"/>
      <c r="U470" s="45"/>
    </row>
    <row r="471" spans="1:21" ht="18.7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8"/>
      <c r="T471" s="45"/>
      <c r="U471" s="45"/>
    </row>
    <row r="472" spans="1:21" ht="18.7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8"/>
      <c r="T472" s="45"/>
      <c r="U472" s="45"/>
    </row>
    <row r="473" spans="1:21" ht="18.7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8"/>
      <c r="T473" s="45"/>
      <c r="U473" s="45"/>
    </row>
    <row r="474" spans="1:21" ht="18.7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8"/>
      <c r="T474" s="45"/>
      <c r="U474" s="45"/>
    </row>
    <row r="475" spans="1:21" ht="18.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8"/>
      <c r="T475" s="45"/>
      <c r="U475" s="45"/>
    </row>
    <row r="476" spans="1:21" ht="18.7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8"/>
      <c r="T476" s="45"/>
      <c r="U476" s="45"/>
    </row>
    <row r="477" spans="1:21" ht="18.7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8"/>
      <c r="T477" s="45"/>
      <c r="U477" s="45"/>
    </row>
    <row r="478" spans="1:21" ht="18.7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8"/>
      <c r="T478" s="45"/>
      <c r="U478" s="45"/>
    </row>
    <row r="479" spans="1:21" ht="18.7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8"/>
      <c r="T479" s="45"/>
      <c r="U479" s="45"/>
    </row>
    <row r="480" spans="1:21" ht="18.7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8"/>
      <c r="T480" s="45"/>
      <c r="U480" s="45"/>
    </row>
    <row r="481" spans="1:21" ht="18.7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8"/>
      <c r="T481" s="45"/>
      <c r="U481" s="45"/>
    </row>
    <row r="482" spans="1:21" ht="18.7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8"/>
      <c r="T482" s="45"/>
      <c r="U482" s="45"/>
    </row>
    <row r="483" spans="1:21" ht="18.7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8"/>
      <c r="T483" s="45"/>
      <c r="U483" s="45"/>
    </row>
    <row r="484" spans="1:21" ht="18.7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8"/>
      <c r="T484" s="45"/>
      <c r="U484" s="45"/>
    </row>
    <row r="485" spans="1:21" ht="18.7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8"/>
      <c r="T485" s="45"/>
      <c r="U485" s="45"/>
    </row>
    <row r="486" spans="1:21" ht="18.7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8"/>
      <c r="T486" s="45"/>
      <c r="U486" s="45"/>
    </row>
    <row r="487" spans="1:21" ht="18.7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8"/>
      <c r="T487" s="45"/>
      <c r="U487" s="45"/>
    </row>
    <row r="488" spans="1:21" ht="18.7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8"/>
      <c r="T488" s="45"/>
      <c r="U488" s="45"/>
    </row>
    <row r="489" spans="1:21" ht="18.7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8"/>
      <c r="T489" s="45"/>
      <c r="U489" s="45"/>
    </row>
    <row r="490" spans="1:21" ht="18.7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8"/>
      <c r="T490" s="45"/>
      <c r="U490" s="45"/>
    </row>
    <row r="491" spans="1:21" ht="18.7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8"/>
      <c r="T491" s="45"/>
      <c r="U491" s="45"/>
    </row>
    <row r="492" spans="1:21" ht="18.7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8"/>
      <c r="T492" s="45"/>
      <c r="U492" s="45"/>
    </row>
    <row r="493" spans="1:21" ht="18.7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8"/>
      <c r="T493" s="45"/>
      <c r="U493" s="45"/>
    </row>
    <row r="494" spans="1:21" ht="18.7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8"/>
      <c r="T494" s="45"/>
      <c r="U494" s="45"/>
    </row>
    <row r="495" spans="1:21" ht="18.7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8"/>
      <c r="T495" s="45"/>
      <c r="U495" s="45"/>
    </row>
    <row r="496" spans="1:21" ht="18.7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8"/>
      <c r="T496" s="45"/>
      <c r="U496" s="45"/>
    </row>
    <row r="497" spans="1:21" ht="18.7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8"/>
      <c r="T497" s="45"/>
      <c r="U497" s="45"/>
    </row>
    <row r="498" spans="1:21" ht="18.7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8"/>
      <c r="T498" s="45"/>
      <c r="U498" s="45"/>
    </row>
    <row r="499" spans="1:21" ht="18.7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8"/>
      <c r="T499" s="45"/>
      <c r="U499" s="45"/>
    </row>
    <row r="500" spans="1:21" ht="18.7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8"/>
      <c r="T500" s="45"/>
      <c r="U500" s="45"/>
    </row>
    <row r="501" spans="1:21" ht="18.7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8"/>
      <c r="T501" s="45"/>
      <c r="U501" s="45"/>
    </row>
    <row r="502" spans="1:21" ht="18.7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8"/>
      <c r="T502" s="45"/>
      <c r="U502" s="45"/>
    </row>
    <row r="503" spans="1:21" ht="18.7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8"/>
      <c r="T503" s="45"/>
      <c r="U503" s="45"/>
    </row>
    <row r="504" spans="1:21" ht="18.7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8"/>
      <c r="T504" s="45"/>
      <c r="U504" s="45"/>
    </row>
    <row r="505" spans="1:21" ht="18.7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8"/>
      <c r="T505" s="45"/>
      <c r="U505" s="45"/>
    </row>
    <row r="506" spans="1:21" ht="18.7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8"/>
      <c r="T506" s="45"/>
      <c r="U506" s="45"/>
    </row>
    <row r="507" spans="1:21" ht="18.7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8"/>
      <c r="T507" s="45"/>
      <c r="U507" s="45"/>
    </row>
    <row r="508" spans="1:21" ht="18.7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8"/>
      <c r="T508" s="45"/>
      <c r="U508" s="45"/>
    </row>
    <row r="509" spans="1:21" ht="18.7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8"/>
      <c r="T509" s="45"/>
      <c r="U509" s="45"/>
    </row>
    <row r="510" spans="1:21" ht="18.7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8"/>
      <c r="T510" s="45"/>
      <c r="U510" s="45"/>
    </row>
    <row r="511" spans="1:21" ht="18.7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8"/>
      <c r="T511" s="45"/>
      <c r="U511" s="45"/>
    </row>
    <row r="512" spans="1:21" ht="18.7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8"/>
      <c r="T512" s="45"/>
      <c r="U512" s="45"/>
    </row>
    <row r="513" spans="1:21" ht="18.7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8"/>
      <c r="T513" s="45"/>
      <c r="U513" s="45"/>
    </row>
    <row r="514" spans="1:21" ht="18.7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8"/>
      <c r="T514" s="45"/>
      <c r="U514" s="45"/>
    </row>
    <row r="515" spans="1:21" ht="18.7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8"/>
      <c r="T515" s="45"/>
      <c r="U515" s="45"/>
    </row>
    <row r="516" spans="1:21" ht="18.7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8"/>
      <c r="T516" s="45"/>
      <c r="U516" s="45"/>
    </row>
    <row r="517" spans="1:21" ht="18.7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8"/>
      <c r="T517" s="45"/>
      <c r="U517" s="45"/>
    </row>
    <row r="518" spans="1:21" ht="18.7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8"/>
      <c r="T518" s="45"/>
      <c r="U518" s="45"/>
    </row>
    <row r="519" spans="1:21" ht="18.7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8"/>
      <c r="T519" s="45"/>
      <c r="U519" s="45"/>
    </row>
    <row r="520" spans="1:21" ht="18.7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8"/>
      <c r="T520" s="45"/>
      <c r="U520" s="45"/>
    </row>
    <row r="521" spans="1:21" ht="18.7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8"/>
      <c r="T521" s="45"/>
      <c r="U521" s="45"/>
    </row>
    <row r="522" spans="1:21" ht="18.7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8"/>
      <c r="T522" s="45"/>
      <c r="U522" s="45"/>
    </row>
    <row r="523" spans="1:21" ht="18.7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8"/>
      <c r="T523" s="45"/>
      <c r="U523" s="45"/>
    </row>
    <row r="524" spans="1:21" ht="18.7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8"/>
      <c r="T524" s="45"/>
      <c r="U524" s="45"/>
    </row>
    <row r="525" spans="1:21" ht="18.7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8"/>
      <c r="T525" s="45"/>
      <c r="U525" s="45"/>
    </row>
    <row r="526" spans="1:21" ht="18.7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8"/>
      <c r="T526" s="45"/>
      <c r="U526" s="45"/>
    </row>
    <row r="527" spans="1:21" ht="18.7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8"/>
      <c r="T527" s="45"/>
      <c r="U527" s="45"/>
    </row>
    <row r="528" spans="1:21" ht="18.7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8"/>
      <c r="T528" s="45"/>
      <c r="U528" s="45"/>
    </row>
    <row r="529" spans="1:21" ht="18.7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8"/>
      <c r="T529" s="45"/>
      <c r="U529" s="45"/>
    </row>
    <row r="530" spans="1:21" ht="18.7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8"/>
      <c r="T530" s="45"/>
      <c r="U530" s="45"/>
    </row>
    <row r="531" spans="1:21" ht="18.7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8"/>
      <c r="T531" s="45"/>
      <c r="U531" s="45"/>
    </row>
    <row r="532" spans="1:21" ht="18.7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8"/>
      <c r="T532" s="45"/>
      <c r="U532" s="45"/>
    </row>
    <row r="533" spans="1:21" ht="18.7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8"/>
      <c r="T533" s="45"/>
      <c r="U533" s="45"/>
    </row>
    <row r="534" spans="1:21" ht="18.7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8"/>
      <c r="T534" s="45"/>
      <c r="U534" s="45"/>
    </row>
    <row r="535" spans="1:21" ht="18.7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8"/>
      <c r="T535" s="45"/>
      <c r="U535" s="45"/>
    </row>
    <row r="536" spans="1:21" ht="18.7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8"/>
      <c r="T536" s="45"/>
      <c r="U536" s="45"/>
    </row>
    <row r="537" spans="1:21" ht="18.7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8"/>
      <c r="T537" s="45"/>
      <c r="U537" s="45"/>
    </row>
    <row r="538" spans="1:21" ht="18.7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8"/>
      <c r="T538" s="45"/>
      <c r="U538" s="45"/>
    </row>
    <row r="539" spans="1:21" ht="18.7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8"/>
      <c r="T539" s="45"/>
      <c r="U539" s="45"/>
    </row>
    <row r="540" spans="1:21" ht="18.7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8"/>
      <c r="T540" s="45"/>
      <c r="U540" s="45"/>
    </row>
    <row r="541" spans="1:21" ht="18.7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8"/>
      <c r="T541" s="45"/>
      <c r="U541" s="45"/>
    </row>
    <row r="542" spans="1:21" ht="18.7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8"/>
      <c r="T542" s="45"/>
      <c r="U542" s="45"/>
    </row>
    <row r="543" spans="1:21" ht="18.7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8"/>
      <c r="T543" s="45"/>
      <c r="U543" s="45"/>
    </row>
    <row r="544" spans="1:21" ht="18.7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8"/>
      <c r="T544" s="45"/>
      <c r="U544" s="45"/>
    </row>
    <row r="545" spans="1:21" ht="18.7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8"/>
      <c r="T545" s="45"/>
      <c r="U545" s="45"/>
    </row>
    <row r="546" spans="1:21" ht="18.7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8"/>
      <c r="T546" s="45"/>
      <c r="U546" s="45"/>
    </row>
    <row r="547" spans="1:21" ht="18.7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8"/>
      <c r="T547" s="45"/>
      <c r="U547" s="45"/>
    </row>
    <row r="548" spans="1:21" ht="18.7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8"/>
      <c r="T548" s="45"/>
      <c r="U548" s="45"/>
    </row>
    <row r="549" spans="1:21" ht="18.7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8"/>
      <c r="T549" s="45"/>
      <c r="U549" s="45"/>
    </row>
    <row r="550" spans="1:21" ht="18.7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8"/>
      <c r="T550" s="45"/>
      <c r="U550" s="45"/>
    </row>
    <row r="551" spans="1:21" ht="18.7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8"/>
      <c r="T551" s="45"/>
      <c r="U551" s="45"/>
    </row>
    <row r="552" spans="1:21" ht="18.7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8"/>
      <c r="T552" s="45"/>
      <c r="U552" s="45"/>
    </row>
    <row r="553" spans="1:21" ht="18.7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8"/>
      <c r="T553" s="45"/>
      <c r="U553" s="45"/>
    </row>
    <row r="554" spans="1:21" ht="18.7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8"/>
      <c r="T554" s="45"/>
      <c r="U554" s="45"/>
    </row>
    <row r="555" spans="1:21" ht="18.7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8"/>
      <c r="T555" s="45"/>
      <c r="U555" s="45"/>
    </row>
    <row r="556" spans="1:21" ht="18.7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8"/>
      <c r="T556" s="45"/>
      <c r="U556" s="45"/>
    </row>
    <row r="557" spans="1:21" ht="18.7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8"/>
      <c r="T557" s="45"/>
      <c r="U557" s="45"/>
    </row>
    <row r="558" spans="1:21" ht="18.7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8"/>
      <c r="T558" s="45"/>
      <c r="U558" s="45"/>
    </row>
    <row r="559" spans="1:21" ht="18.7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8"/>
      <c r="T559" s="45"/>
      <c r="U559" s="45"/>
    </row>
    <row r="560" spans="1:21" ht="18.7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8"/>
      <c r="T560" s="45"/>
      <c r="U560" s="45"/>
    </row>
    <row r="561" spans="1:21" ht="18.7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8"/>
      <c r="T561" s="45"/>
      <c r="U561" s="45"/>
    </row>
    <row r="562" spans="1:21" ht="18.7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8"/>
      <c r="T562" s="45"/>
      <c r="U562" s="45"/>
    </row>
    <row r="563" spans="1:21" ht="18.7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8"/>
      <c r="T563" s="45"/>
      <c r="U563" s="45"/>
    </row>
    <row r="564" spans="1:21" ht="18.7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8"/>
      <c r="T564" s="45"/>
      <c r="U564" s="45"/>
    </row>
    <row r="565" spans="1:21" ht="18.7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8"/>
      <c r="T565" s="45"/>
      <c r="U565" s="45"/>
    </row>
    <row r="566" spans="1:21" ht="18.7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8"/>
      <c r="T566" s="45"/>
      <c r="U566" s="45"/>
    </row>
    <row r="567" spans="1:21" ht="18.7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8"/>
      <c r="T567" s="45"/>
      <c r="U567" s="45"/>
    </row>
    <row r="568" spans="1:21" ht="18.7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8"/>
      <c r="T568" s="45"/>
      <c r="U568" s="45"/>
    </row>
    <row r="569" spans="1:21" ht="18.7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8"/>
      <c r="T569" s="45"/>
      <c r="U569" s="45"/>
    </row>
    <row r="570" spans="1:21" ht="18.7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8"/>
      <c r="T570" s="45"/>
      <c r="U570" s="45"/>
    </row>
    <row r="571" spans="1:21" ht="18.7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8"/>
      <c r="T571" s="45"/>
      <c r="U571" s="45"/>
    </row>
    <row r="572" spans="1:21" ht="18.7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8"/>
      <c r="T572" s="45"/>
      <c r="U572" s="45"/>
    </row>
    <row r="573" spans="1:21" ht="18.7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8"/>
      <c r="T573" s="45"/>
      <c r="U573" s="45"/>
    </row>
    <row r="574" spans="1:21" ht="18.7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8"/>
      <c r="T574" s="45"/>
      <c r="U574" s="45"/>
    </row>
    <row r="575" spans="1:21" ht="18.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8"/>
      <c r="T575" s="45"/>
      <c r="U575" s="45"/>
    </row>
    <row r="576" spans="1:21" ht="18.7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8"/>
      <c r="T576" s="45"/>
      <c r="U576" s="45"/>
    </row>
    <row r="577" spans="1:21" ht="18.7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8"/>
      <c r="T577" s="45"/>
      <c r="U577" s="45"/>
    </row>
    <row r="578" spans="1:21" ht="18.7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8"/>
      <c r="T578" s="45"/>
      <c r="U578" s="45"/>
    </row>
    <row r="579" spans="1:21" ht="18.7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8"/>
      <c r="T579" s="45"/>
      <c r="U579" s="45"/>
    </row>
    <row r="580" spans="1:21" ht="18.7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8"/>
      <c r="T580" s="45"/>
      <c r="U580" s="45"/>
    </row>
    <row r="581" spans="1:21" ht="18.7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8"/>
      <c r="T581" s="45"/>
      <c r="U581" s="45"/>
    </row>
    <row r="582" spans="1:21" ht="18.7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8"/>
      <c r="T582" s="45"/>
      <c r="U582" s="45"/>
    </row>
    <row r="583" spans="1:21" ht="18.7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8"/>
      <c r="T583" s="45"/>
      <c r="U583" s="45"/>
    </row>
    <row r="584" spans="1:21" ht="18.7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8"/>
      <c r="T584" s="45"/>
      <c r="U584" s="45"/>
    </row>
    <row r="585" spans="1:21" ht="18.7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8"/>
      <c r="T585" s="45"/>
      <c r="U585" s="45"/>
    </row>
    <row r="586" spans="1:21" ht="18.7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8"/>
      <c r="T586" s="45"/>
      <c r="U586" s="45"/>
    </row>
    <row r="587" spans="1:21" ht="18.7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8"/>
      <c r="T587" s="45"/>
      <c r="U587" s="45"/>
    </row>
    <row r="588" spans="1:21" ht="18.7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8"/>
      <c r="T588" s="45"/>
      <c r="U588" s="45"/>
    </row>
    <row r="589" spans="1:21" ht="18.7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8"/>
      <c r="T589" s="45"/>
      <c r="U589" s="45"/>
    </row>
    <row r="590" spans="1:21" ht="18.7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8"/>
      <c r="T590" s="45"/>
      <c r="U590" s="45"/>
    </row>
    <row r="591" spans="1:21" ht="18.7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8"/>
      <c r="T591" s="45"/>
      <c r="U591" s="45"/>
    </row>
    <row r="592" spans="1:21" ht="18.7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8"/>
      <c r="T592" s="45"/>
      <c r="U592" s="45"/>
    </row>
    <row r="593" spans="1:21" ht="18.7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8"/>
      <c r="T593" s="45"/>
      <c r="U593" s="45"/>
    </row>
    <row r="594" spans="1:21" ht="18.7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8"/>
      <c r="T594" s="45"/>
      <c r="U594" s="45"/>
    </row>
    <row r="595" spans="1:21" ht="18.7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8"/>
      <c r="T595" s="45"/>
      <c r="U595" s="45"/>
    </row>
    <row r="596" spans="1:21" ht="18.7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8"/>
      <c r="T596" s="45"/>
      <c r="U596" s="45"/>
    </row>
    <row r="597" spans="1:21" ht="18.7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8"/>
      <c r="T597" s="45"/>
      <c r="U597" s="45"/>
    </row>
    <row r="598" spans="1:21" ht="18.7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8"/>
      <c r="T598" s="45"/>
      <c r="U598" s="45"/>
    </row>
    <row r="599" spans="1:21" ht="18.7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8"/>
      <c r="T599" s="45"/>
      <c r="U599" s="45"/>
    </row>
    <row r="600" spans="1:21" ht="18.7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8"/>
      <c r="T600" s="45"/>
      <c r="U600" s="45"/>
    </row>
    <row r="601" spans="1:21" ht="18.7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8"/>
      <c r="T601" s="45"/>
      <c r="U601" s="45"/>
    </row>
    <row r="602" spans="1:21" ht="18.7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8"/>
      <c r="T602" s="45"/>
      <c r="U602" s="45"/>
    </row>
    <row r="603" spans="1:21" ht="18.7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8"/>
      <c r="T603" s="45"/>
      <c r="U603" s="45"/>
    </row>
    <row r="604" spans="1:21" ht="18.7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8"/>
      <c r="T604" s="45"/>
      <c r="U604" s="45"/>
    </row>
    <row r="605" spans="1:21" ht="18.7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8"/>
      <c r="T605" s="45"/>
      <c r="U605" s="45"/>
    </row>
    <row r="606" spans="1:21" ht="18.7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8"/>
      <c r="T606" s="45"/>
      <c r="U606" s="45"/>
    </row>
    <row r="607" spans="1:21" ht="18.7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8"/>
      <c r="T607" s="45"/>
      <c r="U607" s="45"/>
    </row>
    <row r="608" spans="1:21" ht="18.7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8"/>
      <c r="T608" s="45"/>
      <c r="U608" s="45"/>
    </row>
    <row r="609" spans="1:21" ht="18.7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8"/>
      <c r="T609" s="45"/>
      <c r="U609" s="45"/>
    </row>
    <row r="610" spans="1:21" ht="18.7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8"/>
      <c r="T610" s="45"/>
      <c r="U610" s="45"/>
    </row>
    <row r="611" spans="1:21" ht="18.7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8"/>
      <c r="T611" s="45"/>
      <c r="U611" s="45"/>
    </row>
    <row r="612" spans="1:21" ht="18.7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8"/>
      <c r="T612" s="45"/>
      <c r="U612" s="45"/>
    </row>
    <row r="613" spans="1:21" ht="18.7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8"/>
      <c r="T613" s="45"/>
      <c r="U613" s="45"/>
    </row>
    <row r="614" spans="1:21" ht="18.7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8"/>
      <c r="T614" s="45"/>
      <c r="U614" s="45"/>
    </row>
    <row r="615" spans="1:21" ht="18.7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8"/>
      <c r="T615" s="45"/>
      <c r="U615" s="45"/>
    </row>
    <row r="616" spans="1:21" ht="18.7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8"/>
      <c r="T616" s="45"/>
      <c r="U616" s="45"/>
    </row>
    <row r="617" spans="1:21" ht="18.7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8"/>
      <c r="T617" s="45"/>
      <c r="U617" s="45"/>
    </row>
    <row r="618" spans="1:21" ht="18.7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8"/>
      <c r="T618" s="45"/>
      <c r="U618" s="45"/>
    </row>
    <row r="619" spans="1:21" ht="18.7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8"/>
      <c r="T619" s="45"/>
      <c r="U619" s="45"/>
    </row>
    <row r="620" spans="1:21" ht="18.7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8"/>
      <c r="T620" s="45"/>
      <c r="U620" s="45"/>
    </row>
    <row r="621" spans="1:21" ht="18.7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8"/>
      <c r="T621" s="45"/>
      <c r="U621" s="45"/>
    </row>
    <row r="622" spans="1:21" ht="18.7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8"/>
      <c r="T622" s="45"/>
      <c r="U622" s="45"/>
    </row>
    <row r="623" spans="1:21" ht="18.7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8"/>
      <c r="T623" s="45"/>
      <c r="U623" s="45"/>
    </row>
    <row r="624" spans="1:21" ht="18.7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8"/>
      <c r="T624" s="45"/>
      <c r="U624" s="45"/>
    </row>
    <row r="625" spans="1:21" ht="18.7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8"/>
      <c r="T625" s="45"/>
      <c r="U625" s="45"/>
    </row>
    <row r="626" spans="1:21" ht="18.7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8"/>
      <c r="T626" s="45"/>
      <c r="U626" s="45"/>
    </row>
    <row r="627" spans="1:21" ht="18.7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8"/>
      <c r="T627" s="45"/>
      <c r="U627" s="45"/>
    </row>
    <row r="628" spans="1:21" ht="18.7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8"/>
      <c r="T628" s="45"/>
      <c r="U628" s="45"/>
    </row>
    <row r="629" spans="1:21" ht="18.7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8"/>
      <c r="T629" s="45"/>
      <c r="U629" s="45"/>
    </row>
    <row r="630" spans="1:21" ht="18.7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8"/>
      <c r="T630" s="45"/>
      <c r="U630" s="45"/>
    </row>
    <row r="631" spans="1:21" ht="18.7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8"/>
      <c r="T631" s="45"/>
      <c r="U631" s="45"/>
    </row>
    <row r="632" spans="1:21" ht="18.7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8"/>
      <c r="T632" s="45"/>
      <c r="U632" s="45"/>
    </row>
    <row r="633" spans="1:21" ht="18.7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8"/>
      <c r="T633" s="45"/>
      <c r="U633" s="45"/>
    </row>
    <row r="634" spans="1:21" ht="18.7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8"/>
      <c r="T634" s="45"/>
      <c r="U634" s="45"/>
    </row>
    <row r="635" spans="1:21" ht="18.7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8"/>
      <c r="T635" s="45"/>
      <c r="U635" s="45"/>
    </row>
    <row r="636" spans="1:21" ht="18.7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8"/>
      <c r="T636" s="45"/>
      <c r="U636" s="45"/>
    </row>
    <row r="637" spans="1:21" ht="18.7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8"/>
      <c r="T637" s="45"/>
      <c r="U637" s="45"/>
    </row>
    <row r="638" spans="1:21" ht="18.7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8"/>
      <c r="T638" s="45"/>
      <c r="U638" s="45"/>
    </row>
    <row r="639" spans="1:21" ht="18.7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8"/>
      <c r="T639" s="45"/>
      <c r="U639" s="45"/>
    </row>
    <row r="640" spans="1:21" ht="18.7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8"/>
      <c r="T640" s="45"/>
      <c r="U640" s="45"/>
    </row>
    <row r="641" spans="1:21" ht="18.7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8"/>
      <c r="T641" s="45"/>
      <c r="U641" s="45"/>
    </row>
    <row r="642" spans="1:21" ht="18.7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8"/>
      <c r="T642" s="45"/>
      <c r="U642" s="45"/>
    </row>
    <row r="643" spans="1:21" ht="18.7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8"/>
      <c r="T643" s="45"/>
      <c r="U643" s="45"/>
    </row>
    <row r="644" spans="1:21" ht="18.7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8"/>
      <c r="T644" s="45"/>
      <c r="U644" s="45"/>
    </row>
    <row r="645" spans="1:21" ht="18.7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8"/>
      <c r="T645" s="45"/>
      <c r="U645" s="45"/>
    </row>
    <row r="646" spans="1:21" ht="18.7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8"/>
      <c r="T646" s="45"/>
      <c r="U646" s="45"/>
    </row>
    <row r="647" spans="1:21" ht="18.7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8"/>
      <c r="T647" s="45"/>
      <c r="U647" s="45"/>
    </row>
    <row r="648" spans="1:21" ht="18.7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8"/>
      <c r="T648" s="45"/>
      <c r="U648" s="45"/>
    </row>
    <row r="649" spans="1:21" ht="18.7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8"/>
      <c r="T649" s="45"/>
      <c r="U649" s="45"/>
    </row>
    <row r="650" spans="1:21" ht="18.7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8"/>
      <c r="T650" s="45"/>
      <c r="U650" s="45"/>
    </row>
    <row r="651" spans="1:21" ht="18.7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8"/>
      <c r="T651" s="45"/>
      <c r="U651" s="45"/>
    </row>
    <row r="652" spans="1:21" ht="18.7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8"/>
      <c r="T652" s="45"/>
      <c r="U652" s="45"/>
    </row>
    <row r="653" spans="1:21" ht="18.7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8"/>
      <c r="T653" s="45"/>
      <c r="U653" s="45"/>
    </row>
    <row r="654" spans="1:21" ht="18.7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8"/>
      <c r="T654" s="45"/>
      <c r="U654" s="45"/>
    </row>
    <row r="655" spans="1:21" ht="18.7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8"/>
      <c r="T655" s="45"/>
      <c r="U655" s="45"/>
    </row>
    <row r="656" spans="1:21" ht="18.7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8"/>
      <c r="T656" s="45"/>
      <c r="U656" s="45"/>
    </row>
    <row r="657" spans="1:21" ht="18.7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8"/>
      <c r="T657" s="45"/>
      <c r="U657" s="45"/>
    </row>
    <row r="658" spans="1:21" ht="18.7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8"/>
      <c r="T658" s="45"/>
      <c r="U658" s="45"/>
    </row>
  </sheetData>
  <autoFilter ref="A1:U25" xr:uid="{00000000-0009-0000-0000-000002000000}"/>
  <conditionalFormatting sqref="H1:H1048576 L1:L1048576">
    <cfRule type="cellIs" dxfId="26" priority="3" operator="lessThan">
      <formula>0.65</formula>
    </cfRule>
    <cfRule type="cellIs" dxfId="25" priority="4" operator="greaterThan">
      <formula>1</formula>
    </cfRule>
  </conditionalFormatting>
  <conditionalFormatting sqref="O2:R25">
    <cfRule type="cellIs" dxfId="24" priority="5" operator="lessThan">
      <formula>0.65</formula>
    </cfRule>
  </conditionalFormatting>
  <conditionalFormatting sqref="Q1">
    <cfRule type="cellIs" dxfId="23" priority="1" operator="lessThan">
      <formula>0.65</formula>
    </cfRule>
    <cfRule type="cellIs" dxfId="22" priority="2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58"/>
  <sheetViews>
    <sheetView zoomScale="85" zoomScaleNormal="85" workbookViewId="0">
      <pane ySplit="1" topLeftCell="A2" activePane="bottomLeft" state="frozen"/>
      <selection pane="bottomLeft" activeCell="A26" sqref="A26:XFD32"/>
    </sheetView>
  </sheetViews>
  <sheetFormatPr defaultColWidth="9.140625" defaultRowHeight="15"/>
  <cols>
    <col min="1" max="1" width="14.42578125" style="46" customWidth="1"/>
    <col min="2" max="18" width="12.7109375" style="46" customWidth="1"/>
    <col min="19" max="19" width="12.7109375" style="49" customWidth="1"/>
    <col min="20" max="20" width="12.7109375" style="46" customWidth="1"/>
    <col min="21" max="21" width="14.42578125" style="46" customWidth="1"/>
    <col min="22" max="16384" width="9.140625" style="32"/>
  </cols>
  <sheetData>
    <row r="1" spans="1:21" ht="60">
      <c r="A1" s="27" t="s">
        <v>122</v>
      </c>
      <c r="B1" s="28" t="s">
        <v>98</v>
      </c>
      <c r="C1" s="29" t="s">
        <v>99</v>
      </c>
      <c r="D1" s="30" t="s">
        <v>100</v>
      </c>
      <c r="E1" s="29" t="s">
        <v>101</v>
      </c>
      <c r="F1" s="30" t="s">
        <v>102</v>
      </c>
      <c r="G1" s="30" t="s">
        <v>103</v>
      </c>
      <c r="H1" s="29" t="s">
        <v>104</v>
      </c>
      <c r="I1" s="29" t="s">
        <v>105</v>
      </c>
      <c r="J1" s="30" t="s">
        <v>106</v>
      </c>
      <c r="K1" s="30" t="s">
        <v>107</v>
      </c>
      <c r="L1" s="29" t="s">
        <v>108</v>
      </c>
      <c r="M1" s="29" t="s">
        <v>109</v>
      </c>
      <c r="N1" s="29" t="s">
        <v>110</v>
      </c>
      <c r="O1" s="29" t="s">
        <v>111</v>
      </c>
      <c r="P1" s="29" t="s">
        <v>112</v>
      </c>
      <c r="Q1" s="29" t="s">
        <v>113</v>
      </c>
      <c r="R1" s="29" t="s">
        <v>114</v>
      </c>
      <c r="S1" s="47" t="s">
        <v>115</v>
      </c>
      <c r="T1" s="29" t="s">
        <v>116</v>
      </c>
      <c r="U1" s="31" t="s">
        <v>117</v>
      </c>
    </row>
    <row r="2" spans="1:21" ht="18.75">
      <c r="A2" s="44">
        <v>46055</v>
      </c>
      <c r="B2" s="34">
        <f>SUMIFS('OEE AHV'!J:J,'OEE AHV'!$B:$B,'AHV-03'!$A2,'OEE AHV'!$D:$D,'AHV-03'!$A$1)</f>
        <v>106.60286458333333</v>
      </c>
      <c r="C2" s="35">
        <f t="shared" ref="C2:C25" si="0">AVERAGEIF($B:$B,"&gt;0")</f>
        <v>101.34887695312501</v>
      </c>
      <c r="D2" s="34">
        <f t="shared" ref="D2:D25" si="1">ROUNDDOWN((K2/750)+(F2/240)+(F2/240),"0")</f>
        <v>34</v>
      </c>
      <c r="E2" s="36">
        <f t="shared" ref="E2:E25" si="2">AVERAGEIF($D:$D,"&gt;0")</f>
        <v>31.5</v>
      </c>
      <c r="F2" s="34">
        <f>SUMIFS('OEE AHV'!M:M,'OEE AHV'!$B:$B,'AHV-03'!$A2,'OEE AHV'!$D:$D,'AHV-03'!$A$1)</f>
        <v>1263.3971354166667</v>
      </c>
      <c r="G2" s="37">
        <f t="shared" ref="G2:G25" si="3">ROUNDUP((1400-F2)-(F2*0.5%),"0")</f>
        <v>131</v>
      </c>
      <c r="H2" s="38">
        <f t="shared" ref="H2:H25" si="4">IFERROR(IF(AND(F2="",G2="")=TRUE,"",F2/(1440-G2)),"")</f>
        <v>0.96516205914183861</v>
      </c>
      <c r="I2" s="38">
        <f>95%</f>
        <v>0.95</v>
      </c>
      <c r="J2" s="39"/>
      <c r="K2" s="40">
        <f>SUMIFS('OEE AHV'!Q:Q,'OEE AHV'!$B:$B,'AHV-03'!$A2,'OEE AHV'!$D:$D,'AHV-03'!$A$1)</f>
        <v>17906</v>
      </c>
      <c r="L2" s="38">
        <f t="shared" ref="L2:L25" si="5">IF(AND(J2="",K2="")=TRUE,"",IF(OR(J2="MMS",K2="MMS")=TRUE,"",IFERROR(K2/((F2*60)/J2),1)))</f>
        <v>1</v>
      </c>
      <c r="M2" s="38">
        <f>99%</f>
        <v>0.99</v>
      </c>
      <c r="N2" s="41" t="s">
        <v>118</v>
      </c>
      <c r="O2" s="38">
        <f t="shared" ref="O2:O25" si="6">IF(N2="","",IF(N2="MMS","",IFERROR((K2-N2)/K2,1)))</f>
        <v>1</v>
      </c>
      <c r="P2" s="38">
        <f>100%</f>
        <v>1</v>
      </c>
      <c r="Q2" s="38">
        <f t="shared" ref="Q2:R17" si="7">IFERROR(IF(AND(H2="",L2="",O2="")=TRUE,"",IF(H2="",1,H2)*IF(L2="",1,L2)*IF(O2="",1,O2)),"")</f>
        <v>0.96516205914183861</v>
      </c>
      <c r="R2" s="38">
        <f t="shared" si="7"/>
        <v>0.9405</v>
      </c>
      <c r="S2" s="42">
        <f>ROUNDUP((('AHV-03'!$F2/480)/3),"0")</f>
        <v>1</v>
      </c>
      <c r="T2" s="43">
        <f t="shared" ref="T2:T25" si="8">IFERROR(K2/S2,"")</f>
        <v>17906</v>
      </c>
      <c r="U2" s="33" t="s">
        <v>119</v>
      </c>
    </row>
    <row r="3" spans="1:21" ht="18.75">
      <c r="A3" s="44">
        <v>46056</v>
      </c>
      <c r="B3" s="34">
        <f>SUMIFS('OEE AHV'!J:J,'OEE AHV'!$B:$B,'AHV-03'!$A3,'OEE AHV'!$D:$D,'AHV-03'!$A$1)</f>
        <v>111.283203125</v>
      </c>
      <c r="C3" s="35">
        <f t="shared" si="0"/>
        <v>101.34887695312501</v>
      </c>
      <c r="D3" s="34">
        <f t="shared" si="1"/>
        <v>36</v>
      </c>
      <c r="E3" s="36">
        <f t="shared" si="2"/>
        <v>31.5</v>
      </c>
      <c r="F3" s="34">
        <f>SUMIFS('OEE AHV'!M:M,'OEE AHV'!$B:$B,'AHV-03'!$A3,'OEE AHV'!$D:$D,'AHV-03'!$A$1)</f>
        <v>1308.716796875</v>
      </c>
      <c r="G3" s="37">
        <f t="shared" si="3"/>
        <v>85</v>
      </c>
      <c r="H3" s="38">
        <f t="shared" si="4"/>
        <v>0.96584265452029516</v>
      </c>
      <c r="I3" s="38">
        <f t="shared" ref="I3:I25" si="9">I2</f>
        <v>0.95</v>
      </c>
      <c r="J3" s="39"/>
      <c r="K3" s="40">
        <f>SUMIFS('OEE AHV'!Q:Q,'OEE AHV'!$B:$B,'AHV-03'!$A3,'OEE AHV'!$D:$D,'AHV-03'!$A$1)</f>
        <v>18933</v>
      </c>
      <c r="L3" s="38">
        <f t="shared" si="5"/>
        <v>1</v>
      </c>
      <c r="M3" s="38">
        <f t="shared" ref="M3:M25" si="10">M2</f>
        <v>0.99</v>
      </c>
      <c r="N3" s="41" t="s">
        <v>118</v>
      </c>
      <c r="O3" s="38">
        <f t="shared" si="6"/>
        <v>1</v>
      </c>
      <c r="P3" s="38">
        <f t="shared" ref="P3:P25" si="11">P2</f>
        <v>1</v>
      </c>
      <c r="Q3" s="38">
        <f t="shared" si="7"/>
        <v>0.96584265452029516</v>
      </c>
      <c r="R3" s="38">
        <f t="shared" si="7"/>
        <v>0.9405</v>
      </c>
      <c r="S3" s="42">
        <f>ROUNDUP((('AHV-03'!$F3/480)/3),"0")</f>
        <v>1</v>
      </c>
      <c r="T3" s="43">
        <f t="shared" si="8"/>
        <v>18933</v>
      </c>
      <c r="U3" s="33" t="str">
        <f t="shared" ref="U3:U25" si="12">U2</f>
        <v>FY2025_MLS_Spindle Motor_Spindle Motor(FDB UNIT)_Bang Pa-in</v>
      </c>
    </row>
    <row r="4" spans="1:21" ht="18.75">
      <c r="A4" s="44">
        <v>46057</v>
      </c>
      <c r="B4" s="34">
        <f>SUMIFS('OEE AHV'!J:J,'OEE AHV'!$B:$B,'AHV-03'!$A4,'OEE AHV'!$D:$D,'AHV-03'!$A$1)</f>
        <v>104.28776041666666</v>
      </c>
      <c r="C4" s="35">
        <f t="shared" si="0"/>
        <v>101.34887695312501</v>
      </c>
      <c r="D4" s="34">
        <f t="shared" si="1"/>
        <v>32</v>
      </c>
      <c r="E4" s="36">
        <f t="shared" si="2"/>
        <v>31.5</v>
      </c>
      <c r="F4" s="34">
        <f>SUMIFS('OEE AHV'!M:M,'OEE AHV'!$B:$B,'AHV-03'!$A4,'OEE AHV'!$D:$D,'AHV-03'!$A$1)</f>
        <v>1135.7122395833335</v>
      </c>
      <c r="G4" s="37">
        <f t="shared" si="3"/>
        <v>259</v>
      </c>
      <c r="H4" s="38">
        <f t="shared" si="4"/>
        <v>0.96165303944397418</v>
      </c>
      <c r="I4" s="38">
        <f t="shared" si="9"/>
        <v>0.95</v>
      </c>
      <c r="J4" s="39"/>
      <c r="K4" s="40">
        <f>SUMIFS('OEE AHV'!Q:Q,'OEE AHV'!$B:$B,'AHV-03'!$A4,'OEE AHV'!$D:$D,'AHV-03'!$A$1)</f>
        <v>17398</v>
      </c>
      <c r="L4" s="38">
        <f t="shared" si="5"/>
        <v>1</v>
      </c>
      <c r="M4" s="38">
        <f t="shared" si="10"/>
        <v>0.99</v>
      </c>
      <c r="N4" s="41" t="s">
        <v>118</v>
      </c>
      <c r="O4" s="38">
        <f t="shared" si="6"/>
        <v>1</v>
      </c>
      <c r="P4" s="38">
        <f t="shared" si="11"/>
        <v>1</v>
      </c>
      <c r="Q4" s="38">
        <f t="shared" si="7"/>
        <v>0.96165303944397418</v>
      </c>
      <c r="R4" s="38">
        <f t="shared" si="7"/>
        <v>0.9405</v>
      </c>
      <c r="S4" s="42">
        <f>ROUNDUP((('AHV-03'!$F4/480)/3),"0")</f>
        <v>1</v>
      </c>
      <c r="T4" s="43">
        <f t="shared" si="8"/>
        <v>17398</v>
      </c>
      <c r="U4" s="33" t="str">
        <f t="shared" si="12"/>
        <v>FY2025_MLS_Spindle Motor_Spindle Motor(FDB UNIT)_Bang Pa-in</v>
      </c>
    </row>
    <row r="5" spans="1:21" ht="18.75">
      <c r="A5" s="44">
        <v>46058</v>
      </c>
      <c r="B5" s="34">
        <f>SUMIFS('OEE AHV'!J:J,'OEE AHV'!$B:$B,'AHV-03'!$A5,'OEE AHV'!$D:$D,'AHV-03'!$A$1)</f>
        <v>108.98177083333333</v>
      </c>
      <c r="C5" s="35">
        <f t="shared" si="0"/>
        <v>101.34887695312501</v>
      </c>
      <c r="D5" s="34">
        <f t="shared" si="1"/>
        <v>35</v>
      </c>
      <c r="E5" s="36">
        <f t="shared" si="2"/>
        <v>31.5</v>
      </c>
      <c r="F5" s="34">
        <f>SUMIFS('OEE AHV'!M:M,'OEE AHV'!$B:$B,'AHV-03'!$A5,'OEE AHV'!$D:$D,'AHV-03'!$A$1)</f>
        <v>1286.0182291666667</v>
      </c>
      <c r="G5" s="37">
        <f t="shared" si="3"/>
        <v>108</v>
      </c>
      <c r="H5" s="38">
        <f t="shared" si="4"/>
        <v>0.96547915102602611</v>
      </c>
      <c r="I5" s="38">
        <f t="shared" si="9"/>
        <v>0.95</v>
      </c>
      <c r="J5" s="39"/>
      <c r="K5" s="40">
        <f>SUMIFS('OEE AHV'!Q:Q,'OEE AHV'!$B:$B,'AHV-03'!$A5,'OEE AHV'!$D:$D,'AHV-03'!$A$1)</f>
        <v>18428</v>
      </c>
      <c r="L5" s="38">
        <f t="shared" si="5"/>
        <v>1</v>
      </c>
      <c r="M5" s="38">
        <f t="shared" si="10"/>
        <v>0.99</v>
      </c>
      <c r="N5" s="41" t="s">
        <v>118</v>
      </c>
      <c r="O5" s="38">
        <f t="shared" si="6"/>
        <v>1</v>
      </c>
      <c r="P5" s="38">
        <f t="shared" si="11"/>
        <v>1</v>
      </c>
      <c r="Q5" s="38">
        <f t="shared" si="7"/>
        <v>0.96547915102602611</v>
      </c>
      <c r="R5" s="38">
        <f t="shared" si="7"/>
        <v>0.9405</v>
      </c>
      <c r="S5" s="42">
        <f>ROUNDUP((('AHV-03'!$F5/480)/3),"0")</f>
        <v>1</v>
      </c>
      <c r="T5" s="43">
        <f t="shared" si="8"/>
        <v>18428</v>
      </c>
      <c r="U5" s="33" t="str">
        <f t="shared" si="12"/>
        <v>FY2025_MLS_Spindle Motor_Spindle Motor(FDB UNIT)_Bang Pa-in</v>
      </c>
    </row>
    <row r="6" spans="1:21" ht="18.75">
      <c r="A6" s="44">
        <v>46059</v>
      </c>
      <c r="B6" s="34">
        <f>SUMIFS('OEE AHV'!J:J,'OEE AHV'!$B:$B,'AHV-03'!$A6,'OEE AHV'!$D:$D,'AHV-03'!$A$1)</f>
        <v>108.94986979166667</v>
      </c>
      <c r="C6" s="35">
        <f t="shared" si="0"/>
        <v>101.34887695312501</v>
      </c>
      <c r="D6" s="34">
        <f t="shared" si="1"/>
        <v>35</v>
      </c>
      <c r="E6" s="36">
        <f t="shared" si="2"/>
        <v>31.5</v>
      </c>
      <c r="F6" s="34">
        <f>SUMIFS('OEE AHV'!M:M,'OEE AHV'!$B:$B,'AHV-03'!$A6,'OEE AHV'!$D:$D,'AHV-03'!$A$1)</f>
        <v>1331.0501302083333</v>
      </c>
      <c r="G6" s="37">
        <f t="shared" si="3"/>
        <v>63</v>
      </c>
      <c r="H6" s="38">
        <f t="shared" si="4"/>
        <v>0.9666304504054708</v>
      </c>
      <c r="I6" s="38">
        <f t="shared" si="9"/>
        <v>0.95</v>
      </c>
      <c r="J6" s="39"/>
      <c r="K6" s="40">
        <f>SUMIFS('OEE AHV'!Q:Q,'OEE AHV'!$B:$B,'AHV-03'!$A6,'OEE AHV'!$D:$D,'AHV-03'!$A$1)</f>
        <v>18421</v>
      </c>
      <c r="L6" s="38">
        <f t="shared" si="5"/>
        <v>1</v>
      </c>
      <c r="M6" s="38">
        <f t="shared" si="10"/>
        <v>0.99</v>
      </c>
      <c r="N6" s="41" t="s">
        <v>118</v>
      </c>
      <c r="O6" s="38">
        <f t="shared" si="6"/>
        <v>1</v>
      </c>
      <c r="P6" s="38">
        <f t="shared" si="11"/>
        <v>1</v>
      </c>
      <c r="Q6" s="38">
        <f t="shared" si="7"/>
        <v>0.9666304504054708</v>
      </c>
      <c r="R6" s="38">
        <f t="shared" si="7"/>
        <v>0.9405</v>
      </c>
      <c r="S6" s="42">
        <f>ROUNDUP((('AHV-03'!$F6/480)/3),"0")</f>
        <v>1</v>
      </c>
      <c r="T6" s="43">
        <f t="shared" si="8"/>
        <v>18421</v>
      </c>
      <c r="U6" s="33" t="str">
        <f t="shared" si="12"/>
        <v>FY2025_MLS_Spindle Motor_Spindle Motor(FDB UNIT)_Bang Pa-in</v>
      </c>
    </row>
    <row r="7" spans="1:21" ht="18.75">
      <c r="A7" s="44">
        <v>46060</v>
      </c>
      <c r="B7" s="34">
        <f>SUMIFS('OEE AHV'!J:J,'OEE AHV'!$B:$B,'AHV-03'!$A7,'OEE AHV'!$D:$D,'AHV-03'!$A$1)</f>
        <v>108.97721354166667</v>
      </c>
      <c r="C7" s="35">
        <f t="shared" si="0"/>
        <v>101.34887695312501</v>
      </c>
      <c r="D7" s="34">
        <f t="shared" si="1"/>
        <v>34</v>
      </c>
      <c r="E7" s="36">
        <f t="shared" si="2"/>
        <v>31.5</v>
      </c>
      <c r="F7" s="34">
        <f>SUMIFS('OEE AHV'!M:M,'OEE AHV'!$B:$B,'AHV-03'!$A7,'OEE AHV'!$D:$D,'AHV-03'!$A$1)</f>
        <v>1206.0227864583333</v>
      </c>
      <c r="G7" s="37">
        <f t="shared" si="3"/>
        <v>188</v>
      </c>
      <c r="H7" s="38">
        <f t="shared" si="4"/>
        <v>0.96327698598908407</v>
      </c>
      <c r="I7" s="38">
        <f t="shared" si="9"/>
        <v>0.95</v>
      </c>
      <c r="J7" s="39"/>
      <c r="K7" s="40">
        <f>SUMIFS('OEE AHV'!Q:Q,'OEE AHV'!$B:$B,'AHV-03'!$A7,'OEE AHV'!$D:$D,'AHV-03'!$A$1)</f>
        <v>18427</v>
      </c>
      <c r="L7" s="38">
        <f t="shared" si="5"/>
        <v>1</v>
      </c>
      <c r="M7" s="38">
        <f t="shared" si="10"/>
        <v>0.99</v>
      </c>
      <c r="N7" s="41" t="s">
        <v>118</v>
      </c>
      <c r="O7" s="38">
        <f t="shared" si="6"/>
        <v>1</v>
      </c>
      <c r="P7" s="38">
        <f t="shared" si="11"/>
        <v>1</v>
      </c>
      <c r="Q7" s="38">
        <f t="shared" si="7"/>
        <v>0.96327698598908407</v>
      </c>
      <c r="R7" s="38">
        <f t="shared" si="7"/>
        <v>0.9405</v>
      </c>
      <c r="S7" s="42">
        <f>ROUNDUP((('AHV-03'!$F7/480)/3),"0")</f>
        <v>1</v>
      </c>
      <c r="T7" s="43">
        <f t="shared" si="8"/>
        <v>18427</v>
      </c>
      <c r="U7" s="33" t="str">
        <f t="shared" si="12"/>
        <v>FY2025_MLS_Spindle Motor_Spindle Motor(FDB UNIT)_Bang Pa-in</v>
      </c>
    </row>
    <row r="8" spans="1:21" ht="18.75">
      <c r="A8" s="44">
        <v>46061</v>
      </c>
      <c r="B8" s="34">
        <f>SUMIFS('OEE AHV'!J:J,'OEE AHV'!$B:$B,'AHV-03'!$A8,'OEE AHV'!$D:$D,'AHV-03'!$A$1)</f>
        <v>59.981770833333336</v>
      </c>
      <c r="C8" s="35">
        <f t="shared" si="0"/>
        <v>101.34887695312501</v>
      </c>
      <c r="D8" s="34">
        <f t="shared" si="1"/>
        <v>15</v>
      </c>
      <c r="E8" s="36">
        <f t="shared" si="2"/>
        <v>31.5</v>
      </c>
      <c r="F8" s="34">
        <f>SUMIFS('OEE AHV'!M:M,'OEE AHV'!$B:$B,'AHV-03'!$A8,'OEE AHV'!$D:$D,'AHV-03'!$A$1)</f>
        <v>660.01822916666663</v>
      </c>
      <c r="G8" s="37">
        <f t="shared" si="3"/>
        <v>737</v>
      </c>
      <c r="H8" s="38">
        <f t="shared" si="4"/>
        <v>0.93885950094831672</v>
      </c>
      <c r="I8" s="38">
        <f t="shared" si="9"/>
        <v>0.95</v>
      </c>
      <c r="J8" s="39"/>
      <c r="K8" s="40">
        <f>SUMIFS('OEE AHV'!Q:Q,'OEE AHV'!$B:$B,'AHV-03'!$A8,'OEE AHV'!$D:$D,'AHV-03'!$A$1)</f>
        <v>7676</v>
      </c>
      <c r="L8" s="38">
        <f t="shared" si="5"/>
        <v>1</v>
      </c>
      <c r="M8" s="38">
        <f t="shared" si="10"/>
        <v>0.99</v>
      </c>
      <c r="N8" s="41" t="s">
        <v>118</v>
      </c>
      <c r="O8" s="38">
        <f t="shared" si="6"/>
        <v>1</v>
      </c>
      <c r="P8" s="38">
        <f t="shared" si="11"/>
        <v>1</v>
      </c>
      <c r="Q8" s="38">
        <f t="shared" si="7"/>
        <v>0.93885950094831672</v>
      </c>
      <c r="R8" s="38">
        <f t="shared" si="7"/>
        <v>0.9405</v>
      </c>
      <c r="S8" s="42">
        <f>ROUNDUP((('AHV-03'!$F8/480)/3),"0")</f>
        <v>1</v>
      </c>
      <c r="T8" s="43">
        <f t="shared" si="8"/>
        <v>7676</v>
      </c>
      <c r="U8" s="33" t="str">
        <f t="shared" si="12"/>
        <v>FY2025_MLS_Spindle Motor_Spindle Motor(FDB UNIT)_Bang Pa-in</v>
      </c>
    </row>
    <row r="9" spans="1:21" ht="18.75">
      <c r="A9" s="44">
        <v>46062</v>
      </c>
      <c r="B9" s="34">
        <f>SUMIFS('OEE AHV'!J:J,'OEE AHV'!$B:$B,'AHV-03'!$A9,'OEE AHV'!$D:$D,'AHV-03'!$A$1)</f>
        <v>104.27408854166666</v>
      </c>
      <c r="C9" s="35">
        <f t="shared" si="0"/>
        <v>101.34887695312501</v>
      </c>
      <c r="D9" s="34">
        <f t="shared" si="1"/>
        <v>33</v>
      </c>
      <c r="E9" s="36">
        <f t="shared" si="2"/>
        <v>31.5</v>
      </c>
      <c r="F9" s="34">
        <f>SUMIFS('OEE AHV'!M:M,'OEE AHV'!$B:$B,'AHV-03'!$A9,'OEE AHV'!$D:$D,'AHV-03'!$A$1)</f>
        <v>1210.7259114583333</v>
      </c>
      <c r="G9" s="37">
        <f t="shared" si="3"/>
        <v>184</v>
      </c>
      <c r="H9" s="38">
        <f t="shared" si="4"/>
        <v>0.96395375116109339</v>
      </c>
      <c r="I9" s="38">
        <f t="shared" si="9"/>
        <v>0.95</v>
      </c>
      <c r="J9" s="39"/>
      <c r="K9" s="40">
        <f>SUMIFS('OEE AHV'!Q:Q,'OEE AHV'!$B:$B,'AHV-03'!$A9,'OEE AHV'!$D:$D,'AHV-03'!$A$1)</f>
        <v>17395</v>
      </c>
      <c r="L9" s="38">
        <f t="shared" si="5"/>
        <v>1</v>
      </c>
      <c r="M9" s="38">
        <f t="shared" si="10"/>
        <v>0.99</v>
      </c>
      <c r="N9" s="41" t="s">
        <v>118</v>
      </c>
      <c r="O9" s="38">
        <f t="shared" si="6"/>
        <v>1</v>
      </c>
      <c r="P9" s="38">
        <f t="shared" si="11"/>
        <v>1</v>
      </c>
      <c r="Q9" s="38">
        <f t="shared" si="7"/>
        <v>0.96395375116109339</v>
      </c>
      <c r="R9" s="38">
        <f t="shared" si="7"/>
        <v>0.9405</v>
      </c>
      <c r="S9" s="42">
        <f>ROUNDUP((('AHV-03'!$F9/480)/3),"0")</f>
        <v>1</v>
      </c>
      <c r="T9" s="43">
        <f t="shared" si="8"/>
        <v>17395</v>
      </c>
      <c r="U9" s="33" t="str">
        <f t="shared" si="12"/>
        <v>FY2025_MLS_Spindle Motor_Spindle Motor(FDB UNIT)_Bang Pa-in</v>
      </c>
    </row>
    <row r="10" spans="1:21" ht="18.75">
      <c r="A10" s="44">
        <v>46063</v>
      </c>
      <c r="B10" s="34">
        <f>SUMIFS('OEE AHV'!J:J,'OEE AHV'!$B:$B,'AHV-03'!$A10,'OEE AHV'!$D:$D,'AHV-03'!$A$1)</f>
        <v>99.580078125</v>
      </c>
      <c r="C10" s="35">
        <f t="shared" si="0"/>
        <v>101.34887695312501</v>
      </c>
      <c r="D10" s="34">
        <f t="shared" si="1"/>
        <v>31</v>
      </c>
      <c r="E10" s="36">
        <f t="shared" si="2"/>
        <v>31.5</v>
      </c>
      <c r="F10" s="34">
        <f>SUMIFS('OEE AHV'!M:M,'OEE AHV'!$B:$B,'AHV-03'!$A10,'OEE AHV'!$D:$D,'AHV-03'!$A$1)</f>
        <v>1135.419921875</v>
      </c>
      <c r="G10" s="37">
        <f t="shared" si="3"/>
        <v>259</v>
      </c>
      <c r="H10" s="38">
        <f t="shared" si="4"/>
        <v>0.96140552233276888</v>
      </c>
      <c r="I10" s="38">
        <f t="shared" si="9"/>
        <v>0.95</v>
      </c>
      <c r="J10" s="39"/>
      <c r="K10" s="40">
        <f>SUMIFS('OEE AHV'!Q:Q,'OEE AHV'!$B:$B,'AHV-03'!$A10,'OEE AHV'!$D:$D,'AHV-03'!$A$1)</f>
        <v>16365</v>
      </c>
      <c r="L10" s="38">
        <f t="shared" si="5"/>
        <v>1</v>
      </c>
      <c r="M10" s="38">
        <f t="shared" si="10"/>
        <v>0.99</v>
      </c>
      <c r="N10" s="41" t="s">
        <v>118</v>
      </c>
      <c r="O10" s="38">
        <f t="shared" si="6"/>
        <v>1</v>
      </c>
      <c r="P10" s="38">
        <f t="shared" si="11"/>
        <v>1</v>
      </c>
      <c r="Q10" s="38">
        <f t="shared" si="7"/>
        <v>0.96140552233276888</v>
      </c>
      <c r="R10" s="38">
        <f t="shared" si="7"/>
        <v>0.9405</v>
      </c>
      <c r="S10" s="42">
        <f>ROUNDUP((('AHV-03'!$F10/480)/3),"0")</f>
        <v>1</v>
      </c>
      <c r="T10" s="43">
        <f t="shared" si="8"/>
        <v>16365</v>
      </c>
      <c r="U10" s="33" t="str">
        <f t="shared" si="12"/>
        <v>FY2025_MLS_Spindle Motor_Spindle Motor(FDB UNIT)_Bang Pa-in</v>
      </c>
    </row>
    <row r="11" spans="1:21" ht="18.75">
      <c r="A11" s="44">
        <v>46064</v>
      </c>
      <c r="B11" s="34">
        <f>SUMIFS('OEE AHV'!J:J,'OEE AHV'!$B:$B,'AHV-03'!$A11,'OEE AHV'!$D:$D,'AHV-03'!$A$1)</f>
        <v>104.15559895833333</v>
      </c>
      <c r="C11" s="35">
        <f t="shared" si="0"/>
        <v>101.34887695312501</v>
      </c>
      <c r="D11" s="34">
        <f t="shared" si="1"/>
        <v>34</v>
      </c>
      <c r="E11" s="36">
        <f t="shared" si="2"/>
        <v>31.5</v>
      </c>
      <c r="F11" s="34">
        <f>SUMIFS('OEE AHV'!M:M,'OEE AHV'!$B:$B,'AHV-03'!$A11,'OEE AHV'!$D:$D,'AHV-03'!$A$1)</f>
        <v>1335.8444010416667</v>
      </c>
      <c r="G11" s="37">
        <f t="shared" si="3"/>
        <v>58</v>
      </c>
      <c r="H11" s="38">
        <f t="shared" si="4"/>
        <v>0.9666023162385432</v>
      </c>
      <c r="I11" s="38">
        <f t="shared" si="9"/>
        <v>0.95</v>
      </c>
      <c r="J11" s="39"/>
      <c r="K11" s="40">
        <f>SUMIFS('OEE AHV'!Q:Q,'OEE AHV'!$B:$B,'AHV-03'!$A11,'OEE AHV'!$D:$D,'AHV-03'!$A$1)</f>
        <v>17369</v>
      </c>
      <c r="L11" s="38">
        <f t="shared" si="5"/>
        <v>1</v>
      </c>
      <c r="M11" s="38">
        <f t="shared" si="10"/>
        <v>0.99</v>
      </c>
      <c r="N11" s="41" t="s">
        <v>118</v>
      </c>
      <c r="O11" s="38">
        <f t="shared" si="6"/>
        <v>1</v>
      </c>
      <c r="P11" s="38">
        <f t="shared" si="11"/>
        <v>1</v>
      </c>
      <c r="Q11" s="38">
        <f t="shared" si="7"/>
        <v>0.9666023162385432</v>
      </c>
      <c r="R11" s="38">
        <f t="shared" si="7"/>
        <v>0.9405</v>
      </c>
      <c r="S11" s="42">
        <f>ROUNDUP((('AHV-03'!$F11/480)/3),"0")</f>
        <v>1</v>
      </c>
      <c r="T11" s="43">
        <f t="shared" si="8"/>
        <v>17369</v>
      </c>
      <c r="U11" s="33" t="str">
        <f t="shared" si="12"/>
        <v>FY2025_MLS_Spindle Motor_Spindle Motor(FDB UNIT)_Bang Pa-in</v>
      </c>
    </row>
    <row r="12" spans="1:21" ht="18.75">
      <c r="A12" s="44">
        <v>46065</v>
      </c>
      <c r="B12" s="34">
        <f>SUMIFS('OEE AHV'!J:J,'OEE AHV'!$B:$B,'AHV-03'!$A12,'OEE AHV'!$D:$D,'AHV-03'!$A$1)</f>
        <v>101.91796875</v>
      </c>
      <c r="C12" s="35">
        <f t="shared" si="0"/>
        <v>101.34887695312501</v>
      </c>
      <c r="D12" s="34">
        <f t="shared" si="1"/>
        <v>33</v>
      </c>
      <c r="E12" s="36">
        <f t="shared" si="2"/>
        <v>31.5</v>
      </c>
      <c r="F12" s="34">
        <f>SUMIFS('OEE AHV'!M:M,'OEE AHV'!$B:$B,'AHV-03'!$A12,'OEE AHV'!$D:$D,'AHV-03'!$A$1)</f>
        <v>1338.08203125</v>
      </c>
      <c r="G12" s="37">
        <f t="shared" si="3"/>
        <v>56</v>
      </c>
      <c r="H12" s="38">
        <f t="shared" si="4"/>
        <v>0.96682227691473988</v>
      </c>
      <c r="I12" s="38">
        <f t="shared" si="9"/>
        <v>0.95</v>
      </c>
      <c r="J12" s="39"/>
      <c r="K12" s="40">
        <f>SUMIFS('OEE AHV'!Q:Q,'OEE AHV'!$B:$B,'AHV-03'!$A12,'OEE AHV'!$D:$D,'AHV-03'!$A$1)</f>
        <v>16878</v>
      </c>
      <c r="L12" s="38">
        <f t="shared" si="5"/>
        <v>1</v>
      </c>
      <c r="M12" s="38">
        <f t="shared" si="10"/>
        <v>0.99</v>
      </c>
      <c r="N12" s="41" t="s">
        <v>118</v>
      </c>
      <c r="O12" s="38">
        <f t="shared" si="6"/>
        <v>1</v>
      </c>
      <c r="P12" s="38">
        <f t="shared" si="11"/>
        <v>1</v>
      </c>
      <c r="Q12" s="38">
        <f t="shared" si="7"/>
        <v>0.96682227691473988</v>
      </c>
      <c r="R12" s="38">
        <f t="shared" si="7"/>
        <v>0.9405</v>
      </c>
      <c r="S12" s="42">
        <f>ROUNDUP((('AHV-03'!$F12/480)/3),"0")</f>
        <v>1</v>
      </c>
      <c r="T12" s="43">
        <f t="shared" si="8"/>
        <v>16878</v>
      </c>
      <c r="U12" s="33" t="str">
        <f t="shared" si="12"/>
        <v>FY2025_MLS_Spindle Motor_Spindle Motor(FDB UNIT)_Bang Pa-in</v>
      </c>
    </row>
    <row r="13" spans="1:21" ht="18.75">
      <c r="A13" s="44">
        <v>46066</v>
      </c>
      <c r="B13" s="34">
        <f>SUMIFS('OEE AHV'!J:J,'OEE AHV'!$B:$B,'AHV-03'!$A13,'OEE AHV'!$D:$D,'AHV-03'!$A$1)</f>
        <v>111.28776041666667</v>
      </c>
      <c r="C13" s="35">
        <f t="shared" si="0"/>
        <v>101.34887695312501</v>
      </c>
      <c r="D13" s="34">
        <f t="shared" si="1"/>
        <v>36</v>
      </c>
      <c r="E13" s="36">
        <f t="shared" si="2"/>
        <v>31.5</v>
      </c>
      <c r="F13" s="34">
        <f>SUMIFS('OEE AHV'!M:M,'OEE AHV'!$B:$B,'AHV-03'!$A13,'OEE AHV'!$D:$D,'AHV-03'!$A$1)</f>
        <v>1290.7122395833333</v>
      </c>
      <c r="G13" s="37">
        <f t="shared" si="3"/>
        <v>103</v>
      </c>
      <c r="H13" s="38">
        <f t="shared" si="4"/>
        <v>0.96537938637496878</v>
      </c>
      <c r="I13" s="38">
        <f t="shared" si="9"/>
        <v>0.95</v>
      </c>
      <c r="J13" s="39"/>
      <c r="K13" s="40">
        <f>SUMIFS('OEE AHV'!Q:Q,'OEE AHV'!$B:$B,'AHV-03'!$A13,'OEE AHV'!$D:$D,'AHV-03'!$A$1)</f>
        <v>18934</v>
      </c>
      <c r="L13" s="38">
        <f t="shared" si="5"/>
        <v>1</v>
      </c>
      <c r="M13" s="38">
        <f t="shared" si="10"/>
        <v>0.99</v>
      </c>
      <c r="N13" s="41" t="s">
        <v>118</v>
      </c>
      <c r="O13" s="38">
        <f t="shared" si="6"/>
        <v>1</v>
      </c>
      <c r="P13" s="38">
        <f t="shared" si="11"/>
        <v>1</v>
      </c>
      <c r="Q13" s="38">
        <f t="shared" si="7"/>
        <v>0.96537938637496878</v>
      </c>
      <c r="R13" s="38">
        <f t="shared" si="7"/>
        <v>0.9405</v>
      </c>
      <c r="S13" s="42">
        <f>ROUNDUP((('AHV-03'!$F13/480)/3),"0")</f>
        <v>1</v>
      </c>
      <c r="T13" s="43">
        <f t="shared" si="8"/>
        <v>18934</v>
      </c>
      <c r="U13" s="33" t="str">
        <f t="shared" si="12"/>
        <v>FY2025_MLS_Spindle Motor_Spindle Motor(FDB UNIT)_Bang Pa-in</v>
      </c>
    </row>
    <row r="14" spans="1:21" ht="18.75">
      <c r="A14" s="44">
        <v>46067</v>
      </c>
      <c r="B14" s="34">
        <f>SUMIFS('OEE AHV'!J:J,'OEE AHV'!$B:$B,'AHV-03'!$A14,'OEE AHV'!$D:$D,'AHV-03'!$A$1)</f>
        <v>71.557291666666671</v>
      </c>
      <c r="C14" s="35">
        <f t="shared" si="0"/>
        <v>101.34887695312501</v>
      </c>
      <c r="D14" s="34">
        <f t="shared" si="1"/>
        <v>19</v>
      </c>
      <c r="E14" s="36">
        <f t="shared" si="2"/>
        <v>31.5</v>
      </c>
      <c r="F14" s="34">
        <f>SUMIFS('OEE AHV'!M:M,'OEE AHV'!$B:$B,'AHV-03'!$A14,'OEE AHV'!$D:$D,'AHV-03'!$A$1)</f>
        <v>655.44270833333337</v>
      </c>
      <c r="G14" s="37">
        <f t="shared" si="3"/>
        <v>742</v>
      </c>
      <c r="H14" s="38">
        <f t="shared" si="4"/>
        <v>0.93902966809933153</v>
      </c>
      <c r="I14" s="38">
        <f t="shared" si="9"/>
        <v>0.95</v>
      </c>
      <c r="J14" s="39"/>
      <c r="K14" s="40">
        <f>SUMIFS('OEE AHV'!Q:Q,'OEE AHV'!$B:$B,'AHV-03'!$A14,'OEE AHV'!$D:$D,'AHV-03'!$A$1)</f>
        <v>10216</v>
      </c>
      <c r="L14" s="38">
        <f t="shared" si="5"/>
        <v>1</v>
      </c>
      <c r="M14" s="38">
        <f t="shared" si="10"/>
        <v>0.99</v>
      </c>
      <c r="N14" s="41" t="s">
        <v>118</v>
      </c>
      <c r="O14" s="38">
        <f t="shared" si="6"/>
        <v>1</v>
      </c>
      <c r="P14" s="38">
        <f t="shared" si="11"/>
        <v>1</v>
      </c>
      <c r="Q14" s="38">
        <f t="shared" si="7"/>
        <v>0.93902966809933153</v>
      </c>
      <c r="R14" s="38">
        <f t="shared" si="7"/>
        <v>0.9405</v>
      </c>
      <c r="S14" s="42">
        <f>ROUNDUP((('AHV-03'!$F14/480)/3),"0")</f>
        <v>1</v>
      </c>
      <c r="T14" s="43">
        <f t="shared" si="8"/>
        <v>10216</v>
      </c>
      <c r="U14" s="33" t="str">
        <f t="shared" si="12"/>
        <v>FY2025_MLS_Spindle Motor_Spindle Motor(FDB UNIT)_Bang Pa-in</v>
      </c>
    </row>
    <row r="15" spans="1:21" ht="18.75">
      <c r="A15" s="44">
        <v>46069</v>
      </c>
      <c r="B15" s="34">
        <f>SUMIFS('OEE AHV'!J:J,'OEE AHV'!$B:$B,'AHV-03'!$A15,'OEE AHV'!$D:$D,'AHV-03'!$A$1)</f>
        <v>83.305989583333329</v>
      </c>
      <c r="C15" s="35">
        <f t="shared" si="0"/>
        <v>101.34887695312501</v>
      </c>
      <c r="D15" s="34">
        <f t="shared" si="1"/>
        <v>23</v>
      </c>
      <c r="E15" s="36">
        <f t="shared" si="2"/>
        <v>31.5</v>
      </c>
      <c r="F15" s="34">
        <f>SUMIFS('OEE AHV'!M:M,'OEE AHV'!$B:$B,'AHV-03'!$A15,'OEE AHV'!$D:$D,'AHV-03'!$A$1)</f>
        <v>749.69401041666663</v>
      </c>
      <c r="G15" s="37">
        <f t="shared" si="3"/>
        <v>647</v>
      </c>
      <c r="H15" s="38">
        <f t="shared" si="4"/>
        <v>0.94538967265657836</v>
      </c>
      <c r="I15" s="38">
        <f t="shared" si="9"/>
        <v>0.95</v>
      </c>
      <c r="J15" s="39"/>
      <c r="K15" s="40">
        <f>SUMIFS('OEE AHV'!Q:Q,'OEE AHV'!$B:$B,'AHV-03'!$A15,'OEE AHV'!$D:$D,'AHV-03'!$A$1)</f>
        <v>12794</v>
      </c>
      <c r="L15" s="38">
        <f t="shared" si="5"/>
        <v>1</v>
      </c>
      <c r="M15" s="38">
        <f t="shared" si="10"/>
        <v>0.99</v>
      </c>
      <c r="N15" s="41" t="s">
        <v>118</v>
      </c>
      <c r="O15" s="38">
        <f t="shared" si="6"/>
        <v>1</v>
      </c>
      <c r="P15" s="38">
        <f t="shared" si="11"/>
        <v>1</v>
      </c>
      <c r="Q15" s="38">
        <f t="shared" si="7"/>
        <v>0.94538967265657836</v>
      </c>
      <c r="R15" s="38">
        <f t="shared" si="7"/>
        <v>0.9405</v>
      </c>
      <c r="S15" s="42">
        <f>ROUNDUP((('AHV-03'!$F15/480)/3),"0")</f>
        <v>1</v>
      </c>
      <c r="T15" s="43">
        <f t="shared" si="8"/>
        <v>12794</v>
      </c>
      <c r="U15" s="33" t="str">
        <f t="shared" si="12"/>
        <v>FY2025_MLS_Spindle Motor_Spindle Motor(FDB UNIT)_Bang Pa-in</v>
      </c>
    </row>
    <row r="16" spans="1:21" ht="18.75">
      <c r="A16" s="44">
        <v>46070</v>
      </c>
      <c r="B16" s="34">
        <f>SUMIFS('OEE AHV'!J:J,'OEE AHV'!$B:$B,'AHV-03'!$A16,'OEE AHV'!$D:$D,'AHV-03'!$A$1)</f>
        <v>90.26953125</v>
      </c>
      <c r="C16" s="35">
        <f t="shared" si="0"/>
        <v>101.34887695312501</v>
      </c>
      <c r="D16" s="34">
        <f t="shared" si="1"/>
        <v>27</v>
      </c>
      <c r="E16" s="36">
        <f t="shared" si="2"/>
        <v>31.5</v>
      </c>
      <c r="F16" s="34">
        <f>SUMIFS('OEE AHV'!M:M,'OEE AHV'!$B:$B,'AHV-03'!$A16,'OEE AHV'!$D:$D,'AHV-03'!$A$1)</f>
        <v>984.73046875</v>
      </c>
      <c r="G16" s="37">
        <f t="shared" si="3"/>
        <v>411</v>
      </c>
      <c r="H16" s="38">
        <f t="shared" si="4"/>
        <v>0.95697810374149661</v>
      </c>
      <c r="I16" s="38">
        <f t="shared" si="9"/>
        <v>0.95</v>
      </c>
      <c r="J16" s="39"/>
      <c r="K16" s="40">
        <f>SUMIFS('OEE AHV'!Q:Q,'OEE AHV'!$B:$B,'AHV-03'!$A16,'OEE AHV'!$D:$D,'AHV-03'!$A$1)</f>
        <v>14322</v>
      </c>
      <c r="L16" s="38">
        <f t="shared" si="5"/>
        <v>1</v>
      </c>
      <c r="M16" s="38">
        <f t="shared" si="10"/>
        <v>0.99</v>
      </c>
      <c r="N16" s="41" t="s">
        <v>118</v>
      </c>
      <c r="O16" s="38">
        <f t="shared" si="6"/>
        <v>1</v>
      </c>
      <c r="P16" s="38">
        <f t="shared" si="11"/>
        <v>1</v>
      </c>
      <c r="Q16" s="38">
        <f t="shared" si="7"/>
        <v>0.95697810374149661</v>
      </c>
      <c r="R16" s="38">
        <f t="shared" si="7"/>
        <v>0.9405</v>
      </c>
      <c r="S16" s="42">
        <f>ROUNDUP((('AHV-03'!$F16/480)/3),"0")</f>
        <v>1</v>
      </c>
      <c r="T16" s="43">
        <f t="shared" si="8"/>
        <v>14322</v>
      </c>
      <c r="U16" s="33" t="str">
        <f t="shared" si="12"/>
        <v>FY2025_MLS_Spindle Motor_Spindle Motor(FDB UNIT)_Bang Pa-in</v>
      </c>
    </row>
    <row r="17" spans="1:21" ht="18.75">
      <c r="A17" s="44">
        <v>46071</v>
      </c>
      <c r="B17" s="34">
        <f>SUMIFS('OEE AHV'!J:J,'OEE AHV'!$B:$B,'AHV-03'!$A17,'OEE AHV'!$D:$D,'AHV-03'!$A$1)</f>
        <v>71.643880208333329</v>
      </c>
      <c r="C17" s="35">
        <f t="shared" si="0"/>
        <v>101.34887695312501</v>
      </c>
      <c r="D17" s="34">
        <f t="shared" si="1"/>
        <v>19</v>
      </c>
      <c r="E17" s="36">
        <f t="shared" si="2"/>
        <v>31.5</v>
      </c>
      <c r="F17" s="34">
        <f>SUMIFS('OEE AHV'!M:M,'OEE AHV'!$B:$B,'AHV-03'!$A17,'OEE AHV'!$D:$D,'AHV-03'!$A$1)</f>
        <v>661.35611979166663</v>
      </c>
      <c r="G17" s="37">
        <f t="shared" si="3"/>
        <v>736</v>
      </c>
      <c r="H17" s="38">
        <f t="shared" si="4"/>
        <v>0.93942630652225378</v>
      </c>
      <c r="I17" s="38">
        <f t="shared" si="9"/>
        <v>0.95</v>
      </c>
      <c r="J17" s="39"/>
      <c r="K17" s="40">
        <f>SUMIFS('OEE AHV'!Q:Q,'OEE AHV'!$B:$B,'AHV-03'!$A17,'OEE AHV'!$D:$D,'AHV-03'!$A$1)</f>
        <v>10235</v>
      </c>
      <c r="L17" s="38">
        <f t="shared" si="5"/>
        <v>1</v>
      </c>
      <c r="M17" s="38">
        <f t="shared" si="10"/>
        <v>0.99</v>
      </c>
      <c r="N17" s="41" t="s">
        <v>118</v>
      </c>
      <c r="O17" s="38">
        <f t="shared" si="6"/>
        <v>1</v>
      </c>
      <c r="P17" s="38">
        <f t="shared" si="11"/>
        <v>1</v>
      </c>
      <c r="Q17" s="38">
        <f t="shared" si="7"/>
        <v>0.93942630652225378</v>
      </c>
      <c r="R17" s="38">
        <f t="shared" si="7"/>
        <v>0.9405</v>
      </c>
      <c r="S17" s="42">
        <f>ROUNDUP((('AHV-03'!$F17/480)/3),"0")</f>
        <v>1</v>
      </c>
      <c r="T17" s="43">
        <f t="shared" si="8"/>
        <v>10235</v>
      </c>
      <c r="U17" s="33" t="str">
        <f t="shared" si="12"/>
        <v>FY2025_MLS_Spindle Motor_Spindle Motor(FDB UNIT)_Bang Pa-in</v>
      </c>
    </row>
    <row r="18" spans="1:21" ht="18.75">
      <c r="A18" s="44">
        <v>46072</v>
      </c>
      <c r="B18" s="34">
        <f>SUMIFS('OEE AHV'!J:J,'OEE AHV'!$B:$B,'AHV-03'!$A18,'OEE AHV'!$D:$D,'AHV-03'!$A$1)</f>
        <v>113.580078125</v>
      </c>
      <c r="C18" s="35">
        <f t="shared" si="0"/>
        <v>101.34887695312501</v>
      </c>
      <c r="D18" s="34">
        <f t="shared" si="1"/>
        <v>36</v>
      </c>
      <c r="E18" s="36">
        <f t="shared" si="2"/>
        <v>31.5</v>
      </c>
      <c r="F18" s="34">
        <f>SUMIFS('OEE AHV'!M:M,'OEE AHV'!$B:$B,'AHV-03'!$A18,'OEE AHV'!$D:$D,'AHV-03'!$A$1)</f>
        <v>1326.419921875</v>
      </c>
      <c r="G18" s="37">
        <f t="shared" si="3"/>
        <v>67</v>
      </c>
      <c r="H18" s="38">
        <f t="shared" si="4"/>
        <v>0.96607423297523676</v>
      </c>
      <c r="I18" s="38">
        <f t="shared" si="9"/>
        <v>0.95</v>
      </c>
      <c r="J18" s="39"/>
      <c r="K18" s="40">
        <f>SUMIFS('OEE AHV'!Q:Q,'OEE AHV'!$B:$B,'AHV-03'!$A18,'OEE AHV'!$D:$D,'AHV-03'!$A$1)</f>
        <v>19437</v>
      </c>
      <c r="L18" s="38">
        <f t="shared" si="5"/>
        <v>1</v>
      </c>
      <c r="M18" s="38">
        <f t="shared" si="10"/>
        <v>0.99</v>
      </c>
      <c r="N18" s="41" t="s">
        <v>118</v>
      </c>
      <c r="O18" s="38">
        <f t="shared" si="6"/>
        <v>1</v>
      </c>
      <c r="P18" s="38">
        <f t="shared" si="11"/>
        <v>1</v>
      </c>
      <c r="Q18" s="38">
        <f t="shared" ref="Q18:R25" si="13">IFERROR(IF(AND(H18="",L18="",O18="")=TRUE,"",IF(H18="",1,H18)*IF(L18="",1,L18)*IF(O18="",1,O18)),"")</f>
        <v>0.96607423297523676</v>
      </c>
      <c r="R18" s="38">
        <f t="shared" si="13"/>
        <v>0.9405</v>
      </c>
      <c r="S18" s="42">
        <f>ROUNDUP((('AHV-03'!$F18/480)/3),"0")</f>
        <v>1</v>
      </c>
      <c r="T18" s="43">
        <f t="shared" si="8"/>
        <v>19437</v>
      </c>
      <c r="U18" s="33" t="str">
        <f t="shared" si="12"/>
        <v>FY2025_MLS_Spindle Motor_Spindle Motor(FDB UNIT)_Bang Pa-in</v>
      </c>
    </row>
    <row r="19" spans="1:21" ht="18.75">
      <c r="A19" s="44">
        <v>46073</v>
      </c>
      <c r="B19" s="34">
        <f>SUMIFS('OEE AHV'!J:J,'OEE AHV'!$B:$B,'AHV-03'!$A19,'OEE AHV'!$D:$D,'AHV-03'!$A$1)</f>
        <v>113.60286458333334</v>
      </c>
      <c r="C19" s="35">
        <f t="shared" si="0"/>
        <v>101.34887695312501</v>
      </c>
      <c r="D19" s="34">
        <f t="shared" si="1"/>
        <v>36</v>
      </c>
      <c r="E19" s="36">
        <f t="shared" si="2"/>
        <v>31.5</v>
      </c>
      <c r="F19" s="34">
        <f>SUMIFS('OEE AHV'!M:M,'OEE AHV'!$B:$B,'AHV-03'!$A19,'OEE AHV'!$D:$D,'AHV-03'!$A$1)</f>
        <v>1326.3971354166667</v>
      </c>
      <c r="G19" s="37">
        <f t="shared" si="3"/>
        <v>67</v>
      </c>
      <c r="H19" s="38">
        <f t="shared" si="4"/>
        <v>0.9660576368657442</v>
      </c>
      <c r="I19" s="38">
        <f t="shared" si="9"/>
        <v>0.95</v>
      </c>
      <c r="J19" s="39"/>
      <c r="K19" s="40">
        <f>SUMIFS('OEE AHV'!Q:Q,'OEE AHV'!$B:$B,'AHV-03'!$A19,'OEE AHV'!$D:$D,'AHV-03'!$A$1)</f>
        <v>19442</v>
      </c>
      <c r="L19" s="38">
        <f t="shared" si="5"/>
        <v>1</v>
      </c>
      <c r="M19" s="38">
        <f t="shared" si="10"/>
        <v>0.99</v>
      </c>
      <c r="N19" s="41" t="s">
        <v>118</v>
      </c>
      <c r="O19" s="38">
        <f t="shared" si="6"/>
        <v>1</v>
      </c>
      <c r="P19" s="38">
        <f t="shared" si="11"/>
        <v>1</v>
      </c>
      <c r="Q19" s="38">
        <f t="shared" si="13"/>
        <v>0.9660576368657442</v>
      </c>
      <c r="R19" s="38">
        <f t="shared" si="13"/>
        <v>0.9405</v>
      </c>
      <c r="S19" s="42">
        <f>ROUNDUP((('AHV-03'!$F19/480)/3),"0")</f>
        <v>1</v>
      </c>
      <c r="T19" s="43">
        <f t="shared" si="8"/>
        <v>19442</v>
      </c>
      <c r="U19" s="33" t="str">
        <f t="shared" si="12"/>
        <v>FY2025_MLS_Spindle Motor_Spindle Motor(FDB UNIT)_Bang Pa-in</v>
      </c>
    </row>
    <row r="20" spans="1:21" ht="18.75">
      <c r="A20" s="44">
        <v>46074</v>
      </c>
      <c r="B20" s="34">
        <f>SUMIFS('OEE AHV'!J:J,'OEE AHV'!$B:$B,'AHV-03'!$A20,'OEE AHV'!$D:$D,'AHV-03'!$A$1)</f>
        <v>111.27408854166667</v>
      </c>
      <c r="C20" s="35">
        <f t="shared" si="0"/>
        <v>101.34887695312501</v>
      </c>
      <c r="D20" s="34">
        <f t="shared" si="1"/>
        <v>36</v>
      </c>
      <c r="E20" s="36">
        <f t="shared" si="2"/>
        <v>31.5</v>
      </c>
      <c r="F20" s="34">
        <f>SUMIFS('OEE AHV'!M:M,'OEE AHV'!$B:$B,'AHV-03'!$A20,'OEE AHV'!$D:$D,'AHV-03'!$A$1)</f>
        <v>1293.7259114583333</v>
      </c>
      <c r="G20" s="37">
        <f t="shared" si="3"/>
        <v>100</v>
      </c>
      <c r="H20" s="38">
        <f t="shared" si="4"/>
        <v>0.96546709810323372</v>
      </c>
      <c r="I20" s="38">
        <f t="shared" si="9"/>
        <v>0.95</v>
      </c>
      <c r="J20" s="39"/>
      <c r="K20" s="40">
        <f>SUMIFS('OEE AHV'!Q:Q,'OEE AHV'!$B:$B,'AHV-03'!$A20,'OEE AHV'!$D:$D,'AHV-03'!$A$1)</f>
        <v>18931</v>
      </c>
      <c r="L20" s="38">
        <f t="shared" si="5"/>
        <v>1</v>
      </c>
      <c r="M20" s="38">
        <f t="shared" si="10"/>
        <v>0.99</v>
      </c>
      <c r="N20" s="41" t="s">
        <v>118</v>
      </c>
      <c r="O20" s="38">
        <f t="shared" si="6"/>
        <v>1</v>
      </c>
      <c r="P20" s="38">
        <f t="shared" si="11"/>
        <v>1</v>
      </c>
      <c r="Q20" s="38">
        <f t="shared" si="13"/>
        <v>0.96546709810323372</v>
      </c>
      <c r="R20" s="38">
        <f t="shared" si="13"/>
        <v>0.9405</v>
      </c>
      <c r="S20" s="42">
        <f>ROUNDUP((('AHV-03'!$F20/480)/3),"0")</f>
        <v>1</v>
      </c>
      <c r="T20" s="43">
        <f t="shared" si="8"/>
        <v>18931</v>
      </c>
      <c r="U20" s="33" t="str">
        <f t="shared" si="12"/>
        <v>FY2025_MLS_Spindle Motor_Spindle Motor(FDB UNIT)_Bang Pa-in</v>
      </c>
    </row>
    <row r="21" spans="1:21" ht="18.75">
      <c r="A21" s="44">
        <v>46076</v>
      </c>
      <c r="B21" s="34">
        <f>SUMIFS('OEE AHV'!J:J,'OEE AHV'!$B:$B,'AHV-03'!$A21,'OEE AHV'!$D:$D,'AHV-03'!$A$1)</f>
        <v>101.92252604166667</v>
      </c>
      <c r="C21" s="35">
        <f t="shared" si="0"/>
        <v>101.34887695312501</v>
      </c>
      <c r="D21" s="34">
        <f t="shared" si="1"/>
        <v>31</v>
      </c>
      <c r="E21" s="36">
        <f t="shared" si="2"/>
        <v>31.5</v>
      </c>
      <c r="F21" s="34">
        <f>SUMIFS('OEE AHV'!M:M,'OEE AHV'!$B:$B,'AHV-03'!$A21,'OEE AHV'!$D:$D,'AHV-03'!$A$1)</f>
        <v>1110.0774739583333</v>
      </c>
      <c r="G21" s="37">
        <f t="shared" si="3"/>
        <v>285</v>
      </c>
      <c r="H21" s="38">
        <f t="shared" si="4"/>
        <v>0.96110603805916295</v>
      </c>
      <c r="I21" s="38">
        <f t="shared" si="9"/>
        <v>0.95</v>
      </c>
      <c r="J21" s="39"/>
      <c r="K21" s="40">
        <f>SUMIFS('OEE AHV'!Q:Q,'OEE AHV'!$B:$B,'AHV-03'!$A21,'OEE AHV'!$D:$D,'AHV-03'!$A$1)</f>
        <v>16879</v>
      </c>
      <c r="L21" s="38">
        <f t="shared" si="5"/>
        <v>1</v>
      </c>
      <c r="M21" s="38">
        <f t="shared" si="10"/>
        <v>0.99</v>
      </c>
      <c r="N21" s="41" t="s">
        <v>118</v>
      </c>
      <c r="O21" s="38">
        <f t="shared" si="6"/>
        <v>1</v>
      </c>
      <c r="P21" s="38">
        <f t="shared" si="11"/>
        <v>1</v>
      </c>
      <c r="Q21" s="38">
        <f t="shared" si="13"/>
        <v>0.96110603805916295</v>
      </c>
      <c r="R21" s="38">
        <f t="shared" si="13"/>
        <v>0.9405</v>
      </c>
      <c r="S21" s="42">
        <f>ROUNDUP((('AHV-03'!$F21/480)/3),"0")</f>
        <v>1</v>
      </c>
      <c r="T21" s="43">
        <f t="shared" si="8"/>
        <v>16879</v>
      </c>
      <c r="U21" s="33" t="str">
        <f t="shared" si="12"/>
        <v>FY2025_MLS_Spindle Motor_Spindle Motor(FDB UNIT)_Bang Pa-in</v>
      </c>
    </row>
    <row r="22" spans="1:21" ht="18.75">
      <c r="A22" s="44">
        <v>46077</v>
      </c>
      <c r="B22" s="34">
        <f>SUMIFS('OEE AHV'!J:J,'OEE AHV'!$B:$B,'AHV-03'!$A22,'OEE AHV'!$D:$D,'AHV-03'!$A$1)</f>
        <v>106.56640625</v>
      </c>
      <c r="C22" s="35">
        <f t="shared" si="0"/>
        <v>101.34887695312501</v>
      </c>
      <c r="D22" s="34">
        <f t="shared" si="1"/>
        <v>34</v>
      </c>
      <c r="E22" s="36">
        <f t="shared" si="2"/>
        <v>31.5</v>
      </c>
      <c r="F22" s="34">
        <f>SUMIFS('OEE AHV'!M:M,'OEE AHV'!$B:$B,'AHV-03'!$A22,'OEE AHV'!$D:$D,'AHV-03'!$A$1)</f>
        <v>1229.43359375</v>
      </c>
      <c r="G22" s="37">
        <f t="shared" si="3"/>
        <v>165</v>
      </c>
      <c r="H22" s="38">
        <f t="shared" si="4"/>
        <v>0.96426164215686272</v>
      </c>
      <c r="I22" s="38">
        <f t="shared" si="9"/>
        <v>0.95</v>
      </c>
      <c r="J22" s="39"/>
      <c r="K22" s="40">
        <f>SUMIFS('OEE AHV'!Q:Q,'OEE AHV'!$B:$B,'AHV-03'!$A22,'OEE AHV'!$D:$D,'AHV-03'!$A$1)</f>
        <v>17898</v>
      </c>
      <c r="L22" s="38">
        <f t="shared" si="5"/>
        <v>1</v>
      </c>
      <c r="M22" s="38">
        <f t="shared" si="10"/>
        <v>0.99</v>
      </c>
      <c r="N22" s="41" t="s">
        <v>118</v>
      </c>
      <c r="O22" s="38">
        <f t="shared" si="6"/>
        <v>1</v>
      </c>
      <c r="P22" s="38">
        <f t="shared" si="11"/>
        <v>1</v>
      </c>
      <c r="Q22" s="38">
        <f t="shared" si="13"/>
        <v>0.96426164215686272</v>
      </c>
      <c r="R22" s="38">
        <f t="shared" si="13"/>
        <v>0.9405</v>
      </c>
      <c r="S22" s="42">
        <f>ROUNDUP((('AHV-03'!$F22/480)/3),"0")</f>
        <v>1</v>
      </c>
      <c r="T22" s="43">
        <f t="shared" si="8"/>
        <v>17898</v>
      </c>
      <c r="U22" s="33" t="str">
        <f t="shared" si="12"/>
        <v>FY2025_MLS_Spindle Motor_Spindle Motor(FDB UNIT)_Bang Pa-in</v>
      </c>
    </row>
    <row r="23" spans="1:21" ht="18.75">
      <c r="A23" s="44">
        <v>46078</v>
      </c>
      <c r="B23" s="34">
        <f>SUMIFS('OEE AHV'!J:J,'OEE AHV'!$B:$B,'AHV-03'!$A23,'OEE AHV'!$D:$D,'AHV-03'!$A$1)</f>
        <v>113.552734375</v>
      </c>
      <c r="C23" s="35">
        <f t="shared" si="0"/>
        <v>101.34887695312501</v>
      </c>
      <c r="D23" s="34">
        <f t="shared" si="1"/>
        <v>36</v>
      </c>
      <c r="E23" s="36">
        <f t="shared" si="2"/>
        <v>31.5</v>
      </c>
      <c r="F23" s="34">
        <f>SUMIFS('OEE AHV'!M:M,'OEE AHV'!$B:$B,'AHV-03'!$A23,'OEE AHV'!$D:$D,'AHV-03'!$A$1)</f>
        <v>1326.447265625</v>
      </c>
      <c r="G23" s="37">
        <f t="shared" si="3"/>
        <v>67</v>
      </c>
      <c r="H23" s="38">
        <f t="shared" si="4"/>
        <v>0.96609414830662788</v>
      </c>
      <c r="I23" s="38">
        <f t="shared" si="9"/>
        <v>0.95</v>
      </c>
      <c r="J23" s="39"/>
      <c r="K23" s="40">
        <f>SUMIFS('OEE AHV'!Q:Q,'OEE AHV'!$B:$B,'AHV-03'!$A23,'OEE AHV'!$D:$D,'AHV-03'!$A$1)</f>
        <v>19431</v>
      </c>
      <c r="L23" s="38">
        <f t="shared" si="5"/>
        <v>1</v>
      </c>
      <c r="M23" s="38">
        <f t="shared" si="10"/>
        <v>0.99</v>
      </c>
      <c r="N23" s="41" t="s">
        <v>118</v>
      </c>
      <c r="O23" s="38">
        <f t="shared" si="6"/>
        <v>1</v>
      </c>
      <c r="P23" s="38">
        <f t="shared" si="11"/>
        <v>1</v>
      </c>
      <c r="Q23" s="38">
        <f t="shared" si="13"/>
        <v>0.96609414830662788</v>
      </c>
      <c r="R23" s="38">
        <f t="shared" si="13"/>
        <v>0.9405</v>
      </c>
      <c r="S23" s="42">
        <f>ROUNDUP((('AHV-03'!$F23/480)/3),"0")</f>
        <v>1</v>
      </c>
      <c r="T23" s="43">
        <f t="shared" si="8"/>
        <v>19431</v>
      </c>
      <c r="U23" s="33" t="str">
        <f t="shared" si="12"/>
        <v>FY2025_MLS_Spindle Motor_Spindle Motor(FDB UNIT)_Bang Pa-in</v>
      </c>
    </row>
    <row r="24" spans="1:21" ht="18.75">
      <c r="A24" s="44">
        <v>46079</v>
      </c>
      <c r="B24" s="34">
        <f>SUMIFS('OEE AHV'!J:J,'OEE AHV'!$B:$B,'AHV-03'!$A24,'OEE AHV'!$D:$D,'AHV-03'!$A$1)</f>
        <v>111.23763020833333</v>
      </c>
      <c r="C24" s="35">
        <f t="shared" si="0"/>
        <v>101.34887695312501</v>
      </c>
      <c r="D24" s="34">
        <f t="shared" si="1"/>
        <v>35</v>
      </c>
      <c r="E24" s="36">
        <f t="shared" si="2"/>
        <v>31.5</v>
      </c>
      <c r="F24" s="34">
        <f>SUMIFS('OEE AHV'!M:M,'OEE AHV'!$B:$B,'AHV-03'!$A24,'OEE AHV'!$D:$D,'AHV-03'!$A$1)</f>
        <v>1279.7623697916667</v>
      </c>
      <c r="G24" s="37">
        <f t="shared" si="3"/>
        <v>114</v>
      </c>
      <c r="H24" s="38">
        <f t="shared" si="4"/>
        <v>0.96512999230140784</v>
      </c>
      <c r="I24" s="38">
        <f t="shared" si="9"/>
        <v>0.95</v>
      </c>
      <c r="J24" s="39"/>
      <c r="K24" s="40">
        <f>SUMIFS('OEE AHV'!Q:Q,'OEE AHV'!$B:$B,'AHV-03'!$A24,'OEE AHV'!$D:$D,'AHV-03'!$A$1)</f>
        <v>18923</v>
      </c>
      <c r="L24" s="38">
        <f t="shared" si="5"/>
        <v>1</v>
      </c>
      <c r="M24" s="38">
        <f t="shared" si="10"/>
        <v>0.99</v>
      </c>
      <c r="N24" s="41" t="s">
        <v>118</v>
      </c>
      <c r="O24" s="38">
        <f t="shared" si="6"/>
        <v>1</v>
      </c>
      <c r="P24" s="38">
        <f t="shared" si="11"/>
        <v>1</v>
      </c>
      <c r="Q24" s="38">
        <f t="shared" si="13"/>
        <v>0.96512999230140784</v>
      </c>
      <c r="R24" s="38">
        <f t="shared" si="13"/>
        <v>0.9405</v>
      </c>
      <c r="S24" s="42">
        <f>ROUNDUP((('AHV-03'!$F24/480)/3),"0")</f>
        <v>1</v>
      </c>
      <c r="T24" s="43">
        <f t="shared" si="8"/>
        <v>18923</v>
      </c>
      <c r="U24" s="33" t="str">
        <f t="shared" si="12"/>
        <v>FY2025_MLS_Spindle Motor_Spindle Motor(FDB UNIT)_Bang Pa-in</v>
      </c>
    </row>
    <row r="25" spans="1:21" ht="18.75">
      <c r="A25" s="44">
        <v>46080</v>
      </c>
      <c r="B25" s="34">
        <f>SUMIFS('OEE AHV'!J:J,'OEE AHV'!$B:$B,'AHV-03'!$A25,'OEE AHV'!$D:$D,'AHV-03'!$A$1)</f>
        <v>113.580078125</v>
      </c>
      <c r="C25" s="35">
        <f t="shared" si="0"/>
        <v>101.34887695312501</v>
      </c>
      <c r="D25" s="34">
        <f t="shared" si="1"/>
        <v>36</v>
      </c>
      <c r="E25" s="36">
        <f t="shared" si="2"/>
        <v>31.5</v>
      </c>
      <c r="F25" s="34">
        <f>SUMIFS('OEE AHV'!M:M,'OEE AHV'!$B:$B,'AHV-03'!$A25,'OEE AHV'!$D:$D,'AHV-03'!$A$1)</f>
        <v>1326.419921875</v>
      </c>
      <c r="G25" s="37">
        <f t="shared" si="3"/>
        <v>67</v>
      </c>
      <c r="H25" s="38">
        <f t="shared" si="4"/>
        <v>0.96607423297523676</v>
      </c>
      <c r="I25" s="38">
        <f t="shared" si="9"/>
        <v>0.95</v>
      </c>
      <c r="J25" s="39"/>
      <c r="K25" s="40">
        <f>SUMIFS('OEE AHV'!Q:Q,'OEE AHV'!$B:$B,'AHV-03'!$A25,'OEE AHV'!$D:$D,'AHV-03'!$A$1)</f>
        <v>19437</v>
      </c>
      <c r="L25" s="38">
        <f t="shared" si="5"/>
        <v>1</v>
      </c>
      <c r="M25" s="38">
        <f t="shared" si="10"/>
        <v>0.99</v>
      </c>
      <c r="N25" s="41" t="s">
        <v>118</v>
      </c>
      <c r="O25" s="38">
        <f t="shared" si="6"/>
        <v>1</v>
      </c>
      <c r="P25" s="38">
        <f t="shared" si="11"/>
        <v>1</v>
      </c>
      <c r="Q25" s="38">
        <f t="shared" si="13"/>
        <v>0.96607423297523676</v>
      </c>
      <c r="R25" s="38">
        <f t="shared" si="13"/>
        <v>0.9405</v>
      </c>
      <c r="S25" s="42">
        <f>ROUNDUP((('AHV-03'!$F25/480)/3),"0")</f>
        <v>1</v>
      </c>
      <c r="T25" s="43">
        <f t="shared" si="8"/>
        <v>19437</v>
      </c>
      <c r="U25" s="33" t="str">
        <f t="shared" si="12"/>
        <v>FY2025_MLS_Spindle Motor_Spindle Motor(FDB UNIT)_Bang Pa-in</v>
      </c>
    </row>
    <row r="26" spans="1:21" ht="18.7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8"/>
      <c r="T26" s="45"/>
      <c r="U26" s="45"/>
    </row>
    <row r="27" spans="1:21" ht="18.7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8"/>
      <c r="T27" s="45"/>
      <c r="U27" s="45"/>
    </row>
    <row r="28" spans="1:21" ht="18.7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8"/>
      <c r="T28" s="45"/>
      <c r="U28" s="45"/>
    </row>
    <row r="29" spans="1:21" ht="18.7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8"/>
      <c r="T29" s="45"/>
      <c r="U29" s="45"/>
    </row>
    <row r="30" spans="1:21" ht="18.7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8"/>
      <c r="T30" s="45"/>
      <c r="U30" s="45"/>
    </row>
    <row r="31" spans="1:21" ht="18.7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8"/>
      <c r="T31" s="45"/>
      <c r="U31" s="45"/>
    </row>
    <row r="32" spans="1:21" ht="18.7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8"/>
      <c r="T32" s="45"/>
      <c r="U32" s="45"/>
    </row>
    <row r="33" spans="1:21" ht="18.7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8"/>
      <c r="T33" s="45"/>
      <c r="U33" s="45"/>
    </row>
    <row r="34" spans="1:21" ht="18.7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8"/>
      <c r="T34" s="45"/>
      <c r="U34" s="45"/>
    </row>
    <row r="35" spans="1:21" ht="18.7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8"/>
      <c r="T35" s="45"/>
      <c r="U35" s="45"/>
    </row>
    <row r="36" spans="1:21" ht="18.7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8"/>
      <c r="T36" s="45"/>
      <c r="U36" s="45"/>
    </row>
    <row r="37" spans="1:21" ht="18.7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8"/>
      <c r="T37" s="45"/>
      <c r="U37" s="45"/>
    </row>
    <row r="38" spans="1:21" ht="18.7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8"/>
      <c r="T38" s="45"/>
      <c r="U38" s="45"/>
    </row>
    <row r="39" spans="1:21" ht="18.7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8"/>
      <c r="T39" s="45"/>
      <c r="U39" s="45"/>
    </row>
    <row r="40" spans="1:21" ht="18.7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8"/>
      <c r="T40" s="45"/>
      <c r="U40" s="45"/>
    </row>
    <row r="41" spans="1:21" ht="18.7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8"/>
      <c r="T41" s="45"/>
      <c r="U41" s="45"/>
    </row>
    <row r="42" spans="1:21" ht="18.7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8"/>
      <c r="T42" s="45"/>
      <c r="U42" s="45"/>
    </row>
    <row r="43" spans="1:21" ht="18.7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8"/>
      <c r="T43" s="45"/>
      <c r="U43" s="45"/>
    </row>
    <row r="44" spans="1:21" ht="18.7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8"/>
      <c r="T44" s="45"/>
      <c r="U44" s="45"/>
    </row>
    <row r="45" spans="1:21" ht="18.7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8"/>
      <c r="T45" s="45"/>
      <c r="U45" s="45"/>
    </row>
    <row r="46" spans="1:21" ht="18.7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8"/>
      <c r="T46" s="45"/>
      <c r="U46" s="45"/>
    </row>
    <row r="47" spans="1:21" ht="18.7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8"/>
      <c r="T47" s="45"/>
      <c r="U47" s="45"/>
    </row>
    <row r="48" spans="1:21" ht="18.7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8"/>
      <c r="T48" s="45"/>
      <c r="U48" s="45"/>
    </row>
    <row r="49" spans="1:21" ht="18.7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8"/>
      <c r="T49" s="45"/>
      <c r="U49" s="45"/>
    </row>
    <row r="50" spans="1:21" ht="18.7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8"/>
      <c r="T50" s="45"/>
      <c r="U50" s="45"/>
    </row>
    <row r="51" spans="1:21" ht="18.7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8"/>
      <c r="T51" s="45"/>
      <c r="U51" s="45"/>
    </row>
    <row r="52" spans="1:21" ht="18.7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8"/>
      <c r="T52" s="45"/>
      <c r="U52" s="45"/>
    </row>
    <row r="53" spans="1:21" ht="18.7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8"/>
      <c r="T53" s="45"/>
      <c r="U53" s="45"/>
    </row>
    <row r="54" spans="1:21" ht="18.7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8"/>
      <c r="T54" s="45"/>
      <c r="U54" s="45"/>
    </row>
    <row r="55" spans="1:21" ht="18.7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8"/>
      <c r="T55" s="45"/>
      <c r="U55" s="45"/>
    </row>
    <row r="56" spans="1:21" ht="18.7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8"/>
      <c r="T56" s="45"/>
      <c r="U56" s="45"/>
    </row>
    <row r="57" spans="1:21" ht="18.7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8"/>
      <c r="T57" s="45"/>
      <c r="U57" s="45"/>
    </row>
    <row r="58" spans="1:21" ht="18.7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8"/>
      <c r="T58" s="45"/>
      <c r="U58" s="45"/>
    </row>
    <row r="59" spans="1:21" ht="18.7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8"/>
      <c r="T59" s="45"/>
      <c r="U59" s="45"/>
    </row>
    <row r="60" spans="1:21" ht="18.7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8"/>
      <c r="T60" s="45"/>
      <c r="U60" s="45"/>
    </row>
    <row r="61" spans="1:21" ht="18.7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8"/>
      <c r="T61" s="45"/>
      <c r="U61" s="45"/>
    </row>
    <row r="62" spans="1:21" ht="18.7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8"/>
      <c r="T62" s="45"/>
      <c r="U62" s="45"/>
    </row>
    <row r="63" spans="1:21" ht="18.7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8"/>
      <c r="T63" s="45"/>
      <c r="U63" s="45"/>
    </row>
    <row r="64" spans="1:21" ht="18.7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8"/>
      <c r="T64" s="45"/>
      <c r="U64" s="45"/>
    </row>
    <row r="65" spans="1:21" ht="18.7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8"/>
      <c r="T65" s="45"/>
      <c r="U65" s="45"/>
    </row>
    <row r="66" spans="1:21" ht="18.7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8"/>
      <c r="T66" s="45"/>
      <c r="U66" s="45"/>
    </row>
    <row r="67" spans="1:21" ht="18.7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8"/>
      <c r="T67" s="45"/>
      <c r="U67" s="45"/>
    </row>
    <row r="68" spans="1:21" ht="18.7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8"/>
      <c r="T68" s="45"/>
      <c r="U68" s="45"/>
    </row>
    <row r="69" spans="1:21" ht="18.7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8"/>
      <c r="T69" s="45"/>
      <c r="U69" s="45"/>
    </row>
    <row r="70" spans="1:21" ht="18.7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8"/>
      <c r="T70" s="45"/>
      <c r="U70" s="45"/>
    </row>
    <row r="71" spans="1:21" ht="18.7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8"/>
      <c r="T71" s="45"/>
      <c r="U71" s="45"/>
    </row>
    <row r="72" spans="1:21" ht="18.7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8"/>
      <c r="T72" s="45"/>
      <c r="U72" s="45"/>
    </row>
    <row r="73" spans="1:21" ht="18.7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8"/>
      <c r="T73" s="45"/>
      <c r="U73" s="45"/>
    </row>
    <row r="74" spans="1:21" ht="18.7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8"/>
      <c r="T74" s="45"/>
      <c r="U74" s="45"/>
    </row>
    <row r="75" spans="1:21" ht="18.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8"/>
      <c r="T75" s="45"/>
      <c r="U75" s="45"/>
    </row>
    <row r="76" spans="1:21" ht="18.7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8"/>
      <c r="T76" s="45"/>
      <c r="U76" s="45"/>
    </row>
    <row r="77" spans="1:21" ht="18.7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8"/>
      <c r="T77" s="45"/>
      <c r="U77" s="45"/>
    </row>
    <row r="78" spans="1:21" ht="18.7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8"/>
      <c r="T78" s="45"/>
      <c r="U78" s="45"/>
    </row>
    <row r="79" spans="1:21" ht="18.7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8"/>
      <c r="T79" s="45"/>
      <c r="U79" s="45"/>
    </row>
    <row r="80" spans="1:21" ht="18.7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8"/>
      <c r="T80" s="45"/>
      <c r="U80" s="45"/>
    </row>
    <row r="81" spans="1:21" ht="18.7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8"/>
      <c r="T81" s="45"/>
      <c r="U81" s="45"/>
    </row>
    <row r="82" spans="1:21" ht="18.7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8"/>
      <c r="T82" s="45"/>
      <c r="U82" s="45"/>
    </row>
    <row r="83" spans="1:21" ht="18.7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8"/>
      <c r="T83" s="45"/>
      <c r="U83" s="45"/>
    </row>
    <row r="84" spans="1:21" ht="18.7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8"/>
      <c r="T84" s="45"/>
      <c r="U84" s="45"/>
    </row>
    <row r="85" spans="1:21" ht="18.7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8"/>
      <c r="T85" s="45"/>
      <c r="U85" s="45"/>
    </row>
    <row r="86" spans="1:21" ht="18.7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8"/>
      <c r="T86" s="45"/>
      <c r="U86" s="45"/>
    </row>
    <row r="87" spans="1:21" ht="18.7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8"/>
      <c r="T87" s="45"/>
      <c r="U87" s="45"/>
    </row>
    <row r="88" spans="1:21" ht="18.7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8"/>
      <c r="T88" s="45"/>
      <c r="U88" s="45"/>
    </row>
    <row r="89" spans="1:21" ht="18.7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8"/>
      <c r="T89" s="45"/>
      <c r="U89" s="45"/>
    </row>
    <row r="90" spans="1:21" ht="18.7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8"/>
      <c r="T90" s="45"/>
      <c r="U90" s="45"/>
    </row>
    <row r="91" spans="1:21" ht="18.7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8"/>
      <c r="T91" s="45"/>
      <c r="U91" s="45"/>
    </row>
    <row r="92" spans="1:21" ht="18.7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8"/>
      <c r="T92" s="45"/>
      <c r="U92" s="45"/>
    </row>
    <row r="93" spans="1:21" ht="18.7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8"/>
      <c r="T93" s="45"/>
      <c r="U93" s="45"/>
    </row>
    <row r="94" spans="1:21" ht="18.7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8"/>
      <c r="T94" s="45"/>
      <c r="U94" s="45"/>
    </row>
    <row r="95" spans="1:21" ht="18.7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8"/>
      <c r="T95" s="45"/>
      <c r="U95" s="45"/>
    </row>
    <row r="96" spans="1:21" ht="18.7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8"/>
      <c r="T96" s="45"/>
      <c r="U96" s="45"/>
    </row>
    <row r="97" spans="1:21" ht="18.7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8"/>
      <c r="T97" s="45"/>
      <c r="U97" s="45"/>
    </row>
    <row r="98" spans="1:21" ht="18.7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8"/>
      <c r="T98" s="45"/>
      <c r="U98" s="45"/>
    </row>
    <row r="99" spans="1:21" ht="18.7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8"/>
      <c r="T99" s="45"/>
      <c r="U99" s="45"/>
    </row>
    <row r="100" spans="1:21" ht="18.7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8"/>
      <c r="T100" s="45"/>
      <c r="U100" s="45"/>
    </row>
    <row r="101" spans="1:21" ht="18.7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8"/>
      <c r="T101" s="45"/>
      <c r="U101" s="45"/>
    </row>
    <row r="102" spans="1:21" ht="18.7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8"/>
      <c r="T102" s="45"/>
      <c r="U102" s="45"/>
    </row>
    <row r="103" spans="1:21" ht="18.7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8"/>
      <c r="T103" s="45"/>
      <c r="U103" s="45"/>
    </row>
    <row r="104" spans="1:21" ht="18.7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8"/>
      <c r="T104" s="45"/>
      <c r="U104" s="45"/>
    </row>
    <row r="105" spans="1:21" ht="18.7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8"/>
      <c r="T105" s="45"/>
      <c r="U105" s="45"/>
    </row>
    <row r="106" spans="1:21" ht="18.7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8"/>
      <c r="T106" s="45"/>
      <c r="U106" s="45"/>
    </row>
    <row r="107" spans="1:21" ht="18.7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8"/>
      <c r="T107" s="45"/>
      <c r="U107" s="45"/>
    </row>
    <row r="108" spans="1:21" ht="18.7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8"/>
      <c r="T108" s="45"/>
      <c r="U108" s="45"/>
    </row>
    <row r="109" spans="1:21" ht="18.7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8"/>
      <c r="T109" s="45"/>
      <c r="U109" s="45"/>
    </row>
    <row r="110" spans="1:21" ht="18.7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8"/>
      <c r="T110" s="45"/>
      <c r="U110" s="45"/>
    </row>
    <row r="111" spans="1:21" ht="18.7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8"/>
      <c r="T111" s="45"/>
      <c r="U111" s="45"/>
    </row>
    <row r="112" spans="1:21" ht="18.7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8"/>
      <c r="T112" s="45"/>
      <c r="U112" s="45"/>
    </row>
    <row r="113" spans="1:21" ht="18.7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8"/>
      <c r="T113" s="45"/>
      <c r="U113" s="45"/>
    </row>
    <row r="114" spans="1:21" ht="18.7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8"/>
      <c r="T114" s="45"/>
      <c r="U114" s="45"/>
    </row>
    <row r="115" spans="1:21" ht="18.7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8"/>
      <c r="T115" s="45"/>
      <c r="U115" s="45"/>
    </row>
    <row r="116" spans="1:21" ht="18.7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8"/>
      <c r="T116" s="45"/>
      <c r="U116" s="45"/>
    </row>
    <row r="117" spans="1:21" ht="18.7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8"/>
      <c r="T117" s="45"/>
      <c r="U117" s="45"/>
    </row>
    <row r="118" spans="1:21" ht="18.7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8"/>
      <c r="T118" s="45"/>
      <c r="U118" s="45"/>
    </row>
    <row r="119" spans="1:21" ht="18.7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8"/>
      <c r="T119" s="45"/>
      <c r="U119" s="45"/>
    </row>
    <row r="120" spans="1:21" ht="18.7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8"/>
      <c r="T120" s="45"/>
      <c r="U120" s="45"/>
    </row>
    <row r="121" spans="1:21" ht="18.7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8"/>
      <c r="T121" s="45"/>
      <c r="U121" s="45"/>
    </row>
    <row r="122" spans="1:21" ht="18.7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8"/>
      <c r="T122" s="45"/>
      <c r="U122" s="45"/>
    </row>
    <row r="123" spans="1:21" ht="18.7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8"/>
      <c r="T123" s="45"/>
      <c r="U123" s="45"/>
    </row>
    <row r="124" spans="1:21" ht="18.7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8"/>
      <c r="T124" s="45"/>
      <c r="U124" s="45"/>
    </row>
    <row r="125" spans="1:21" ht="18.7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8"/>
      <c r="T125" s="45"/>
      <c r="U125" s="45"/>
    </row>
    <row r="126" spans="1:21" ht="18.7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8"/>
      <c r="T126" s="45"/>
      <c r="U126" s="45"/>
    </row>
    <row r="127" spans="1:21" ht="18.7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8"/>
      <c r="T127" s="45"/>
      <c r="U127" s="45"/>
    </row>
    <row r="128" spans="1:21" ht="18.7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8"/>
      <c r="T128" s="45"/>
      <c r="U128" s="45"/>
    </row>
    <row r="129" spans="1:21" ht="18.7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8"/>
      <c r="T129" s="45"/>
      <c r="U129" s="45"/>
    </row>
    <row r="130" spans="1:21" ht="18.7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8"/>
      <c r="T130" s="45"/>
      <c r="U130" s="45"/>
    </row>
    <row r="131" spans="1:21" ht="18.7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8"/>
      <c r="T131" s="45"/>
      <c r="U131" s="45"/>
    </row>
    <row r="132" spans="1:21" ht="18.7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8"/>
      <c r="T132" s="45"/>
      <c r="U132" s="45"/>
    </row>
    <row r="133" spans="1:21" ht="18.7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8"/>
      <c r="T133" s="45"/>
      <c r="U133" s="45"/>
    </row>
    <row r="134" spans="1:21" ht="18.7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8"/>
      <c r="T134" s="45"/>
      <c r="U134" s="45"/>
    </row>
    <row r="135" spans="1:21" ht="18.7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8"/>
      <c r="T135" s="45"/>
      <c r="U135" s="45"/>
    </row>
    <row r="136" spans="1:21" ht="18.7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8"/>
      <c r="T136" s="45"/>
      <c r="U136" s="45"/>
    </row>
    <row r="137" spans="1:21" ht="18.7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8"/>
      <c r="T137" s="45"/>
      <c r="U137" s="45"/>
    </row>
    <row r="138" spans="1:21" ht="18.7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8"/>
      <c r="T138" s="45"/>
      <c r="U138" s="45"/>
    </row>
    <row r="139" spans="1:21" ht="18.7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8"/>
      <c r="T139" s="45"/>
      <c r="U139" s="45"/>
    </row>
    <row r="140" spans="1:21" ht="18.7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8"/>
      <c r="T140" s="45"/>
      <c r="U140" s="45"/>
    </row>
    <row r="141" spans="1:21" ht="18.7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8"/>
      <c r="T141" s="45"/>
      <c r="U141" s="45"/>
    </row>
    <row r="142" spans="1:21" ht="18.7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8"/>
      <c r="T142" s="45"/>
      <c r="U142" s="45"/>
    </row>
    <row r="143" spans="1:21" ht="18.7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8"/>
      <c r="T143" s="45"/>
      <c r="U143" s="45"/>
    </row>
    <row r="144" spans="1:21" ht="18.7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8"/>
      <c r="T144" s="45"/>
      <c r="U144" s="45"/>
    </row>
    <row r="145" spans="1:21" ht="18.7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8"/>
      <c r="T145" s="45"/>
      <c r="U145" s="45"/>
    </row>
    <row r="146" spans="1:21" ht="18.7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8"/>
      <c r="T146" s="45"/>
      <c r="U146" s="45"/>
    </row>
    <row r="147" spans="1:21" ht="18.7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8"/>
      <c r="T147" s="45"/>
      <c r="U147" s="45"/>
    </row>
    <row r="148" spans="1:21" ht="18.7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8"/>
      <c r="T148" s="45"/>
      <c r="U148" s="45"/>
    </row>
    <row r="149" spans="1:21" ht="18.7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8"/>
      <c r="T149" s="45"/>
      <c r="U149" s="45"/>
    </row>
    <row r="150" spans="1:21" ht="18.7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8"/>
      <c r="T150" s="45"/>
      <c r="U150" s="45"/>
    </row>
    <row r="151" spans="1:21" ht="18.7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8"/>
      <c r="T151" s="45"/>
      <c r="U151" s="45"/>
    </row>
    <row r="152" spans="1:21" ht="18.7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8"/>
      <c r="T152" s="45"/>
      <c r="U152" s="45"/>
    </row>
    <row r="153" spans="1:21" ht="18.7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8"/>
      <c r="T153" s="45"/>
      <c r="U153" s="45"/>
    </row>
    <row r="154" spans="1:21" ht="18.7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8"/>
      <c r="T154" s="45"/>
      <c r="U154" s="45"/>
    </row>
    <row r="155" spans="1:21" ht="18.7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8"/>
      <c r="T155" s="45"/>
      <c r="U155" s="45"/>
    </row>
    <row r="156" spans="1:21" ht="18.7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8"/>
      <c r="T156" s="45"/>
      <c r="U156" s="45"/>
    </row>
    <row r="157" spans="1:21" ht="18.7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8"/>
      <c r="T157" s="45"/>
      <c r="U157" s="45"/>
    </row>
    <row r="158" spans="1:21" ht="18.7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8"/>
      <c r="T158" s="45"/>
      <c r="U158" s="45"/>
    </row>
    <row r="159" spans="1:21" ht="18.7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8"/>
      <c r="T159" s="45"/>
      <c r="U159" s="45"/>
    </row>
    <row r="160" spans="1:21" ht="18.7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8"/>
      <c r="T160" s="45"/>
      <c r="U160" s="45"/>
    </row>
    <row r="161" spans="1:21" ht="18.7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8"/>
      <c r="T161" s="45"/>
      <c r="U161" s="45"/>
    </row>
    <row r="162" spans="1:21" ht="18.7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8"/>
      <c r="T162" s="45"/>
      <c r="U162" s="45"/>
    </row>
    <row r="163" spans="1:21" ht="18.7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8"/>
      <c r="T163" s="45"/>
      <c r="U163" s="45"/>
    </row>
    <row r="164" spans="1:21" ht="18.7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8"/>
      <c r="T164" s="45"/>
      <c r="U164" s="45"/>
    </row>
    <row r="165" spans="1:21" ht="18.7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8"/>
      <c r="T165" s="45"/>
      <c r="U165" s="45"/>
    </row>
    <row r="166" spans="1:21" ht="18.7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8"/>
      <c r="T166" s="45"/>
      <c r="U166" s="45"/>
    </row>
    <row r="167" spans="1:21" ht="18.7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8"/>
      <c r="T167" s="45"/>
      <c r="U167" s="45"/>
    </row>
    <row r="168" spans="1:21" ht="18.7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8"/>
      <c r="T168" s="45"/>
      <c r="U168" s="45"/>
    </row>
    <row r="169" spans="1:21" ht="18.7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8"/>
      <c r="T169" s="45"/>
      <c r="U169" s="45"/>
    </row>
    <row r="170" spans="1:21" ht="18.7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8"/>
      <c r="T170" s="45"/>
      <c r="U170" s="45"/>
    </row>
    <row r="171" spans="1:21" ht="18.7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8"/>
      <c r="T171" s="45"/>
      <c r="U171" s="45"/>
    </row>
    <row r="172" spans="1:21" ht="18.7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8"/>
      <c r="T172" s="45"/>
      <c r="U172" s="45"/>
    </row>
    <row r="173" spans="1:21" ht="18.7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8"/>
      <c r="T173" s="45"/>
      <c r="U173" s="45"/>
    </row>
    <row r="174" spans="1:21" ht="18.7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8"/>
      <c r="T174" s="45"/>
      <c r="U174" s="45"/>
    </row>
    <row r="175" spans="1:21" ht="18.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8"/>
      <c r="T175" s="45"/>
      <c r="U175" s="45"/>
    </row>
    <row r="176" spans="1:21" ht="18.7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8"/>
      <c r="T176" s="45"/>
      <c r="U176" s="45"/>
    </row>
    <row r="177" spans="1:21" ht="18.7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8"/>
      <c r="T177" s="45"/>
      <c r="U177" s="45"/>
    </row>
    <row r="178" spans="1:21" ht="18.7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8"/>
      <c r="T178" s="45"/>
      <c r="U178" s="45"/>
    </row>
    <row r="179" spans="1:21" ht="18.7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8"/>
      <c r="T179" s="45"/>
      <c r="U179" s="45"/>
    </row>
    <row r="180" spans="1:21" ht="18.7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8"/>
      <c r="T180" s="45"/>
      <c r="U180" s="45"/>
    </row>
    <row r="181" spans="1:21" ht="18.7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8"/>
      <c r="T181" s="45"/>
      <c r="U181" s="45"/>
    </row>
    <row r="182" spans="1:21" ht="18.7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8"/>
      <c r="T182" s="45"/>
      <c r="U182" s="45"/>
    </row>
    <row r="183" spans="1:21" ht="18.7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8"/>
      <c r="T183" s="45"/>
      <c r="U183" s="45"/>
    </row>
    <row r="184" spans="1:21" ht="18.7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8"/>
      <c r="T184" s="45"/>
      <c r="U184" s="45"/>
    </row>
    <row r="185" spans="1:21" ht="18.7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8"/>
      <c r="T185" s="45"/>
      <c r="U185" s="45"/>
    </row>
    <row r="186" spans="1:21" ht="18.7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8"/>
      <c r="T186" s="45"/>
      <c r="U186" s="45"/>
    </row>
    <row r="187" spans="1:21" ht="18.7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8"/>
      <c r="T187" s="45"/>
      <c r="U187" s="45"/>
    </row>
    <row r="188" spans="1:21" ht="18.7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8"/>
      <c r="T188" s="45"/>
      <c r="U188" s="45"/>
    </row>
    <row r="189" spans="1:21" ht="18.7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8"/>
      <c r="T189" s="45"/>
      <c r="U189" s="45"/>
    </row>
    <row r="190" spans="1:21" ht="18.7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8"/>
      <c r="T190" s="45"/>
      <c r="U190" s="45"/>
    </row>
    <row r="191" spans="1:21" ht="18.7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8"/>
      <c r="T191" s="45"/>
      <c r="U191" s="45"/>
    </row>
    <row r="192" spans="1:21" ht="18.7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8"/>
      <c r="T192" s="45"/>
      <c r="U192" s="45"/>
    </row>
    <row r="193" spans="1:21" ht="18.7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8"/>
      <c r="T193" s="45"/>
      <c r="U193" s="45"/>
    </row>
    <row r="194" spans="1:21" ht="18.7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8"/>
      <c r="T194" s="45"/>
      <c r="U194" s="45"/>
    </row>
    <row r="195" spans="1:21" ht="18.7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8"/>
      <c r="T195" s="45"/>
      <c r="U195" s="45"/>
    </row>
    <row r="196" spans="1:21" ht="18.7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8"/>
      <c r="T196" s="45"/>
      <c r="U196" s="45"/>
    </row>
    <row r="197" spans="1:21" ht="18.7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8"/>
      <c r="T197" s="45"/>
      <c r="U197" s="45"/>
    </row>
    <row r="198" spans="1:21" ht="18.7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8"/>
      <c r="T198" s="45"/>
      <c r="U198" s="45"/>
    </row>
    <row r="199" spans="1:21" ht="18.7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8"/>
      <c r="T199" s="45"/>
      <c r="U199" s="45"/>
    </row>
    <row r="200" spans="1:21" ht="18.7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8"/>
      <c r="T200" s="45"/>
      <c r="U200" s="45"/>
    </row>
    <row r="201" spans="1:21" ht="18.7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8"/>
      <c r="T201" s="45"/>
      <c r="U201" s="45"/>
    </row>
    <row r="202" spans="1:21" ht="18.7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8"/>
      <c r="T202" s="45"/>
      <c r="U202" s="45"/>
    </row>
    <row r="203" spans="1:21" ht="18.7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8"/>
      <c r="T203" s="45"/>
      <c r="U203" s="45"/>
    </row>
    <row r="204" spans="1:21" ht="18.7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8"/>
      <c r="T204" s="45"/>
      <c r="U204" s="45"/>
    </row>
    <row r="205" spans="1:21" ht="18.7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8"/>
      <c r="T205" s="45"/>
      <c r="U205" s="45"/>
    </row>
    <row r="206" spans="1:21" ht="18.7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8"/>
      <c r="T206" s="45"/>
      <c r="U206" s="45"/>
    </row>
    <row r="207" spans="1:21" ht="18.7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8"/>
      <c r="T207" s="45"/>
      <c r="U207" s="45"/>
    </row>
    <row r="208" spans="1:21" ht="18.7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8"/>
      <c r="T208" s="45"/>
      <c r="U208" s="45"/>
    </row>
    <row r="209" spans="1:21" ht="18.7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8"/>
      <c r="T209" s="45"/>
      <c r="U209" s="45"/>
    </row>
    <row r="210" spans="1:21" ht="18.7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8"/>
      <c r="T210" s="45"/>
      <c r="U210" s="45"/>
    </row>
    <row r="211" spans="1:21" ht="18.7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8"/>
      <c r="T211" s="45"/>
      <c r="U211" s="45"/>
    </row>
    <row r="212" spans="1:21" ht="18.7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8"/>
      <c r="T212" s="45"/>
      <c r="U212" s="45"/>
    </row>
    <row r="213" spans="1:21" ht="18.7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8"/>
      <c r="T213" s="45"/>
      <c r="U213" s="45"/>
    </row>
    <row r="214" spans="1:21" ht="18.7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8"/>
      <c r="T214" s="45"/>
      <c r="U214" s="45"/>
    </row>
    <row r="215" spans="1:21" ht="18.7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8"/>
      <c r="T215" s="45"/>
      <c r="U215" s="45"/>
    </row>
    <row r="216" spans="1:21" ht="18.7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8"/>
      <c r="T216" s="45"/>
      <c r="U216" s="45"/>
    </row>
    <row r="217" spans="1:21" ht="18.7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8"/>
      <c r="T217" s="45"/>
      <c r="U217" s="45"/>
    </row>
    <row r="218" spans="1:21" ht="18.7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8"/>
      <c r="T218" s="45"/>
      <c r="U218" s="45"/>
    </row>
    <row r="219" spans="1:21" ht="18.7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8"/>
      <c r="T219" s="45"/>
      <c r="U219" s="45"/>
    </row>
    <row r="220" spans="1:21" ht="18.7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8"/>
      <c r="T220" s="45"/>
      <c r="U220" s="45"/>
    </row>
    <row r="221" spans="1:21" ht="18.7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8"/>
      <c r="T221" s="45"/>
      <c r="U221" s="45"/>
    </row>
    <row r="222" spans="1:21" ht="18.7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8"/>
      <c r="T222" s="45"/>
      <c r="U222" s="45"/>
    </row>
    <row r="223" spans="1:21" ht="18.7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8"/>
      <c r="T223" s="45"/>
      <c r="U223" s="45"/>
    </row>
    <row r="224" spans="1:21" ht="18.7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8"/>
      <c r="T224" s="45"/>
      <c r="U224" s="45"/>
    </row>
    <row r="225" spans="1:21" ht="18.7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8"/>
      <c r="T225" s="45"/>
      <c r="U225" s="45"/>
    </row>
    <row r="226" spans="1:21" ht="18.7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8"/>
      <c r="T226" s="45"/>
      <c r="U226" s="45"/>
    </row>
    <row r="227" spans="1:21" ht="18.7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8"/>
      <c r="T227" s="45"/>
      <c r="U227" s="45"/>
    </row>
    <row r="228" spans="1:21" ht="18.7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8"/>
      <c r="T228" s="45"/>
      <c r="U228" s="45"/>
    </row>
    <row r="229" spans="1:21" ht="18.7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8"/>
      <c r="T229" s="45"/>
      <c r="U229" s="45"/>
    </row>
    <row r="230" spans="1:21" ht="18.7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8"/>
      <c r="T230" s="45"/>
      <c r="U230" s="45"/>
    </row>
    <row r="231" spans="1:21" ht="18.7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8"/>
      <c r="T231" s="45"/>
      <c r="U231" s="45"/>
    </row>
    <row r="232" spans="1:21" ht="18.7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8"/>
      <c r="T232" s="45"/>
      <c r="U232" s="45"/>
    </row>
    <row r="233" spans="1:21" ht="18.7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8"/>
      <c r="T233" s="45"/>
      <c r="U233" s="45"/>
    </row>
    <row r="234" spans="1:21" ht="18.7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8"/>
      <c r="T234" s="45"/>
      <c r="U234" s="45"/>
    </row>
    <row r="235" spans="1:21" ht="18.7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8"/>
      <c r="T235" s="45"/>
      <c r="U235" s="45"/>
    </row>
    <row r="236" spans="1:21" ht="18.7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8"/>
      <c r="T236" s="45"/>
      <c r="U236" s="45"/>
    </row>
    <row r="237" spans="1:21" ht="18.7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8"/>
      <c r="T237" s="45"/>
      <c r="U237" s="45"/>
    </row>
    <row r="238" spans="1:21" ht="18.7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8"/>
      <c r="T238" s="45"/>
      <c r="U238" s="45"/>
    </row>
    <row r="239" spans="1:21" ht="18.7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8"/>
      <c r="T239" s="45"/>
      <c r="U239" s="45"/>
    </row>
    <row r="240" spans="1:21" ht="18.7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8"/>
      <c r="T240" s="45"/>
      <c r="U240" s="45"/>
    </row>
    <row r="241" spans="1:21" ht="18.7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8"/>
      <c r="T241" s="45"/>
      <c r="U241" s="45"/>
    </row>
    <row r="242" spans="1:21" ht="18.7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8"/>
      <c r="T242" s="45"/>
      <c r="U242" s="45"/>
    </row>
    <row r="243" spans="1:21" ht="18.7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8"/>
      <c r="T243" s="45"/>
      <c r="U243" s="45"/>
    </row>
    <row r="244" spans="1:21" ht="18.7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8"/>
      <c r="T244" s="45"/>
      <c r="U244" s="45"/>
    </row>
    <row r="245" spans="1:21" ht="18.7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8"/>
      <c r="T245" s="45"/>
      <c r="U245" s="45"/>
    </row>
    <row r="246" spans="1:21" ht="18.7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8"/>
      <c r="T246" s="45"/>
      <c r="U246" s="45"/>
    </row>
    <row r="247" spans="1:21" ht="18.7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8"/>
      <c r="T247" s="45"/>
      <c r="U247" s="45"/>
    </row>
    <row r="248" spans="1:21" ht="18.7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8"/>
      <c r="T248" s="45"/>
      <c r="U248" s="45"/>
    </row>
    <row r="249" spans="1:21" ht="18.7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8"/>
      <c r="T249" s="45"/>
      <c r="U249" s="45"/>
    </row>
    <row r="250" spans="1:21" ht="18.7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8"/>
      <c r="T250" s="45"/>
      <c r="U250" s="45"/>
    </row>
    <row r="251" spans="1:21" ht="18.7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8"/>
      <c r="T251" s="45"/>
      <c r="U251" s="45"/>
    </row>
    <row r="252" spans="1:21" ht="18.7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8"/>
      <c r="T252" s="45"/>
      <c r="U252" s="45"/>
    </row>
    <row r="253" spans="1:21" ht="18.7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8"/>
      <c r="T253" s="45"/>
      <c r="U253" s="45"/>
    </row>
    <row r="254" spans="1:21" ht="18.7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8"/>
      <c r="T254" s="45"/>
      <c r="U254" s="45"/>
    </row>
    <row r="255" spans="1:21" ht="18.7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8"/>
      <c r="T255" s="45"/>
      <c r="U255" s="45"/>
    </row>
    <row r="256" spans="1:21" ht="18.7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8"/>
      <c r="T256" s="45"/>
      <c r="U256" s="45"/>
    </row>
    <row r="257" spans="1:21" ht="18.7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8"/>
      <c r="T257" s="45"/>
      <c r="U257" s="45"/>
    </row>
    <row r="258" spans="1:21" ht="18.7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8"/>
      <c r="T258" s="45"/>
      <c r="U258" s="45"/>
    </row>
    <row r="259" spans="1:21" ht="18.7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8"/>
      <c r="T259" s="45"/>
      <c r="U259" s="45"/>
    </row>
    <row r="260" spans="1:21" ht="18.7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8"/>
      <c r="T260" s="45"/>
      <c r="U260" s="45"/>
    </row>
    <row r="261" spans="1:21" ht="18.7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8"/>
      <c r="T261" s="45"/>
      <c r="U261" s="45"/>
    </row>
    <row r="262" spans="1:21" ht="18.7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8"/>
      <c r="T262" s="45"/>
      <c r="U262" s="45"/>
    </row>
    <row r="263" spans="1:21" ht="18.7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8"/>
      <c r="T263" s="45"/>
      <c r="U263" s="45"/>
    </row>
    <row r="264" spans="1:21" ht="18.7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8"/>
      <c r="T264" s="45"/>
      <c r="U264" s="45"/>
    </row>
    <row r="265" spans="1:21" ht="18.7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8"/>
      <c r="T265" s="45"/>
      <c r="U265" s="45"/>
    </row>
    <row r="266" spans="1:21" ht="18.7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8"/>
      <c r="T266" s="45"/>
      <c r="U266" s="45"/>
    </row>
    <row r="267" spans="1:21" ht="18.7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8"/>
      <c r="T267" s="45"/>
      <c r="U267" s="45"/>
    </row>
    <row r="268" spans="1:21" ht="18.7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8"/>
      <c r="T268" s="45"/>
      <c r="U268" s="45"/>
    </row>
    <row r="269" spans="1:21" ht="18.7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8"/>
      <c r="T269" s="45"/>
      <c r="U269" s="45"/>
    </row>
    <row r="270" spans="1:21" ht="18.7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8"/>
      <c r="T270" s="45"/>
      <c r="U270" s="45"/>
    </row>
    <row r="271" spans="1:21" ht="18.7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8"/>
      <c r="T271" s="45"/>
      <c r="U271" s="45"/>
    </row>
    <row r="272" spans="1:21" ht="18.7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8"/>
      <c r="T272" s="45"/>
      <c r="U272" s="45"/>
    </row>
    <row r="273" spans="1:21" ht="18.7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8"/>
      <c r="T273" s="45"/>
      <c r="U273" s="45"/>
    </row>
    <row r="274" spans="1:21" ht="18.7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8"/>
      <c r="T274" s="45"/>
      <c r="U274" s="45"/>
    </row>
    <row r="275" spans="1:21" ht="18.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8"/>
      <c r="T275" s="45"/>
      <c r="U275" s="45"/>
    </row>
    <row r="276" spans="1:21" ht="18.7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8"/>
      <c r="T276" s="45"/>
      <c r="U276" s="45"/>
    </row>
    <row r="277" spans="1:21" ht="18.7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8"/>
      <c r="T277" s="45"/>
      <c r="U277" s="45"/>
    </row>
    <row r="278" spans="1:21" ht="18.7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8"/>
      <c r="T278" s="45"/>
      <c r="U278" s="45"/>
    </row>
    <row r="279" spans="1:21" ht="18.7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8"/>
      <c r="T279" s="45"/>
      <c r="U279" s="45"/>
    </row>
    <row r="280" spans="1:21" ht="18.7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8"/>
      <c r="T280" s="45"/>
      <c r="U280" s="45"/>
    </row>
    <row r="281" spans="1:21" ht="18.7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8"/>
      <c r="T281" s="45"/>
      <c r="U281" s="45"/>
    </row>
    <row r="282" spans="1:21" ht="18.7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8"/>
      <c r="T282" s="45"/>
      <c r="U282" s="45"/>
    </row>
    <row r="283" spans="1:21" ht="18.7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8"/>
      <c r="T283" s="45"/>
      <c r="U283" s="45"/>
    </row>
    <row r="284" spans="1:21" ht="18.7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8"/>
      <c r="T284" s="45"/>
      <c r="U284" s="45"/>
    </row>
    <row r="285" spans="1:21" ht="18.7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8"/>
      <c r="T285" s="45"/>
      <c r="U285" s="45"/>
    </row>
    <row r="286" spans="1:21" ht="18.7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8"/>
      <c r="T286" s="45"/>
      <c r="U286" s="45"/>
    </row>
    <row r="287" spans="1:21" ht="18.7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8"/>
      <c r="T287" s="45"/>
      <c r="U287" s="45"/>
    </row>
    <row r="288" spans="1:21" ht="18.7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8"/>
      <c r="T288" s="45"/>
      <c r="U288" s="45"/>
    </row>
    <row r="289" spans="1:21" ht="18.7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8"/>
      <c r="T289" s="45"/>
      <c r="U289" s="45"/>
    </row>
    <row r="290" spans="1:21" ht="18.7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8"/>
      <c r="T290" s="45"/>
      <c r="U290" s="45"/>
    </row>
    <row r="291" spans="1:21" ht="18.7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8"/>
      <c r="T291" s="45"/>
      <c r="U291" s="45"/>
    </row>
    <row r="292" spans="1:21" ht="18.7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8"/>
      <c r="T292" s="45"/>
      <c r="U292" s="45"/>
    </row>
    <row r="293" spans="1:21" ht="18.7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8"/>
      <c r="T293" s="45"/>
      <c r="U293" s="45"/>
    </row>
    <row r="294" spans="1:21" ht="18.7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8"/>
      <c r="T294" s="45"/>
      <c r="U294" s="45"/>
    </row>
    <row r="295" spans="1:21" ht="18.7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8"/>
      <c r="T295" s="45"/>
      <c r="U295" s="45"/>
    </row>
    <row r="296" spans="1:21" ht="18.7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8"/>
      <c r="T296" s="45"/>
      <c r="U296" s="45"/>
    </row>
    <row r="297" spans="1:21" ht="18.7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8"/>
      <c r="T297" s="45"/>
      <c r="U297" s="45"/>
    </row>
    <row r="298" spans="1:21" ht="18.7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8"/>
      <c r="T298" s="45"/>
      <c r="U298" s="45"/>
    </row>
    <row r="299" spans="1:21" ht="18.7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8"/>
      <c r="T299" s="45"/>
      <c r="U299" s="45"/>
    </row>
    <row r="300" spans="1:21" ht="18.7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8"/>
      <c r="T300" s="45"/>
      <c r="U300" s="45"/>
    </row>
    <row r="301" spans="1:21" ht="18.7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8"/>
      <c r="T301" s="45"/>
      <c r="U301" s="45"/>
    </row>
    <row r="302" spans="1:21" ht="18.7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8"/>
      <c r="T302" s="45"/>
      <c r="U302" s="45"/>
    </row>
    <row r="303" spans="1:21" ht="18.7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8"/>
      <c r="T303" s="45"/>
      <c r="U303" s="45"/>
    </row>
    <row r="304" spans="1:21" ht="18.7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8"/>
      <c r="T304" s="45"/>
      <c r="U304" s="45"/>
    </row>
    <row r="305" spans="1:21" ht="18.7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8"/>
      <c r="T305" s="45"/>
      <c r="U305" s="45"/>
    </row>
    <row r="306" spans="1:21" ht="18.7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8"/>
      <c r="T306" s="45"/>
      <c r="U306" s="45"/>
    </row>
    <row r="307" spans="1:21" ht="18.7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8"/>
      <c r="T307" s="45"/>
      <c r="U307" s="45"/>
    </row>
    <row r="308" spans="1:21" ht="18.7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8"/>
      <c r="T308" s="45"/>
      <c r="U308" s="45"/>
    </row>
    <row r="309" spans="1:21" ht="18.7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8"/>
      <c r="T309" s="45"/>
      <c r="U309" s="45"/>
    </row>
    <row r="310" spans="1:21" ht="18.7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8"/>
      <c r="T310" s="45"/>
      <c r="U310" s="45"/>
    </row>
    <row r="311" spans="1:21" ht="18.7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8"/>
      <c r="T311" s="45"/>
      <c r="U311" s="45"/>
    </row>
    <row r="312" spans="1:21" ht="18.7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8"/>
      <c r="T312" s="45"/>
      <c r="U312" s="45"/>
    </row>
    <row r="313" spans="1:21" ht="18.7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8"/>
      <c r="T313" s="45"/>
      <c r="U313" s="45"/>
    </row>
    <row r="314" spans="1:21" ht="18.7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8"/>
      <c r="T314" s="45"/>
      <c r="U314" s="45"/>
    </row>
    <row r="315" spans="1:21" ht="18.7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8"/>
      <c r="T315" s="45"/>
      <c r="U315" s="45"/>
    </row>
    <row r="316" spans="1:21" ht="18.7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8"/>
      <c r="T316" s="45"/>
      <c r="U316" s="45"/>
    </row>
    <row r="317" spans="1:21" ht="18.7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8"/>
      <c r="T317" s="45"/>
      <c r="U317" s="45"/>
    </row>
    <row r="318" spans="1:21" ht="18.7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8"/>
      <c r="T318" s="45"/>
      <c r="U318" s="45"/>
    </row>
    <row r="319" spans="1:21" ht="18.7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8"/>
      <c r="T319" s="45"/>
      <c r="U319" s="45"/>
    </row>
    <row r="320" spans="1:21" ht="18.7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8"/>
      <c r="T320" s="45"/>
      <c r="U320" s="45"/>
    </row>
    <row r="321" spans="1:21" ht="18.7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8"/>
      <c r="T321" s="45"/>
      <c r="U321" s="45"/>
    </row>
    <row r="322" spans="1:21" ht="18.7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8"/>
      <c r="T322" s="45"/>
      <c r="U322" s="45"/>
    </row>
    <row r="323" spans="1:21" ht="18.7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8"/>
      <c r="T323" s="45"/>
      <c r="U323" s="45"/>
    </row>
    <row r="324" spans="1:21" ht="18.7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8"/>
      <c r="T325" s="45"/>
      <c r="U325" s="45"/>
    </row>
    <row r="326" spans="1:21" ht="18.7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8"/>
      <c r="T326" s="45"/>
      <c r="U326" s="45"/>
    </row>
    <row r="327" spans="1:21" ht="18.7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8"/>
      <c r="T327" s="45"/>
      <c r="U327" s="45"/>
    </row>
    <row r="328" spans="1:21" ht="18.7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8"/>
      <c r="T328" s="45"/>
      <c r="U328" s="45"/>
    </row>
    <row r="329" spans="1:21" ht="18.7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8"/>
      <c r="T329" s="45"/>
      <c r="U329" s="45"/>
    </row>
    <row r="330" spans="1:21" ht="18.7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8"/>
      <c r="T330" s="45"/>
      <c r="U330" s="45"/>
    </row>
    <row r="331" spans="1:21" ht="18.7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8"/>
      <c r="T331" s="45"/>
      <c r="U331" s="45"/>
    </row>
    <row r="332" spans="1:21" ht="18.7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8"/>
      <c r="T332" s="45"/>
      <c r="U332" s="45"/>
    </row>
    <row r="333" spans="1:21" ht="18.7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8"/>
      <c r="T333" s="45"/>
      <c r="U333" s="45"/>
    </row>
    <row r="334" spans="1:21" ht="18.7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8"/>
      <c r="T334" s="45"/>
      <c r="U334" s="45"/>
    </row>
    <row r="335" spans="1:21" ht="18.7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8"/>
      <c r="T335" s="45"/>
      <c r="U335" s="45"/>
    </row>
    <row r="336" spans="1:21" ht="18.7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8"/>
      <c r="T336" s="45"/>
      <c r="U336" s="45"/>
    </row>
    <row r="337" spans="1:21" ht="18.7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8"/>
      <c r="T337" s="45"/>
      <c r="U337" s="45"/>
    </row>
    <row r="338" spans="1:21" ht="18.7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8"/>
      <c r="T338" s="45"/>
      <c r="U338" s="45"/>
    </row>
    <row r="339" spans="1:21" ht="18.7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8"/>
      <c r="T339" s="45"/>
      <c r="U339" s="45"/>
    </row>
    <row r="340" spans="1:21" ht="18.7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8"/>
      <c r="T340" s="45"/>
      <c r="U340" s="45"/>
    </row>
    <row r="341" spans="1:21" ht="18.7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8"/>
      <c r="T341" s="45"/>
      <c r="U341" s="45"/>
    </row>
    <row r="342" spans="1:21" ht="18.7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8"/>
      <c r="T342" s="45"/>
      <c r="U342" s="45"/>
    </row>
    <row r="343" spans="1:21" ht="18.7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8"/>
      <c r="T343" s="45"/>
      <c r="U343" s="45"/>
    </row>
    <row r="344" spans="1:21" ht="18.7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8"/>
      <c r="T344" s="45"/>
      <c r="U344" s="45"/>
    </row>
    <row r="345" spans="1:21" ht="18.7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8"/>
      <c r="T345" s="45"/>
      <c r="U345" s="45"/>
    </row>
    <row r="346" spans="1:21" ht="18.7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8"/>
      <c r="T346" s="45"/>
      <c r="U346" s="45"/>
    </row>
    <row r="347" spans="1:21" ht="18.7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8"/>
      <c r="T347" s="45"/>
      <c r="U347" s="45"/>
    </row>
    <row r="348" spans="1:21" ht="18.7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8"/>
      <c r="T348" s="45"/>
      <c r="U348" s="45"/>
    </row>
    <row r="349" spans="1:21" ht="18.7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8"/>
      <c r="T349" s="45"/>
      <c r="U349" s="45"/>
    </row>
    <row r="350" spans="1:21" ht="18.7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8"/>
      <c r="T350" s="45"/>
      <c r="U350" s="45"/>
    </row>
    <row r="351" spans="1:21" ht="18.7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8"/>
      <c r="T351" s="45"/>
      <c r="U351" s="45"/>
    </row>
    <row r="352" spans="1:21" ht="18.7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8"/>
      <c r="T352" s="45"/>
      <c r="U352" s="45"/>
    </row>
    <row r="353" spans="1:21" ht="18.7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8"/>
      <c r="T353" s="45"/>
      <c r="U353" s="45"/>
    </row>
    <row r="354" spans="1:21" ht="18.7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8"/>
      <c r="T354" s="45"/>
      <c r="U354" s="45"/>
    </row>
    <row r="355" spans="1:21" ht="18.7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8"/>
      <c r="T355" s="45"/>
      <c r="U355" s="45"/>
    </row>
    <row r="356" spans="1:21" ht="18.7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8"/>
      <c r="T356" s="45"/>
      <c r="U356" s="45"/>
    </row>
    <row r="357" spans="1:21" ht="18.7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8"/>
      <c r="T357" s="45"/>
      <c r="U357" s="45"/>
    </row>
    <row r="358" spans="1:21" ht="18.7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8"/>
      <c r="T358" s="45"/>
      <c r="U358" s="45"/>
    </row>
    <row r="359" spans="1:21" ht="18.7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8"/>
      <c r="T359" s="45"/>
      <c r="U359" s="45"/>
    </row>
    <row r="360" spans="1:21" ht="18.7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8"/>
      <c r="T360" s="45"/>
      <c r="U360" s="45"/>
    </row>
    <row r="361" spans="1:21" ht="18.7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8"/>
      <c r="T361" s="45"/>
      <c r="U361" s="45"/>
    </row>
    <row r="362" spans="1:21" ht="18.7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8"/>
      <c r="T362" s="45"/>
      <c r="U362" s="45"/>
    </row>
    <row r="363" spans="1:21" ht="18.7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8"/>
      <c r="T363" s="45"/>
      <c r="U363" s="45"/>
    </row>
    <row r="364" spans="1:21" ht="18.7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8"/>
      <c r="T364" s="45"/>
      <c r="U364" s="45"/>
    </row>
    <row r="365" spans="1:21" ht="18.7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8"/>
      <c r="T365" s="45"/>
      <c r="U365" s="45"/>
    </row>
    <row r="366" spans="1:21" ht="18.7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8"/>
      <c r="T366" s="45"/>
      <c r="U366" s="45"/>
    </row>
    <row r="367" spans="1:21" ht="18.7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8"/>
      <c r="T367" s="45"/>
      <c r="U367" s="45"/>
    </row>
    <row r="368" spans="1:21" ht="18.7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8"/>
      <c r="T368" s="45"/>
      <c r="U368" s="45"/>
    </row>
    <row r="369" spans="1:21" ht="18.7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8"/>
      <c r="T369" s="45"/>
      <c r="U369" s="45"/>
    </row>
    <row r="370" spans="1:21" ht="18.7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8"/>
      <c r="T370" s="45"/>
      <c r="U370" s="45"/>
    </row>
    <row r="371" spans="1:21" ht="18.7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8"/>
      <c r="T371" s="45"/>
      <c r="U371" s="45"/>
    </row>
    <row r="372" spans="1:21" ht="18.7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8"/>
      <c r="T372" s="45"/>
      <c r="U372" s="45"/>
    </row>
    <row r="373" spans="1:21" ht="18.7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8"/>
      <c r="T373" s="45"/>
      <c r="U373" s="45"/>
    </row>
    <row r="374" spans="1:21" ht="18.7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8"/>
      <c r="T374" s="45"/>
      <c r="U374" s="45"/>
    </row>
    <row r="375" spans="1:21" ht="18.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8"/>
      <c r="T375" s="45"/>
      <c r="U375" s="45"/>
    </row>
    <row r="376" spans="1:21" ht="18.7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8"/>
      <c r="T376" s="45"/>
      <c r="U376" s="45"/>
    </row>
    <row r="377" spans="1:21" ht="18.7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8"/>
      <c r="T377" s="45"/>
      <c r="U377" s="45"/>
    </row>
    <row r="378" spans="1:21" ht="18.7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8"/>
      <c r="T378" s="45"/>
      <c r="U378" s="45"/>
    </row>
    <row r="379" spans="1:21" ht="18.7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8"/>
      <c r="T379" s="45"/>
      <c r="U379" s="45"/>
    </row>
    <row r="380" spans="1:21" ht="18.7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8"/>
      <c r="T380" s="45"/>
      <c r="U380" s="45"/>
    </row>
    <row r="381" spans="1:21" ht="18.7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8"/>
      <c r="T381" s="45"/>
      <c r="U381" s="45"/>
    </row>
    <row r="382" spans="1:21" ht="18.7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8"/>
      <c r="T382" s="45"/>
      <c r="U382" s="45"/>
    </row>
    <row r="383" spans="1:21" ht="18.7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8"/>
      <c r="T383" s="45"/>
      <c r="U383" s="45"/>
    </row>
    <row r="384" spans="1:21" ht="18.7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8"/>
      <c r="T384" s="45"/>
      <c r="U384" s="45"/>
    </row>
    <row r="385" spans="1:21" ht="18.7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8"/>
      <c r="T385" s="45"/>
      <c r="U385" s="45"/>
    </row>
    <row r="386" spans="1:21" ht="18.7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8"/>
      <c r="T386" s="45"/>
      <c r="U386" s="45"/>
    </row>
    <row r="387" spans="1:21" ht="18.7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8"/>
      <c r="T387" s="45"/>
      <c r="U387" s="45"/>
    </row>
    <row r="388" spans="1:21" ht="18.7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8"/>
      <c r="T388" s="45"/>
      <c r="U388" s="45"/>
    </row>
    <row r="389" spans="1:21" ht="18.7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8"/>
      <c r="T389" s="45"/>
      <c r="U389" s="45"/>
    </row>
    <row r="390" spans="1:21" ht="18.7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8"/>
      <c r="T390" s="45"/>
      <c r="U390" s="45"/>
    </row>
    <row r="391" spans="1:21" ht="18.7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8"/>
      <c r="T391" s="45"/>
      <c r="U391" s="45"/>
    </row>
    <row r="392" spans="1:21" ht="18.7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8"/>
      <c r="T392" s="45"/>
      <c r="U392" s="45"/>
    </row>
    <row r="393" spans="1:21" ht="18.7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8"/>
      <c r="T393" s="45"/>
      <c r="U393" s="45"/>
    </row>
    <row r="394" spans="1:21" ht="18.7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8"/>
      <c r="T394" s="45"/>
      <c r="U394" s="45"/>
    </row>
    <row r="395" spans="1:21" ht="18.7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8"/>
      <c r="T395" s="45"/>
      <c r="U395" s="45"/>
    </row>
    <row r="396" spans="1:21" ht="18.7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8"/>
      <c r="T396" s="45"/>
      <c r="U396" s="45"/>
    </row>
    <row r="397" spans="1:21" ht="18.7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8"/>
      <c r="T397" s="45"/>
      <c r="U397" s="45"/>
    </row>
    <row r="398" spans="1:21" ht="18.7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8"/>
      <c r="T398" s="45"/>
      <c r="U398" s="45"/>
    </row>
    <row r="399" spans="1:21" ht="18.7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8"/>
      <c r="T399" s="45"/>
      <c r="U399" s="45"/>
    </row>
    <row r="400" spans="1:21" ht="18.7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8"/>
      <c r="T400" s="45"/>
      <c r="U400" s="45"/>
    </row>
    <row r="401" spans="1:21" ht="18.7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8"/>
      <c r="T401" s="45"/>
      <c r="U401" s="45"/>
    </row>
    <row r="402" spans="1:21" ht="18.7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8"/>
      <c r="T402" s="45"/>
      <c r="U402" s="45"/>
    </row>
    <row r="403" spans="1:21" ht="18.7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8"/>
      <c r="T403" s="45"/>
      <c r="U403" s="45"/>
    </row>
    <row r="404" spans="1:21" ht="18.7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8"/>
      <c r="T404" s="45"/>
      <c r="U404" s="45"/>
    </row>
    <row r="405" spans="1:21" ht="18.7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8"/>
      <c r="T405" s="45"/>
      <c r="U405" s="45"/>
    </row>
    <row r="406" spans="1:21" ht="18.7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8"/>
      <c r="T406" s="45"/>
      <c r="U406" s="45"/>
    </row>
    <row r="407" spans="1:21" ht="18.7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8"/>
      <c r="T407" s="45"/>
      <c r="U407" s="45"/>
    </row>
    <row r="408" spans="1:21" ht="18.7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8"/>
      <c r="T408" s="45"/>
      <c r="U408" s="45"/>
    </row>
    <row r="409" spans="1:21" ht="18.7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8"/>
      <c r="T409" s="45"/>
      <c r="U409" s="45"/>
    </row>
    <row r="410" spans="1:21" ht="18.7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8"/>
      <c r="T410" s="45"/>
      <c r="U410" s="45"/>
    </row>
    <row r="411" spans="1:21" ht="18.7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8"/>
      <c r="T411" s="45"/>
      <c r="U411" s="45"/>
    </row>
    <row r="412" spans="1:21" ht="18.7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8"/>
      <c r="T412" s="45"/>
      <c r="U412" s="45"/>
    </row>
    <row r="413" spans="1:21" ht="18.7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8"/>
      <c r="T413" s="45"/>
      <c r="U413" s="45"/>
    </row>
    <row r="414" spans="1:21" ht="18.7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8"/>
      <c r="T414" s="45"/>
      <c r="U414" s="45"/>
    </row>
    <row r="415" spans="1:21" ht="18.7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8"/>
      <c r="T415" s="45"/>
      <c r="U415" s="45"/>
    </row>
    <row r="416" spans="1:21" ht="18.7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8"/>
      <c r="T416" s="45"/>
      <c r="U416" s="45"/>
    </row>
    <row r="417" spans="1:21" ht="18.7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8"/>
      <c r="T417" s="45"/>
      <c r="U417" s="45"/>
    </row>
    <row r="418" spans="1:21" ht="18.7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8"/>
      <c r="T418" s="45"/>
      <c r="U418" s="45"/>
    </row>
    <row r="419" spans="1:21" ht="18.7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8"/>
      <c r="T419" s="45"/>
      <c r="U419" s="45"/>
    </row>
    <row r="420" spans="1:21" ht="18.7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8"/>
      <c r="T420" s="45"/>
      <c r="U420" s="45"/>
    </row>
    <row r="421" spans="1:21" ht="18.7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8"/>
      <c r="T421" s="45"/>
      <c r="U421" s="45"/>
    </row>
    <row r="422" spans="1:21" ht="18.7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8"/>
      <c r="T422" s="45"/>
      <c r="U422" s="45"/>
    </row>
    <row r="423" spans="1:21" ht="18.7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8"/>
      <c r="T423" s="45"/>
      <c r="U423" s="45"/>
    </row>
    <row r="424" spans="1:21" ht="18.7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8"/>
      <c r="T424" s="45"/>
      <c r="U424" s="45"/>
    </row>
    <row r="425" spans="1:21" ht="18.7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8"/>
      <c r="T425" s="45"/>
      <c r="U425" s="45"/>
    </row>
    <row r="426" spans="1:21" ht="18.7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8"/>
      <c r="T426" s="45"/>
      <c r="U426" s="45"/>
    </row>
    <row r="427" spans="1:21" ht="18.7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8"/>
      <c r="T427" s="45"/>
      <c r="U427" s="45"/>
    </row>
    <row r="428" spans="1:21" ht="18.7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8"/>
      <c r="T428" s="45"/>
      <c r="U428" s="45"/>
    </row>
    <row r="429" spans="1:21" ht="18.7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8"/>
      <c r="T429" s="45"/>
      <c r="U429" s="45"/>
    </row>
    <row r="430" spans="1:21" ht="18.7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8"/>
      <c r="T430" s="45"/>
      <c r="U430" s="45"/>
    </row>
    <row r="431" spans="1:21" ht="18.7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8"/>
      <c r="T431" s="45"/>
      <c r="U431" s="45"/>
    </row>
    <row r="432" spans="1:21" ht="18.7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8"/>
      <c r="T432" s="45"/>
      <c r="U432" s="45"/>
    </row>
    <row r="433" spans="1:21" ht="18.7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8"/>
      <c r="T433" s="45"/>
      <c r="U433" s="45"/>
    </row>
    <row r="434" spans="1:21" ht="18.7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8"/>
      <c r="T434" s="45"/>
      <c r="U434" s="45"/>
    </row>
    <row r="435" spans="1:21" ht="18.7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8"/>
      <c r="T435" s="45"/>
      <c r="U435" s="45"/>
    </row>
    <row r="436" spans="1:21" ht="18.7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8"/>
      <c r="T436" s="45"/>
      <c r="U436" s="45"/>
    </row>
    <row r="437" spans="1:21" ht="18.7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8"/>
      <c r="T437" s="45"/>
      <c r="U437" s="45"/>
    </row>
    <row r="438" spans="1:21" ht="18.7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8"/>
      <c r="T438" s="45"/>
      <c r="U438" s="45"/>
    </row>
    <row r="439" spans="1:21" ht="18.7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8"/>
      <c r="T439" s="45"/>
      <c r="U439" s="45"/>
    </row>
    <row r="440" spans="1:21" ht="18.7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8"/>
      <c r="T440" s="45"/>
      <c r="U440" s="45"/>
    </row>
    <row r="441" spans="1:21" ht="18.7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8"/>
      <c r="T441" s="45"/>
      <c r="U441" s="45"/>
    </row>
    <row r="442" spans="1:21" ht="18.7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8"/>
      <c r="T442" s="45"/>
      <c r="U442" s="45"/>
    </row>
    <row r="443" spans="1:21" ht="18.7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8"/>
      <c r="T443" s="45"/>
      <c r="U443" s="45"/>
    </row>
    <row r="444" spans="1:21" ht="18.7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8"/>
      <c r="T444" s="45"/>
      <c r="U444" s="45"/>
    </row>
    <row r="445" spans="1:21" ht="18.7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8"/>
      <c r="T445" s="45"/>
      <c r="U445" s="45"/>
    </row>
    <row r="446" spans="1:21" ht="18.7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8"/>
      <c r="T446" s="45"/>
      <c r="U446" s="45"/>
    </row>
    <row r="447" spans="1:21" ht="18.7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8"/>
      <c r="T447" s="45"/>
      <c r="U447" s="45"/>
    </row>
    <row r="448" spans="1:21" ht="18.7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8"/>
      <c r="T448" s="45"/>
      <c r="U448" s="45"/>
    </row>
    <row r="449" spans="1:21" ht="18.7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8"/>
      <c r="T449" s="45"/>
      <c r="U449" s="45"/>
    </row>
    <row r="450" spans="1:21" ht="18.7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8"/>
      <c r="T450" s="45"/>
      <c r="U450" s="45"/>
    </row>
    <row r="451" spans="1:21" ht="18.7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8"/>
      <c r="T451" s="45"/>
      <c r="U451" s="45"/>
    </row>
    <row r="452" spans="1:21" ht="18.7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8"/>
      <c r="T452" s="45"/>
      <c r="U452" s="45"/>
    </row>
    <row r="453" spans="1:21" ht="18.7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8"/>
      <c r="T453" s="45"/>
      <c r="U453" s="45"/>
    </row>
    <row r="454" spans="1:21" ht="18.7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8"/>
      <c r="T454" s="45"/>
      <c r="U454" s="45"/>
    </row>
    <row r="455" spans="1:21" ht="18.7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8"/>
      <c r="T455" s="45"/>
      <c r="U455" s="45"/>
    </row>
    <row r="456" spans="1:21" ht="18.7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8"/>
      <c r="T456" s="45"/>
      <c r="U456" s="45"/>
    </row>
    <row r="457" spans="1:21" ht="18.7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8"/>
      <c r="T457" s="45"/>
      <c r="U457" s="45"/>
    </row>
    <row r="458" spans="1:21" ht="18.7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8"/>
      <c r="T458" s="45"/>
      <c r="U458" s="45"/>
    </row>
    <row r="459" spans="1:21" ht="18.7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8"/>
      <c r="T459" s="45"/>
      <c r="U459" s="45"/>
    </row>
    <row r="460" spans="1:21" ht="18.7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8"/>
      <c r="T460" s="45"/>
      <c r="U460" s="45"/>
    </row>
    <row r="461" spans="1:21" ht="18.7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8"/>
      <c r="T461" s="45"/>
      <c r="U461" s="45"/>
    </row>
    <row r="462" spans="1:21" ht="18.7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8"/>
      <c r="T462" s="45"/>
      <c r="U462" s="45"/>
    </row>
    <row r="463" spans="1:21" ht="18.7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8"/>
      <c r="T463" s="45"/>
      <c r="U463" s="45"/>
    </row>
    <row r="464" spans="1:21" ht="18.7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8"/>
      <c r="T464" s="45"/>
      <c r="U464" s="45"/>
    </row>
    <row r="465" spans="1:21" ht="18.7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8"/>
      <c r="T465" s="45"/>
      <c r="U465" s="45"/>
    </row>
    <row r="466" spans="1:21" ht="18.7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8"/>
      <c r="T466" s="45"/>
      <c r="U466" s="45"/>
    </row>
    <row r="467" spans="1:21" ht="18.7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8"/>
      <c r="T467" s="45"/>
      <c r="U467" s="45"/>
    </row>
    <row r="468" spans="1:21" ht="18.7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8"/>
      <c r="T468" s="45"/>
      <c r="U468" s="45"/>
    </row>
    <row r="469" spans="1:21" ht="18.7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8"/>
      <c r="T469" s="45"/>
      <c r="U469" s="45"/>
    </row>
    <row r="470" spans="1:21" ht="18.7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8"/>
      <c r="T470" s="45"/>
      <c r="U470" s="45"/>
    </row>
    <row r="471" spans="1:21" ht="18.7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8"/>
      <c r="T471" s="45"/>
      <c r="U471" s="45"/>
    </row>
    <row r="472" spans="1:21" ht="18.7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8"/>
      <c r="T472" s="45"/>
      <c r="U472" s="45"/>
    </row>
    <row r="473" spans="1:21" ht="18.7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8"/>
      <c r="T473" s="45"/>
      <c r="U473" s="45"/>
    </row>
    <row r="474" spans="1:21" ht="18.7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8"/>
      <c r="T474" s="45"/>
      <c r="U474" s="45"/>
    </row>
    <row r="475" spans="1:21" ht="18.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8"/>
      <c r="T475" s="45"/>
      <c r="U475" s="45"/>
    </row>
    <row r="476" spans="1:21" ht="18.7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8"/>
      <c r="T476" s="45"/>
      <c r="U476" s="45"/>
    </row>
    <row r="477" spans="1:21" ht="18.7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8"/>
      <c r="T477" s="45"/>
      <c r="U477" s="45"/>
    </row>
    <row r="478" spans="1:21" ht="18.7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8"/>
      <c r="T478" s="45"/>
      <c r="U478" s="45"/>
    </row>
    <row r="479" spans="1:21" ht="18.7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8"/>
      <c r="T479" s="45"/>
      <c r="U479" s="45"/>
    </row>
    <row r="480" spans="1:21" ht="18.7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8"/>
      <c r="T480" s="45"/>
      <c r="U480" s="45"/>
    </row>
    <row r="481" spans="1:21" ht="18.7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8"/>
      <c r="T481" s="45"/>
      <c r="U481" s="45"/>
    </row>
    <row r="482" spans="1:21" ht="18.7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8"/>
      <c r="T482" s="45"/>
      <c r="U482" s="45"/>
    </row>
    <row r="483" spans="1:21" ht="18.7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8"/>
      <c r="T483" s="45"/>
      <c r="U483" s="45"/>
    </row>
    <row r="484" spans="1:21" ht="18.7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8"/>
      <c r="T484" s="45"/>
      <c r="U484" s="45"/>
    </row>
    <row r="485" spans="1:21" ht="18.7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8"/>
      <c r="T485" s="45"/>
      <c r="U485" s="45"/>
    </row>
    <row r="486" spans="1:21" ht="18.7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8"/>
      <c r="T486" s="45"/>
      <c r="U486" s="45"/>
    </row>
    <row r="487" spans="1:21" ht="18.7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8"/>
      <c r="T487" s="45"/>
      <c r="U487" s="45"/>
    </row>
    <row r="488" spans="1:21" ht="18.7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8"/>
      <c r="T488" s="45"/>
      <c r="U488" s="45"/>
    </row>
    <row r="489" spans="1:21" ht="18.7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8"/>
      <c r="T489" s="45"/>
      <c r="U489" s="45"/>
    </row>
    <row r="490" spans="1:21" ht="18.7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8"/>
      <c r="T490" s="45"/>
      <c r="U490" s="45"/>
    </row>
    <row r="491" spans="1:21" ht="18.7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8"/>
      <c r="T491" s="45"/>
      <c r="U491" s="45"/>
    </row>
    <row r="492" spans="1:21" ht="18.7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8"/>
      <c r="T492" s="45"/>
      <c r="U492" s="45"/>
    </row>
    <row r="493" spans="1:21" ht="18.7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8"/>
      <c r="T493" s="45"/>
      <c r="U493" s="45"/>
    </row>
    <row r="494" spans="1:21" ht="18.7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8"/>
      <c r="T494" s="45"/>
      <c r="U494" s="45"/>
    </row>
    <row r="495" spans="1:21" ht="18.7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8"/>
      <c r="T495" s="45"/>
      <c r="U495" s="45"/>
    </row>
    <row r="496" spans="1:21" ht="18.7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8"/>
      <c r="T496" s="45"/>
      <c r="U496" s="45"/>
    </row>
    <row r="497" spans="1:21" ht="18.7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8"/>
      <c r="T497" s="45"/>
      <c r="U497" s="45"/>
    </row>
    <row r="498" spans="1:21" ht="18.7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8"/>
      <c r="T498" s="45"/>
      <c r="U498" s="45"/>
    </row>
    <row r="499" spans="1:21" ht="18.7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8"/>
      <c r="T499" s="45"/>
      <c r="U499" s="45"/>
    </row>
    <row r="500" spans="1:21" ht="18.7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8"/>
      <c r="T500" s="45"/>
      <c r="U500" s="45"/>
    </row>
    <row r="501" spans="1:21" ht="18.7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8"/>
      <c r="T501" s="45"/>
      <c r="U501" s="45"/>
    </row>
    <row r="502" spans="1:21" ht="18.7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8"/>
      <c r="T502" s="45"/>
      <c r="U502" s="45"/>
    </row>
    <row r="503" spans="1:21" ht="18.7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8"/>
      <c r="T503" s="45"/>
      <c r="U503" s="45"/>
    </row>
    <row r="504" spans="1:21" ht="18.7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8"/>
      <c r="T504" s="45"/>
      <c r="U504" s="45"/>
    </row>
    <row r="505" spans="1:21" ht="18.7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8"/>
      <c r="T505" s="45"/>
      <c r="U505" s="45"/>
    </row>
    <row r="506" spans="1:21" ht="18.7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8"/>
      <c r="T506" s="45"/>
      <c r="U506" s="45"/>
    </row>
    <row r="507" spans="1:21" ht="18.7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8"/>
      <c r="T507" s="45"/>
      <c r="U507" s="45"/>
    </row>
    <row r="508" spans="1:21" ht="18.7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8"/>
      <c r="T508" s="45"/>
      <c r="U508" s="45"/>
    </row>
    <row r="509" spans="1:21" ht="18.7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8"/>
      <c r="T509" s="45"/>
      <c r="U509" s="45"/>
    </row>
    <row r="510" spans="1:21" ht="18.7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8"/>
      <c r="T510" s="45"/>
      <c r="U510" s="45"/>
    </row>
    <row r="511" spans="1:21" ht="18.7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8"/>
      <c r="T511" s="45"/>
      <c r="U511" s="45"/>
    </row>
    <row r="512" spans="1:21" ht="18.7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8"/>
      <c r="T512" s="45"/>
      <c r="U512" s="45"/>
    </row>
    <row r="513" spans="1:21" ht="18.7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8"/>
      <c r="T513" s="45"/>
      <c r="U513" s="45"/>
    </row>
    <row r="514" spans="1:21" ht="18.7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8"/>
      <c r="T514" s="45"/>
      <c r="U514" s="45"/>
    </row>
    <row r="515" spans="1:21" ht="18.7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8"/>
      <c r="T515" s="45"/>
      <c r="U515" s="45"/>
    </row>
    <row r="516" spans="1:21" ht="18.7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8"/>
      <c r="T516" s="45"/>
      <c r="U516" s="45"/>
    </row>
    <row r="517" spans="1:21" ht="18.7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8"/>
      <c r="T517" s="45"/>
      <c r="U517" s="45"/>
    </row>
    <row r="518" spans="1:21" ht="18.7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8"/>
      <c r="T518" s="45"/>
      <c r="U518" s="45"/>
    </row>
    <row r="519" spans="1:21" ht="18.7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8"/>
      <c r="T519" s="45"/>
      <c r="U519" s="45"/>
    </row>
    <row r="520" spans="1:21" ht="18.7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8"/>
      <c r="T520" s="45"/>
      <c r="U520" s="45"/>
    </row>
    <row r="521" spans="1:21" ht="18.7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8"/>
      <c r="T521" s="45"/>
      <c r="U521" s="45"/>
    </row>
    <row r="522" spans="1:21" ht="18.7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8"/>
      <c r="T522" s="45"/>
      <c r="U522" s="45"/>
    </row>
    <row r="523" spans="1:21" ht="18.7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8"/>
      <c r="T523" s="45"/>
      <c r="U523" s="45"/>
    </row>
    <row r="524" spans="1:21" ht="18.7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8"/>
      <c r="T524" s="45"/>
      <c r="U524" s="45"/>
    </row>
    <row r="525" spans="1:21" ht="18.7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8"/>
      <c r="T525" s="45"/>
      <c r="U525" s="45"/>
    </row>
    <row r="526" spans="1:21" ht="18.7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8"/>
      <c r="T526" s="45"/>
      <c r="U526" s="45"/>
    </row>
    <row r="527" spans="1:21" ht="18.7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8"/>
      <c r="T527" s="45"/>
      <c r="U527" s="45"/>
    </row>
    <row r="528" spans="1:21" ht="18.7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8"/>
      <c r="T528" s="45"/>
      <c r="U528" s="45"/>
    </row>
    <row r="529" spans="1:21" ht="18.7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8"/>
      <c r="T529" s="45"/>
      <c r="U529" s="45"/>
    </row>
    <row r="530" spans="1:21" ht="18.7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8"/>
      <c r="T530" s="45"/>
      <c r="U530" s="45"/>
    </row>
    <row r="531" spans="1:21" ht="18.7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8"/>
      <c r="T531" s="45"/>
      <c r="U531" s="45"/>
    </row>
    <row r="532" spans="1:21" ht="18.7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8"/>
      <c r="T532" s="45"/>
      <c r="U532" s="45"/>
    </row>
    <row r="533" spans="1:21" ht="18.7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8"/>
      <c r="T533" s="45"/>
      <c r="U533" s="45"/>
    </row>
    <row r="534" spans="1:21" ht="18.7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8"/>
      <c r="T534" s="45"/>
      <c r="U534" s="45"/>
    </row>
    <row r="535" spans="1:21" ht="18.7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8"/>
      <c r="T535" s="45"/>
      <c r="U535" s="45"/>
    </row>
    <row r="536" spans="1:21" ht="18.7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8"/>
      <c r="T536" s="45"/>
      <c r="U536" s="45"/>
    </row>
    <row r="537" spans="1:21" ht="18.7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8"/>
      <c r="T537" s="45"/>
      <c r="U537" s="45"/>
    </row>
    <row r="538" spans="1:21" ht="18.7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8"/>
      <c r="T538" s="45"/>
      <c r="U538" s="45"/>
    </row>
    <row r="539" spans="1:21" ht="18.7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8"/>
      <c r="T539" s="45"/>
      <c r="U539" s="45"/>
    </row>
    <row r="540" spans="1:21" ht="18.7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8"/>
      <c r="T540" s="45"/>
      <c r="U540" s="45"/>
    </row>
    <row r="541" spans="1:21" ht="18.7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8"/>
      <c r="T541" s="45"/>
      <c r="U541" s="45"/>
    </row>
    <row r="542" spans="1:21" ht="18.7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8"/>
      <c r="T542" s="45"/>
      <c r="U542" s="45"/>
    </row>
    <row r="543" spans="1:21" ht="18.7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8"/>
      <c r="T543" s="45"/>
      <c r="U543" s="45"/>
    </row>
    <row r="544" spans="1:21" ht="18.7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8"/>
      <c r="T544" s="45"/>
      <c r="U544" s="45"/>
    </row>
    <row r="545" spans="1:21" ht="18.7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8"/>
      <c r="T545" s="45"/>
      <c r="U545" s="45"/>
    </row>
    <row r="546" spans="1:21" ht="18.7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8"/>
      <c r="T546" s="45"/>
      <c r="U546" s="45"/>
    </row>
    <row r="547" spans="1:21" ht="18.7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8"/>
      <c r="T547" s="45"/>
      <c r="U547" s="45"/>
    </row>
    <row r="548" spans="1:21" ht="18.7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8"/>
      <c r="T548" s="45"/>
      <c r="U548" s="45"/>
    </row>
    <row r="549" spans="1:21" ht="18.7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8"/>
      <c r="T549" s="45"/>
      <c r="U549" s="45"/>
    </row>
    <row r="550" spans="1:21" ht="18.7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8"/>
      <c r="T550" s="45"/>
      <c r="U550" s="45"/>
    </row>
    <row r="551" spans="1:21" ht="18.7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8"/>
      <c r="T551" s="45"/>
      <c r="U551" s="45"/>
    </row>
    <row r="552" spans="1:21" ht="18.7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8"/>
      <c r="T552" s="45"/>
      <c r="U552" s="45"/>
    </row>
    <row r="553" spans="1:21" ht="18.7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8"/>
      <c r="T553" s="45"/>
      <c r="U553" s="45"/>
    </row>
    <row r="554" spans="1:21" ht="18.7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8"/>
      <c r="T554" s="45"/>
      <c r="U554" s="45"/>
    </row>
    <row r="555" spans="1:21" ht="18.7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8"/>
      <c r="T555" s="45"/>
      <c r="U555" s="45"/>
    </row>
    <row r="556" spans="1:21" ht="18.7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8"/>
      <c r="T556" s="45"/>
      <c r="U556" s="45"/>
    </row>
    <row r="557" spans="1:21" ht="18.7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8"/>
      <c r="T557" s="45"/>
      <c r="U557" s="45"/>
    </row>
    <row r="558" spans="1:21" ht="18.7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8"/>
      <c r="T558" s="45"/>
      <c r="U558" s="45"/>
    </row>
    <row r="559" spans="1:21" ht="18.7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8"/>
      <c r="T559" s="45"/>
      <c r="U559" s="45"/>
    </row>
    <row r="560" spans="1:21" ht="18.7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8"/>
      <c r="T560" s="45"/>
      <c r="U560" s="45"/>
    </row>
    <row r="561" spans="1:21" ht="18.7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8"/>
      <c r="T561" s="45"/>
      <c r="U561" s="45"/>
    </row>
    <row r="562" spans="1:21" ht="18.7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8"/>
      <c r="T562" s="45"/>
      <c r="U562" s="45"/>
    </row>
    <row r="563" spans="1:21" ht="18.7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8"/>
      <c r="T563" s="45"/>
      <c r="U563" s="45"/>
    </row>
    <row r="564" spans="1:21" ht="18.7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8"/>
      <c r="T564" s="45"/>
      <c r="U564" s="45"/>
    </row>
    <row r="565" spans="1:21" ht="18.7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8"/>
      <c r="T565" s="45"/>
      <c r="U565" s="45"/>
    </row>
    <row r="566" spans="1:21" ht="18.7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8"/>
      <c r="T566" s="45"/>
      <c r="U566" s="45"/>
    </row>
    <row r="567" spans="1:21" ht="18.7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8"/>
      <c r="T567" s="45"/>
      <c r="U567" s="45"/>
    </row>
    <row r="568" spans="1:21" ht="18.7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8"/>
      <c r="T568" s="45"/>
      <c r="U568" s="45"/>
    </row>
    <row r="569" spans="1:21" ht="18.7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8"/>
      <c r="T569" s="45"/>
      <c r="U569" s="45"/>
    </row>
    <row r="570" spans="1:21" ht="18.7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8"/>
      <c r="T570" s="45"/>
      <c r="U570" s="45"/>
    </row>
    <row r="571" spans="1:21" ht="18.7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8"/>
      <c r="T571" s="45"/>
      <c r="U571" s="45"/>
    </row>
    <row r="572" spans="1:21" ht="18.7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8"/>
      <c r="T572" s="45"/>
      <c r="U572" s="45"/>
    </row>
    <row r="573" spans="1:21" ht="18.7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8"/>
      <c r="T573" s="45"/>
      <c r="U573" s="45"/>
    </row>
    <row r="574" spans="1:21" ht="18.7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8"/>
      <c r="T574" s="45"/>
      <c r="U574" s="45"/>
    </row>
    <row r="575" spans="1:21" ht="18.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8"/>
      <c r="T575" s="45"/>
      <c r="U575" s="45"/>
    </row>
    <row r="576" spans="1:21" ht="18.7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8"/>
      <c r="T576" s="45"/>
      <c r="U576" s="45"/>
    </row>
    <row r="577" spans="1:21" ht="18.7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8"/>
      <c r="T577" s="45"/>
      <c r="U577" s="45"/>
    </row>
    <row r="578" spans="1:21" ht="18.7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8"/>
      <c r="T578" s="45"/>
      <c r="U578" s="45"/>
    </row>
    <row r="579" spans="1:21" ht="18.7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8"/>
      <c r="T579" s="45"/>
      <c r="U579" s="45"/>
    </row>
    <row r="580" spans="1:21" ht="18.7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8"/>
      <c r="T580" s="45"/>
      <c r="U580" s="45"/>
    </row>
    <row r="581" spans="1:21" ht="18.7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8"/>
      <c r="T581" s="45"/>
      <c r="U581" s="45"/>
    </row>
    <row r="582" spans="1:21" ht="18.7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8"/>
      <c r="T582" s="45"/>
      <c r="U582" s="45"/>
    </row>
    <row r="583" spans="1:21" ht="18.7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8"/>
      <c r="T583" s="45"/>
      <c r="U583" s="45"/>
    </row>
    <row r="584" spans="1:21" ht="18.7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8"/>
      <c r="T584" s="45"/>
      <c r="U584" s="45"/>
    </row>
    <row r="585" spans="1:21" ht="18.7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8"/>
      <c r="T585" s="45"/>
      <c r="U585" s="45"/>
    </row>
    <row r="586" spans="1:21" ht="18.7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8"/>
      <c r="T586" s="45"/>
      <c r="U586" s="45"/>
    </row>
    <row r="587" spans="1:21" ht="18.7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8"/>
      <c r="T587" s="45"/>
      <c r="U587" s="45"/>
    </row>
    <row r="588" spans="1:21" ht="18.7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8"/>
      <c r="T588" s="45"/>
      <c r="U588" s="45"/>
    </row>
    <row r="589" spans="1:21" ht="18.7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8"/>
      <c r="T589" s="45"/>
      <c r="U589" s="45"/>
    </row>
    <row r="590" spans="1:21" ht="18.7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8"/>
      <c r="T590" s="45"/>
      <c r="U590" s="45"/>
    </row>
    <row r="591" spans="1:21" ht="18.7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8"/>
      <c r="T591" s="45"/>
      <c r="U591" s="45"/>
    </row>
    <row r="592" spans="1:21" ht="18.7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8"/>
      <c r="T592" s="45"/>
      <c r="U592" s="45"/>
    </row>
    <row r="593" spans="1:21" ht="18.7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8"/>
      <c r="T593" s="45"/>
      <c r="U593" s="45"/>
    </row>
    <row r="594" spans="1:21" ht="18.7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8"/>
      <c r="T594" s="45"/>
      <c r="U594" s="45"/>
    </row>
    <row r="595" spans="1:21" ht="18.7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8"/>
      <c r="T595" s="45"/>
      <c r="U595" s="45"/>
    </row>
    <row r="596" spans="1:21" ht="18.7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8"/>
      <c r="T596" s="45"/>
      <c r="U596" s="45"/>
    </row>
    <row r="597" spans="1:21" ht="18.7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8"/>
      <c r="T597" s="45"/>
      <c r="U597" s="45"/>
    </row>
    <row r="598" spans="1:21" ht="18.7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8"/>
      <c r="T598" s="45"/>
      <c r="U598" s="45"/>
    </row>
    <row r="599" spans="1:21" ht="18.7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8"/>
      <c r="T599" s="45"/>
      <c r="U599" s="45"/>
    </row>
    <row r="600" spans="1:21" ht="18.7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8"/>
      <c r="T600" s="45"/>
      <c r="U600" s="45"/>
    </row>
    <row r="601" spans="1:21" ht="18.7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8"/>
      <c r="T601" s="45"/>
      <c r="U601" s="45"/>
    </row>
    <row r="602" spans="1:21" ht="18.7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8"/>
      <c r="T602" s="45"/>
      <c r="U602" s="45"/>
    </row>
    <row r="603" spans="1:21" ht="18.7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8"/>
      <c r="T603" s="45"/>
      <c r="U603" s="45"/>
    </row>
    <row r="604" spans="1:21" ht="18.7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8"/>
      <c r="T604" s="45"/>
      <c r="U604" s="45"/>
    </row>
    <row r="605" spans="1:21" ht="18.7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8"/>
      <c r="T605" s="45"/>
      <c r="U605" s="45"/>
    </row>
    <row r="606" spans="1:21" ht="18.7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8"/>
      <c r="T606" s="45"/>
      <c r="U606" s="45"/>
    </row>
    <row r="607" spans="1:21" ht="18.7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8"/>
      <c r="T607" s="45"/>
      <c r="U607" s="45"/>
    </row>
    <row r="608" spans="1:21" ht="18.7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8"/>
      <c r="T608" s="45"/>
      <c r="U608" s="45"/>
    </row>
    <row r="609" spans="1:21" ht="18.7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8"/>
      <c r="T609" s="45"/>
      <c r="U609" s="45"/>
    </row>
    <row r="610" spans="1:21" ht="18.7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8"/>
      <c r="T610" s="45"/>
      <c r="U610" s="45"/>
    </row>
    <row r="611" spans="1:21" ht="18.7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8"/>
      <c r="T611" s="45"/>
      <c r="U611" s="45"/>
    </row>
    <row r="612" spans="1:21" ht="18.7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8"/>
      <c r="T612" s="45"/>
      <c r="U612" s="45"/>
    </row>
    <row r="613" spans="1:21" ht="18.7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8"/>
      <c r="T613" s="45"/>
      <c r="U613" s="45"/>
    </row>
    <row r="614" spans="1:21" ht="18.7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8"/>
      <c r="T614" s="45"/>
      <c r="U614" s="45"/>
    </row>
    <row r="615" spans="1:21" ht="18.7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8"/>
      <c r="T615" s="45"/>
      <c r="U615" s="45"/>
    </row>
    <row r="616" spans="1:21" ht="18.7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8"/>
      <c r="T616" s="45"/>
      <c r="U616" s="45"/>
    </row>
    <row r="617" spans="1:21" ht="18.7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8"/>
      <c r="T617" s="45"/>
      <c r="U617" s="45"/>
    </row>
    <row r="618" spans="1:21" ht="18.7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8"/>
      <c r="T618" s="45"/>
      <c r="U618" s="45"/>
    </row>
    <row r="619" spans="1:21" ht="18.7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8"/>
      <c r="T619" s="45"/>
      <c r="U619" s="45"/>
    </row>
    <row r="620" spans="1:21" ht="18.7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8"/>
      <c r="T620" s="45"/>
      <c r="U620" s="45"/>
    </row>
    <row r="621" spans="1:21" ht="18.7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8"/>
      <c r="T621" s="45"/>
      <c r="U621" s="45"/>
    </row>
    <row r="622" spans="1:21" ht="18.7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8"/>
      <c r="T622" s="45"/>
      <c r="U622" s="45"/>
    </row>
    <row r="623" spans="1:21" ht="18.7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8"/>
      <c r="T623" s="45"/>
      <c r="U623" s="45"/>
    </row>
    <row r="624" spans="1:21" ht="18.7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8"/>
      <c r="T624" s="45"/>
      <c r="U624" s="45"/>
    </row>
    <row r="625" spans="1:21" ht="18.7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8"/>
      <c r="T625" s="45"/>
      <c r="U625" s="45"/>
    </row>
    <row r="626" spans="1:21" ht="18.7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8"/>
      <c r="T626" s="45"/>
      <c r="U626" s="45"/>
    </row>
    <row r="627" spans="1:21" ht="18.7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8"/>
      <c r="T627" s="45"/>
      <c r="U627" s="45"/>
    </row>
    <row r="628" spans="1:21" ht="18.7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8"/>
      <c r="T628" s="45"/>
      <c r="U628" s="45"/>
    </row>
    <row r="629" spans="1:21" ht="18.7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8"/>
      <c r="T629" s="45"/>
      <c r="U629" s="45"/>
    </row>
    <row r="630" spans="1:21" ht="18.7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8"/>
      <c r="T630" s="45"/>
      <c r="U630" s="45"/>
    </row>
    <row r="631" spans="1:21" ht="18.7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8"/>
      <c r="T631" s="45"/>
      <c r="U631" s="45"/>
    </row>
    <row r="632" spans="1:21" ht="18.7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8"/>
      <c r="T632" s="45"/>
      <c r="U632" s="45"/>
    </row>
    <row r="633" spans="1:21" ht="18.7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8"/>
      <c r="T633" s="45"/>
      <c r="U633" s="45"/>
    </row>
    <row r="634" spans="1:21" ht="18.7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8"/>
      <c r="T634" s="45"/>
      <c r="U634" s="45"/>
    </row>
    <row r="635" spans="1:21" ht="18.7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8"/>
      <c r="T635" s="45"/>
      <c r="U635" s="45"/>
    </row>
    <row r="636" spans="1:21" ht="18.7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8"/>
      <c r="T636" s="45"/>
      <c r="U636" s="45"/>
    </row>
    <row r="637" spans="1:21" ht="18.7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8"/>
      <c r="T637" s="45"/>
      <c r="U637" s="45"/>
    </row>
    <row r="638" spans="1:21" ht="18.7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8"/>
      <c r="T638" s="45"/>
      <c r="U638" s="45"/>
    </row>
    <row r="639" spans="1:21" ht="18.7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8"/>
      <c r="T639" s="45"/>
      <c r="U639" s="45"/>
    </row>
    <row r="640" spans="1:21" ht="18.7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8"/>
      <c r="T640" s="45"/>
      <c r="U640" s="45"/>
    </row>
    <row r="641" spans="1:21" ht="18.7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8"/>
      <c r="T641" s="45"/>
      <c r="U641" s="45"/>
    </row>
    <row r="642" spans="1:21" ht="18.7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8"/>
      <c r="T642" s="45"/>
      <c r="U642" s="45"/>
    </row>
    <row r="643" spans="1:21" ht="18.7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8"/>
      <c r="T643" s="45"/>
      <c r="U643" s="45"/>
    </row>
    <row r="644" spans="1:21" ht="18.7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8"/>
      <c r="T644" s="45"/>
      <c r="U644" s="45"/>
    </row>
    <row r="645" spans="1:21" ht="18.7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8"/>
      <c r="T645" s="45"/>
      <c r="U645" s="45"/>
    </row>
    <row r="646" spans="1:21" ht="18.7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8"/>
      <c r="T646" s="45"/>
      <c r="U646" s="45"/>
    </row>
    <row r="647" spans="1:21" ht="18.7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8"/>
      <c r="T647" s="45"/>
      <c r="U647" s="45"/>
    </row>
    <row r="648" spans="1:21" ht="18.7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8"/>
      <c r="T648" s="45"/>
      <c r="U648" s="45"/>
    </row>
    <row r="649" spans="1:21" ht="18.7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8"/>
      <c r="T649" s="45"/>
      <c r="U649" s="45"/>
    </row>
    <row r="650" spans="1:21" ht="18.7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8"/>
      <c r="T650" s="45"/>
      <c r="U650" s="45"/>
    </row>
    <row r="651" spans="1:21" ht="18.7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8"/>
      <c r="T651" s="45"/>
      <c r="U651" s="45"/>
    </row>
    <row r="652" spans="1:21" ht="18.7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8"/>
      <c r="T652" s="45"/>
      <c r="U652" s="45"/>
    </row>
    <row r="653" spans="1:21" ht="18.7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8"/>
      <c r="T653" s="45"/>
      <c r="U653" s="45"/>
    </row>
    <row r="654" spans="1:21" ht="18.7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8"/>
      <c r="T654" s="45"/>
      <c r="U654" s="45"/>
    </row>
    <row r="655" spans="1:21" ht="18.7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8"/>
      <c r="T655" s="45"/>
      <c r="U655" s="45"/>
    </row>
    <row r="656" spans="1:21" ht="18.7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8"/>
      <c r="T656" s="45"/>
      <c r="U656" s="45"/>
    </row>
    <row r="657" spans="1:21" ht="18.7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8"/>
      <c r="T657" s="45"/>
      <c r="U657" s="45"/>
    </row>
    <row r="658" spans="1:21" ht="18.7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8"/>
      <c r="T658" s="45"/>
      <c r="U658" s="45"/>
    </row>
  </sheetData>
  <autoFilter ref="A1:U25" xr:uid="{00000000-0009-0000-0000-000003000000}"/>
  <conditionalFormatting sqref="H1:H1048576 L1:L1048576">
    <cfRule type="cellIs" dxfId="21" priority="3" operator="lessThan">
      <formula>0.65</formula>
    </cfRule>
    <cfRule type="cellIs" dxfId="20" priority="4" operator="greaterThan">
      <formula>1</formula>
    </cfRule>
  </conditionalFormatting>
  <conditionalFormatting sqref="O2:R25">
    <cfRule type="cellIs" dxfId="19" priority="5" operator="lessThan">
      <formula>0.65</formula>
    </cfRule>
  </conditionalFormatting>
  <conditionalFormatting sqref="Q1">
    <cfRule type="cellIs" dxfId="18" priority="1" operator="lessThan">
      <formula>0.65</formula>
    </cfRule>
    <cfRule type="cellIs" dxfId="17" priority="2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58"/>
  <sheetViews>
    <sheetView zoomScale="85" zoomScaleNormal="85" workbookViewId="0">
      <pane ySplit="1" topLeftCell="A2" activePane="bottomLeft" state="frozen"/>
      <selection pane="bottomLeft" activeCell="A26" sqref="A26:XFD32"/>
    </sheetView>
  </sheetViews>
  <sheetFormatPr defaultColWidth="9.140625" defaultRowHeight="15"/>
  <cols>
    <col min="1" max="1" width="14.42578125" style="46" customWidth="1"/>
    <col min="2" max="18" width="12.7109375" style="46" customWidth="1"/>
    <col min="19" max="19" width="12.7109375" style="49" customWidth="1"/>
    <col min="20" max="20" width="12.7109375" style="46" customWidth="1"/>
    <col min="21" max="21" width="14.42578125" style="46" customWidth="1"/>
    <col min="22" max="16384" width="9.140625" style="32"/>
  </cols>
  <sheetData>
    <row r="1" spans="1:21" ht="60">
      <c r="A1" s="27" t="s">
        <v>123</v>
      </c>
      <c r="B1" s="28" t="s">
        <v>98</v>
      </c>
      <c r="C1" s="29" t="s">
        <v>99</v>
      </c>
      <c r="D1" s="30" t="s">
        <v>100</v>
      </c>
      <c r="E1" s="29" t="s">
        <v>101</v>
      </c>
      <c r="F1" s="30" t="s">
        <v>102</v>
      </c>
      <c r="G1" s="30" t="s">
        <v>103</v>
      </c>
      <c r="H1" s="29" t="s">
        <v>104</v>
      </c>
      <c r="I1" s="29" t="s">
        <v>105</v>
      </c>
      <c r="J1" s="30" t="s">
        <v>106</v>
      </c>
      <c r="K1" s="30" t="s">
        <v>107</v>
      </c>
      <c r="L1" s="29" t="s">
        <v>108</v>
      </c>
      <c r="M1" s="29" t="s">
        <v>109</v>
      </c>
      <c r="N1" s="29" t="s">
        <v>110</v>
      </c>
      <c r="O1" s="29" t="s">
        <v>111</v>
      </c>
      <c r="P1" s="29" t="s">
        <v>112</v>
      </c>
      <c r="Q1" s="29" t="s">
        <v>113</v>
      </c>
      <c r="R1" s="29" t="s">
        <v>114</v>
      </c>
      <c r="S1" s="47" t="s">
        <v>115</v>
      </c>
      <c r="T1" s="29" t="s">
        <v>116</v>
      </c>
      <c r="U1" s="31" t="s">
        <v>117</v>
      </c>
    </row>
    <row r="2" spans="1:21" ht="18.75">
      <c r="A2" s="44">
        <v>46055</v>
      </c>
      <c r="B2" s="34">
        <f>SUMIFS('OEE AHV'!J:J,'OEE AHV'!$B:$B,'AHV-04'!$A2,'OEE AHV'!$D:$D,'AHV-04'!$A$1)</f>
        <v>97.278645833333343</v>
      </c>
      <c r="C2" s="35">
        <f t="shared" ref="C2:C25" si="0">AVERAGEIF($B:$B,"&gt;0")</f>
        <v>105.43012152777781</v>
      </c>
      <c r="D2" s="34">
        <f t="shared" ref="D2:D25" si="1">ROUNDDOWN((K2/750)+(F2/240)+(F2/240),"0")</f>
        <v>30</v>
      </c>
      <c r="E2" s="36">
        <f t="shared" ref="E2:E25" si="2">AVERAGEIF($D:$D,"&gt;0")</f>
        <v>33.291666666666664</v>
      </c>
      <c r="F2" s="34">
        <f>SUMIFS('OEE AHV'!M:M,'OEE AHV'!$B:$B,'AHV-04'!$A2,'OEE AHV'!$D:$D,'AHV-04'!$A$1)</f>
        <v>1140.7213541666665</v>
      </c>
      <c r="G2" s="37">
        <f t="shared" ref="G2:G25" si="3">ROUNDUP((1400-F2)-(F2*0.5%),"0")</f>
        <v>254</v>
      </c>
      <c r="H2" s="38">
        <f t="shared" ref="H2:H25" si="4">IFERROR(IF(AND(F2="",G2="")=TRUE,"",F2/(1440-G2)),"")</f>
        <v>0.96182238968521627</v>
      </c>
      <c r="I2" s="38">
        <f>95%</f>
        <v>0.95</v>
      </c>
      <c r="J2" s="39"/>
      <c r="K2" s="40">
        <f>SUMIFS('OEE AHV'!Q:Q,'OEE AHV'!$B:$B,'AHV-04'!$A2,'OEE AHV'!$D:$D,'AHV-04'!$A$1)</f>
        <v>15860</v>
      </c>
      <c r="L2" s="38">
        <f t="shared" ref="L2:L25" si="5">IF(AND(J2="",K2="")=TRUE,"",IF(OR(J2="MMS",K2="MMS")=TRUE,"",IFERROR(K2/((F2*60)/J2),1)))</f>
        <v>1</v>
      </c>
      <c r="M2" s="38">
        <f>99%</f>
        <v>0.99</v>
      </c>
      <c r="N2" s="41" t="s">
        <v>118</v>
      </c>
      <c r="O2" s="38">
        <f t="shared" ref="O2:O25" si="6">IF(N2="","",IF(N2="MMS","",IFERROR((K2-N2)/K2,1)))</f>
        <v>1</v>
      </c>
      <c r="P2" s="38">
        <f>100%</f>
        <v>1</v>
      </c>
      <c r="Q2" s="38">
        <f t="shared" ref="Q2:R17" si="7">IFERROR(IF(AND(H2="",L2="",O2="")=TRUE,"",IF(H2="",1,H2)*IF(L2="",1,L2)*IF(O2="",1,O2)),"")</f>
        <v>0.96182238968521627</v>
      </c>
      <c r="R2" s="38">
        <f t="shared" si="7"/>
        <v>0.9405</v>
      </c>
      <c r="S2" s="42">
        <f>ROUNDUP((('AHV-04'!$F2/480)/3),"0")</f>
        <v>1</v>
      </c>
      <c r="T2" s="43">
        <f t="shared" ref="T2:T25" si="8">IFERROR(K2/S2,"")</f>
        <v>15860</v>
      </c>
      <c r="U2" s="33" t="s">
        <v>119</v>
      </c>
    </row>
    <row r="3" spans="1:21" ht="18.75">
      <c r="A3" s="44">
        <v>46056</v>
      </c>
      <c r="B3" s="34">
        <f>SUMIFS('OEE AHV'!J:J,'OEE AHV'!$B:$B,'AHV-04'!$A3,'OEE AHV'!$D:$D,'AHV-04'!$A$1)</f>
        <v>108.91341145833333</v>
      </c>
      <c r="C3" s="35">
        <f t="shared" si="0"/>
        <v>105.43012152777781</v>
      </c>
      <c r="D3" s="34">
        <f t="shared" si="1"/>
        <v>35</v>
      </c>
      <c r="E3" s="36">
        <f t="shared" si="2"/>
        <v>33.291666666666664</v>
      </c>
      <c r="F3" s="34">
        <f>SUMIFS('OEE AHV'!M:M,'OEE AHV'!$B:$B,'AHV-04'!$A3,'OEE AHV'!$D:$D,'AHV-04'!$A$1)</f>
        <v>1323.0865885416667</v>
      </c>
      <c r="G3" s="37">
        <f t="shared" si="3"/>
        <v>71</v>
      </c>
      <c r="H3" s="38">
        <f t="shared" si="4"/>
        <v>0.96646208074628692</v>
      </c>
      <c r="I3" s="38">
        <f t="shared" ref="I3:I25" si="9">I2</f>
        <v>0.95</v>
      </c>
      <c r="J3" s="39"/>
      <c r="K3" s="40">
        <f>SUMIFS('OEE AHV'!Q:Q,'OEE AHV'!$B:$B,'AHV-04'!$A3,'OEE AHV'!$D:$D,'AHV-04'!$A$1)</f>
        <v>18413</v>
      </c>
      <c r="L3" s="38">
        <f t="shared" si="5"/>
        <v>1</v>
      </c>
      <c r="M3" s="38">
        <f t="shared" ref="M3:M25" si="10">M2</f>
        <v>0.99</v>
      </c>
      <c r="N3" s="41" t="s">
        <v>118</v>
      </c>
      <c r="O3" s="38">
        <f t="shared" si="6"/>
        <v>1</v>
      </c>
      <c r="P3" s="38">
        <f t="shared" ref="P3:P25" si="11">P2</f>
        <v>1</v>
      </c>
      <c r="Q3" s="38">
        <f t="shared" si="7"/>
        <v>0.96646208074628692</v>
      </c>
      <c r="R3" s="38">
        <f t="shared" si="7"/>
        <v>0.9405</v>
      </c>
      <c r="S3" s="42">
        <f>ROUNDUP((('AHV-04'!$F3/480)/3),"0")</f>
        <v>1</v>
      </c>
      <c r="T3" s="43">
        <f t="shared" si="8"/>
        <v>18413</v>
      </c>
      <c r="U3" s="33" t="str">
        <f t="shared" ref="U3:U25" si="12">U2</f>
        <v>FY2025_MLS_Spindle Motor_Spindle Motor(FDB UNIT)_Bang Pa-in</v>
      </c>
    </row>
    <row r="4" spans="1:21" ht="18.75">
      <c r="A4" s="44">
        <v>46057</v>
      </c>
      <c r="B4" s="34">
        <f>SUMIFS('OEE AHV'!J:J,'OEE AHV'!$B:$B,'AHV-04'!$A4,'OEE AHV'!$D:$D,'AHV-04'!$A$1)</f>
        <v>104.26953125</v>
      </c>
      <c r="C4" s="35">
        <f t="shared" si="0"/>
        <v>105.43012152777781</v>
      </c>
      <c r="D4" s="34">
        <f t="shared" si="1"/>
        <v>33</v>
      </c>
      <c r="E4" s="36">
        <f t="shared" si="2"/>
        <v>33.291666666666664</v>
      </c>
      <c r="F4" s="34">
        <f>SUMIFS('OEE AHV'!M:M,'OEE AHV'!$B:$B,'AHV-04'!$A4,'OEE AHV'!$D:$D,'AHV-04'!$A$1)</f>
        <v>1230.73046875</v>
      </c>
      <c r="G4" s="37">
        <f t="shared" si="3"/>
        <v>164</v>
      </c>
      <c r="H4" s="38">
        <f t="shared" si="4"/>
        <v>0.96452231093260188</v>
      </c>
      <c r="I4" s="38">
        <f t="shared" si="9"/>
        <v>0.95</v>
      </c>
      <c r="J4" s="39"/>
      <c r="K4" s="40">
        <f>SUMIFS('OEE AHV'!Q:Q,'OEE AHV'!$B:$B,'AHV-04'!$A4,'OEE AHV'!$D:$D,'AHV-04'!$A$1)</f>
        <v>17394</v>
      </c>
      <c r="L4" s="38">
        <f t="shared" si="5"/>
        <v>1</v>
      </c>
      <c r="M4" s="38">
        <f t="shared" si="10"/>
        <v>0.99</v>
      </c>
      <c r="N4" s="41" t="s">
        <v>118</v>
      </c>
      <c r="O4" s="38">
        <f t="shared" si="6"/>
        <v>1</v>
      </c>
      <c r="P4" s="38">
        <f t="shared" si="11"/>
        <v>1</v>
      </c>
      <c r="Q4" s="38">
        <f t="shared" si="7"/>
        <v>0.96452231093260188</v>
      </c>
      <c r="R4" s="38">
        <f t="shared" si="7"/>
        <v>0.9405</v>
      </c>
      <c r="S4" s="42">
        <f>ROUNDUP((('AHV-04'!$F4/480)/3),"0")</f>
        <v>1</v>
      </c>
      <c r="T4" s="43">
        <f t="shared" si="8"/>
        <v>17394</v>
      </c>
      <c r="U4" s="33" t="str">
        <f t="shared" si="12"/>
        <v>FY2025_MLS_Spindle Motor_Spindle Motor(FDB UNIT)_Bang Pa-in</v>
      </c>
    </row>
    <row r="5" spans="1:21" ht="18.75">
      <c r="A5" s="44">
        <v>46058</v>
      </c>
      <c r="B5" s="34">
        <f>SUMIFS('OEE AHV'!J:J,'OEE AHV'!$B:$B,'AHV-04'!$A5,'OEE AHV'!$D:$D,'AHV-04'!$A$1)</f>
        <v>99.607421875</v>
      </c>
      <c r="C5" s="35">
        <f t="shared" si="0"/>
        <v>105.43012152777781</v>
      </c>
      <c r="D5" s="34">
        <f t="shared" si="1"/>
        <v>31</v>
      </c>
      <c r="E5" s="36">
        <f t="shared" si="2"/>
        <v>33.291666666666664</v>
      </c>
      <c r="F5" s="34">
        <f>SUMIFS('OEE AHV'!M:M,'OEE AHV'!$B:$B,'AHV-04'!$A5,'OEE AHV'!$D:$D,'AHV-04'!$A$1)</f>
        <v>1129.392578125</v>
      </c>
      <c r="G5" s="37">
        <f t="shared" si="3"/>
        <v>265</v>
      </c>
      <c r="H5" s="38">
        <f t="shared" si="4"/>
        <v>0.9611851728723404</v>
      </c>
      <c r="I5" s="38">
        <f t="shared" si="9"/>
        <v>0.95</v>
      </c>
      <c r="J5" s="39"/>
      <c r="K5" s="40">
        <f>SUMIFS('OEE AHV'!Q:Q,'OEE AHV'!$B:$B,'AHV-04'!$A5,'OEE AHV'!$D:$D,'AHV-04'!$A$1)</f>
        <v>16371</v>
      </c>
      <c r="L5" s="38">
        <f t="shared" si="5"/>
        <v>1</v>
      </c>
      <c r="M5" s="38">
        <f t="shared" si="10"/>
        <v>0.99</v>
      </c>
      <c r="N5" s="41" t="s">
        <v>118</v>
      </c>
      <c r="O5" s="38">
        <f t="shared" si="6"/>
        <v>1</v>
      </c>
      <c r="P5" s="38">
        <f t="shared" si="11"/>
        <v>1</v>
      </c>
      <c r="Q5" s="38">
        <f t="shared" si="7"/>
        <v>0.9611851728723404</v>
      </c>
      <c r="R5" s="38">
        <f t="shared" si="7"/>
        <v>0.9405</v>
      </c>
      <c r="S5" s="42">
        <f>ROUNDUP((('AHV-04'!$F5/480)/3),"0")</f>
        <v>1</v>
      </c>
      <c r="T5" s="43">
        <f t="shared" si="8"/>
        <v>16371</v>
      </c>
      <c r="U5" s="33" t="str">
        <f t="shared" si="12"/>
        <v>FY2025_MLS_Spindle Motor_Spindle Motor(FDB UNIT)_Bang Pa-in</v>
      </c>
    </row>
    <row r="6" spans="1:21" ht="18.75">
      <c r="A6" s="44">
        <v>46059</v>
      </c>
      <c r="B6" s="34">
        <f>SUMIFS('OEE AHV'!J:J,'OEE AHV'!$B:$B,'AHV-04'!$A6,'OEE AHV'!$D:$D,'AHV-04'!$A$1)</f>
        <v>101.96354166666666</v>
      </c>
      <c r="C6" s="35">
        <f t="shared" si="0"/>
        <v>105.43012152777781</v>
      </c>
      <c r="D6" s="34">
        <f t="shared" si="1"/>
        <v>31</v>
      </c>
      <c r="E6" s="36">
        <f t="shared" si="2"/>
        <v>33.291666666666664</v>
      </c>
      <c r="F6" s="34">
        <f>SUMIFS('OEE AHV'!M:M,'OEE AHV'!$B:$B,'AHV-04'!$A6,'OEE AHV'!$D:$D,'AHV-04'!$A$1)</f>
        <v>1067.0364583333335</v>
      </c>
      <c r="G6" s="37">
        <f t="shared" si="3"/>
        <v>328</v>
      </c>
      <c r="H6" s="38">
        <f t="shared" si="4"/>
        <v>0.95956516037170281</v>
      </c>
      <c r="I6" s="38">
        <f t="shared" si="9"/>
        <v>0.95</v>
      </c>
      <c r="J6" s="39"/>
      <c r="K6" s="40">
        <f>SUMIFS('OEE AHV'!Q:Q,'OEE AHV'!$B:$B,'AHV-04'!$A6,'OEE AHV'!$D:$D,'AHV-04'!$A$1)</f>
        <v>16888</v>
      </c>
      <c r="L6" s="38">
        <f t="shared" si="5"/>
        <v>1</v>
      </c>
      <c r="M6" s="38">
        <f t="shared" si="10"/>
        <v>0.99</v>
      </c>
      <c r="N6" s="41" t="s">
        <v>118</v>
      </c>
      <c r="O6" s="38">
        <f t="shared" si="6"/>
        <v>1</v>
      </c>
      <c r="P6" s="38">
        <f t="shared" si="11"/>
        <v>1</v>
      </c>
      <c r="Q6" s="38">
        <f t="shared" si="7"/>
        <v>0.95956516037170281</v>
      </c>
      <c r="R6" s="38">
        <f t="shared" si="7"/>
        <v>0.9405</v>
      </c>
      <c r="S6" s="42">
        <f>ROUNDUP((('AHV-04'!$F6/480)/3),"0")</f>
        <v>1</v>
      </c>
      <c r="T6" s="43">
        <f t="shared" si="8"/>
        <v>16888</v>
      </c>
      <c r="U6" s="33" t="str">
        <f t="shared" si="12"/>
        <v>FY2025_MLS_Spindle Motor_Spindle Motor(FDB UNIT)_Bang Pa-in</v>
      </c>
    </row>
    <row r="7" spans="1:21" ht="18.75">
      <c r="A7" s="44">
        <v>46060</v>
      </c>
      <c r="B7" s="34">
        <f>SUMIFS('OEE AHV'!J:J,'OEE AHV'!$B:$B,'AHV-04'!$A7,'OEE AHV'!$D:$D,'AHV-04'!$A$1)</f>
        <v>111.25130208333333</v>
      </c>
      <c r="C7" s="35">
        <f t="shared" si="0"/>
        <v>105.43012152777781</v>
      </c>
      <c r="D7" s="34">
        <f t="shared" si="1"/>
        <v>36</v>
      </c>
      <c r="E7" s="36">
        <f t="shared" si="2"/>
        <v>33.291666666666664</v>
      </c>
      <c r="F7" s="34">
        <f>SUMIFS('OEE AHV'!M:M,'OEE AHV'!$B:$B,'AHV-04'!$A7,'OEE AHV'!$D:$D,'AHV-04'!$A$1)</f>
        <v>1309.7486979166667</v>
      </c>
      <c r="G7" s="37">
        <f t="shared" si="3"/>
        <v>84</v>
      </c>
      <c r="H7" s="38">
        <f t="shared" si="4"/>
        <v>0.96589137014503446</v>
      </c>
      <c r="I7" s="38">
        <f t="shared" si="9"/>
        <v>0.95</v>
      </c>
      <c r="J7" s="39"/>
      <c r="K7" s="40">
        <f>SUMIFS('OEE AHV'!Q:Q,'OEE AHV'!$B:$B,'AHV-04'!$A7,'OEE AHV'!$D:$D,'AHV-04'!$A$1)</f>
        <v>18926</v>
      </c>
      <c r="L7" s="38">
        <f t="shared" si="5"/>
        <v>1</v>
      </c>
      <c r="M7" s="38">
        <f t="shared" si="10"/>
        <v>0.99</v>
      </c>
      <c r="N7" s="41" t="s">
        <v>118</v>
      </c>
      <c r="O7" s="38">
        <f t="shared" si="6"/>
        <v>1</v>
      </c>
      <c r="P7" s="38">
        <f t="shared" si="11"/>
        <v>1</v>
      </c>
      <c r="Q7" s="38">
        <f t="shared" si="7"/>
        <v>0.96589137014503446</v>
      </c>
      <c r="R7" s="38">
        <f t="shared" si="7"/>
        <v>0.9405</v>
      </c>
      <c r="S7" s="42">
        <f>ROUNDUP((('AHV-04'!$F7/480)/3),"0")</f>
        <v>1</v>
      </c>
      <c r="T7" s="43">
        <f t="shared" si="8"/>
        <v>18926</v>
      </c>
      <c r="U7" s="33" t="str">
        <f t="shared" si="12"/>
        <v>FY2025_MLS_Spindle Motor_Spindle Motor(FDB UNIT)_Bang Pa-in</v>
      </c>
    </row>
    <row r="8" spans="1:21" ht="18.75">
      <c r="A8" s="44">
        <v>46061</v>
      </c>
      <c r="B8" s="34">
        <f>SUMIFS('OEE AHV'!J:J,'OEE AHV'!$B:$B,'AHV-04'!$A8,'OEE AHV'!$D:$D,'AHV-04'!$A$1)</f>
        <v>62.296875</v>
      </c>
      <c r="C8" s="35">
        <f t="shared" si="0"/>
        <v>105.43012152777781</v>
      </c>
      <c r="D8" s="34">
        <f t="shared" si="1"/>
        <v>16</v>
      </c>
      <c r="E8" s="36">
        <f t="shared" si="2"/>
        <v>33.291666666666664</v>
      </c>
      <c r="F8" s="34">
        <f>SUMIFS('OEE AHV'!M:M,'OEE AHV'!$B:$B,'AHV-04'!$A8,'OEE AHV'!$D:$D,'AHV-04'!$A$1)</f>
        <v>657.703125</v>
      </c>
      <c r="G8" s="37">
        <f t="shared" si="3"/>
        <v>740</v>
      </c>
      <c r="H8" s="38">
        <f t="shared" si="4"/>
        <v>0.93957589285714282</v>
      </c>
      <c r="I8" s="38">
        <f t="shared" si="9"/>
        <v>0.95</v>
      </c>
      <c r="J8" s="39"/>
      <c r="K8" s="40">
        <f>SUMIFS('OEE AHV'!Q:Q,'OEE AHV'!$B:$B,'AHV-04'!$A8,'OEE AHV'!$D:$D,'AHV-04'!$A$1)</f>
        <v>8184</v>
      </c>
      <c r="L8" s="38">
        <f t="shared" si="5"/>
        <v>1</v>
      </c>
      <c r="M8" s="38">
        <f t="shared" si="10"/>
        <v>0.99</v>
      </c>
      <c r="N8" s="41" t="s">
        <v>118</v>
      </c>
      <c r="O8" s="38">
        <f t="shared" si="6"/>
        <v>1</v>
      </c>
      <c r="P8" s="38">
        <f t="shared" si="11"/>
        <v>1</v>
      </c>
      <c r="Q8" s="38">
        <f t="shared" si="7"/>
        <v>0.93957589285714282</v>
      </c>
      <c r="R8" s="38">
        <f t="shared" si="7"/>
        <v>0.9405</v>
      </c>
      <c r="S8" s="42">
        <f>ROUNDUP((('AHV-04'!$F8/480)/3),"0")</f>
        <v>1</v>
      </c>
      <c r="T8" s="43">
        <f t="shared" si="8"/>
        <v>8184</v>
      </c>
      <c r="U8" s="33" t="str">
        <f t="shared" si="12"/>
        <v>FY2025_MLS_Spindle Motor_Spindle Motor(FDB UNIT)_Bang Pa-in</v>
      </c>
    </row>
    <row r="9" spans="1:21" ht="18.75">
      <c r="A9" s="44">
        <v>46062</v>
      </c>
      <c r="B9" s="34">
        <f>SUMIFS('OEE AHV'!J:J,'OEE AHV'!$B:$B,'AHV-04'!$A9,'OEE AHV'!$D:$D,'AHV-04'!$A$1)</f>
        <v>101.95442708333333</v>
      </c>
      <c r="C9" s="35">
        <f t="shared" si="0"/>
        <v>105.43012152777781</v>
      </c>
      <c r="D9" s="34">
        <f t="shared" si="1"/>
        <v>32</v>
      </c>
      <c r="E9" s="36">
        <f t="shared" si="2"/>
        <v>33.291666666666664</v>
      </c>
      <c r="F9" s="34">
        <f>SUMIFS('OEE AHV'!M:M,'OEE AHV'!$B:$B,'AHV-04'!$A9,'OEE AHV'!$D:$D,'AHV-04'!$A$1)</f>
        <v>1188.0455729166667</v>
      </c>
      <c r="G9" s="37">
        <f t="shared" si="3"/>
        <v>207</v>
      </c>
      <c r="H9" s="38">
        <f t="shared" si="4"/>
        <v>0.96354061063801033</v>
      </c>
      <c r="I9" s="38">
        <f t="shared" si="9"/>
        <v>0.95</v>
      </c>
      <c r="J9" s="39"/>
      <c r="K9" s="40">
        <f>SUMIFS('OEE AHV'!Q:Q,'OEE AHV'!$B:$B,'AHV-04'!$A9,'OEE AHV'!$D:$D,'AHV-04'!$A$1)</f>
        <v>16886</v>
      </c>
      <c r="L9" s="38">
        <f t="shared" si="5"/>
        <v>1</v>
      </c>
      <c r="M9" s="38">
        <f t="shared" si="10"/>
        <v>0.99</v>
      </c>
      <c r="N9" s="41" t="s">
        <v>118</v>
      </c>
      <c r="O9" s="38">
        <f t="shared" si="6"/>
        <v>1</v>
      </c>
      <c r="P9" s="38">
        <f t="shared" si="11"/>
        <v>1</v>
      </c>
      <c r="Q9" s="38">
        <f t="shared" si="7"/>
        <v>0.96354061063801033</v>
      </c>
      <c r="R9" s="38">
        <f t="shared" si="7"/>
        <v>0.9405</v>
      </c>
      <c r="S9" s="42">
        <f>ROUNDUP((('AHV-04'!$F9/480)/3),"0")</f>
        <v>1</v>
      </c>
      <c r="T9" s="43">
        <f t="shared" si="8"/>
        <v>16886</v>
      </c>
      <c r="U9" s="33" t="str">
        <f t="shared" si="12"/>
        <v>FY2025_MLS_Spindle Motor_Spindle Motor(FDB UNIT)_Bang Pa-in</v>
      </c>
    </row>
    <row r="10" spans="1:21" ht="18.75">
      <c r="A10" s="44">
        <v>46063</v>
      </c>
      <c r="B10" s="34">
        <f>SUMIFS('OEE AHV'!J:J,'OEE AHV'!$B:$B,'AHV-04'!$A10,'OEE AHV'!$D:$D,'AHV-04'!$A$1)</f>
        <v>106.552734375</v>
      </c>
      <c r="C10" s="35">
        <f t="shared" si="0"/>
        <v>105.43012152777781</v>
      </c>
      <c r="D10" s="34">
        <f t="shared" si="1"/>
        <v>34</v>
      </c>
      <c r="E10" s="36">
        <f t="shared" si="2"/>
        <v>33.291666666666664</v>
      </c>
      <c r="F10" s="34">
        <f>SUMIFS('OEE AHV'!M:M,'OEE AHV'!$B:$B,'AHV-04'!$A10,'OEE AHV'!$D:$D,'AHV-04'!$A$1)</f>
        <v>1333.447265625</v>
      </c>
      <c r="G10" s="37">
        <f t="shared" si="3"/>
        <v>60</v>
      </c>
      <c r="H10" s="38">
        <f t="shared" si="4"/>
        <v>0.96626613451086951</v>
      </c>
      <c r="I10" s="38">
        <f t="shared" si="9"/>
        <v>0.95</v>
      </c>
      <c r="J10" s="39"/>
      <c r="K10" s="40">
        <f>SUMIFS('OEE AHV'!Q:Q,'OEE AHV'!$B:$B,'AHV-04'!$A10,'OEE AHV'!$D:$D,'AHV-04'!$A$1)</f>
        <v>17895</v>
      </c>
      <c r="L10" s="38">
        <f t="shared" si="5"/>
        <v>1</v>
      </c>
      <c r="M10" s="38">
        <f t="shared" si="10"/>
        <v>0.99</v>
      </c>
      <c r="N10" s="41" t="s">
        <v>118</v>
      </c>
      <c r="O10" s="38">
        <f t="shared" si="6"/>
        <v>1</v>
      </c>
      <c r="P10" s="38">
        <f t="shared" si="11"/>
        <v>1</v>
      </c>
      <c r="Q10" s="38">
        <f t="shared" si="7"/>
        <v>0.96626613451086951</v>
      </c>
      <c r="R10" s="38">
        <f t="shared" si="7"/>
        <v>0.9405</v>
      </c>
      <c r="S10" s="42">
        <f>ROUNDUP((('AHV-04'!$F10/480)/3),"0")</f>
        <v>1</v>
      </c>
      <c r="T10" s="43">
        <f t="shared" si="8"/>
        <v>17895</v>
      </c>
      <c r="U10" s="33" t="str">
        <f t="shared" si="12"/>
        <v>FY2025_MLS_Spindle Motor_Spindle Motor(FDB UNIT)_Bang Pa-in</v>
      </c>
    </row>
    <row r="11" spans="1:21" ht="18.75">
      <c r="A11" s="44">
        <v>46064</v>
      </c>
      <c r="B11" s="34">
        <f>SUMIFS('OEE AHV'!J:J,'OEE AHV'!$B:$B,'AHV-04'!$A11,'OEE AHV'!$D:$D,'AHV-04'!$A$1)</f>
        <v>108.91341145833333</v>
      </c>
      <c r="C11" s="35">
        <f t="shared" si="0"/>
        <v>105.43012152777781</v>
      </c>
      <c r="D11" s="34">
        <f t="shared" si="1"/>
        <v>35</v>
      </c>
      <c r="E11" s="36">
        <f t="shared" si="2"/>
        <v>33.291666666666664</v>
      </c>
      <c r="F11" s="34">
        <f>SUMIFS('OEE AHV'!M:M,'OEE AHV'!$B:$B,'AHV-04'!$A11,'OEE AHV'!$D:$D,'AHV-04'!$A$1)</f>
        <v>1331.0865885416667</v>
      </c>
      <c r="G11" s="37">
        <f t="shared" si="3"/>
        <v>63</v>
      </c>
      <c r="H11" s="38">
        <f t="shared" si="4"/>
        <v>0.96665692704550965</v>
      </c>
      <c r="I11" s="38">
        <f t="shared" si="9"/>
        <v>0.95</v>
      </c>
      <c r="J11" s="39"/>
      <c r="K11" s="40">
        <f>SUMIFS('OEE AHV'!Q:Q,'OEE AHV'!$B:$B,'AHV-04'!$A11,'OEE AHV'!$D:$D,'AHV-04'!$A$1)</f>
        <v>18413</v>
      </c>
      <c r="L11" s="38">
        <f t="shared" si="5"/>
        <v>1</v>
      </c>
      <c r="M11" s="38">
        <f t="shared" si="10"/>
        <v>0.99</v>
      </c>
      <c r="N11" s="41" t="s">
        <v>118</v>
      </c>
      <c r="O11" s="38">
        <f t="shared" si="6"/>
        <v>1</v>
      </c>
      <c r="P11" s="38">
        <f t="shared" si="11"/>
        <v>1</v>
      </c>
      <c r="Q11" s="38">
        <f t="shared" si="7"/>
        <v>0.96665692704550965</v>
      </c>
      <c r="R11" s="38">
        <f t="shared" si="7"/>
        <v>0.9405</v>
      </c>
      <c r="S11" s="42">
        <f>ROUNDUP((('AHV-04'!$F11/480)/3),"0")</f>
        <v>1</v>
      </c>
      <c r="T11" s="43">
        <f t="shared" si="8"/>
        <v>18413</v>
      </c>
      <c r="U11" s="33" t="str">
        <f t="shared" si="12"/>
        <v>FY2025_MLS_Spindle Motor_Spindle Motor(FDB UNIT)_Bang Pa-in</v>
      </c>
    </row>
    <row r="12" spans="1:21" ht="18.75">
      <c r="A12" s="44">
        <v>46065</v>
      </c>
      <c r="B12" s="34">
        <f>SUMIFS('OEE AHV'!J:J,'OEE AHV'!$B:$B,'AHV-04'!$A12,'OEE AHV'!$D:$D,'AHV-04'!$A$1)</f>
        <v>104.29231770833333</v>
      </c>
      <c r="C12" s="35">
        <f t="shared" si="0"/>
        <v>105.43012152777781</v>
      </c>
      <c r="D12" s="34">
        <f t="shared" si="1"/>
        <v>34</v>
      </c>
      <c r="E12" s="36">
        <f t="shared" si="2"/>
        <v>33.291666666666664</v>
      </c>
      <c r="F12" s="34">
        <f>SUMIFS('OEE AHV'!M:M,'OEE AHV'!$B:$B,'AHV-04'!$A12,'OEE AHV'!$D:$D,'AHV-04'!$A$1)</f>
        <v>1335.7076822916667</v>
      </c>
      <c r="G12" s="37">
        <f t="shared" si="3"/>
        <v>58</v>
      </c>
      <c r="H12" s="38">
        <f t="shared" si="4"/>
        <v>0.96650338805475167</v>
      </c>
      <c r="I12" s="38">
        <f t="shared" si="9"/>
        <v>0.95</v>
      </c>
      <c r="J12" s="39"/>
      <c r="K12" s="40">
        <f>SUMIFS('OEE AHV'!Q:Q,'OEE AHV'!$B:$B,'AHV-04'!$A12,'OEE AHV'!$D:$D,'AHV-04'!$A$1)</f>
        <v>17399</v>
      </c>
      <c r="L12" s="38">
        <f t="shared" si="5"/>
        <v>1</v>
      </c>
      <c r="M12" s="38">
        <f t="shared" si="10"/>
        <v>0.99</v>
      </c>
      <c r="N12" s="41" t="s">
        <v>118</v>
      </c>
      <c r="O12" s="38">
        <f t="shared" si="6"/>
        <v>1</v>
      </c>
      <c r="P12" s="38">
        <f t="shared" si="11"/>
        <v>1</v>
      </c>
      <c r="Q12" s="38">
        <f t="shared" si="7"/>
        <v>0.96650338805475167</v>
      </c>
      <c r="R12" s="38">
        <f t="shared" si="7"/>
        <v>0.9405</v>
      </c>
      <c r="S12" s="42">
        <f>ROUNDUP((('AHV-04'!$F12/480)/3),"0")</f>
        <v>1</v>
      </c>
      <c r="T12" s="43">
        <f t="shared" si="8"/>
        <v>17399</v>
      </c>
      <c r="U12" s="33" t="str">
        <f t="shared" si="12"/>
        <v>FY2025_MLS_Spindle Motor_Spindle Motor(FDB UNIT)_Bang Pa-in</v>
      </c>
    </row>
    <row r="13" spans="1:21" ht="18.75">
      <c r="A13" s="44">
        <v>46066</v>
      </c>
      <c r="B13" s="34">
        <f>SUMIFS('OEE AHV'!J:J,'OEE AHV'!$B:$B,'AHV-04'!$A13,'OEE AHV'!$D:$D,'AHV-04'!$A$1)</f>
        <v>111.26041666666666</v>
      </c>
      <c r="C13" s="35">
        <f t="shared" si="0"/>
        <v>105.43012152777781</v>
      </c>
      <c r="D13" s="34">
        <f t="shared" si="1"/>
        <v>35</v>
      </c>
      <c r="E13" s="36">
        <f t="shared" si="2"/>
        <v>33.291666666666664</v>
      </c>
      <c r="F13" s="34">
        <f>SUMIFS('OEE AHV'!M:M,'OEE AHV'!$B:$B,'AHV-04'!$A13,'OEE AHV'!$D:$D,'AHV-04'!$A$1)</f>
        <v>1198.7395833333333</v>
      </c>
      <c r="G13" s="37">
        <f t="shared" si="3"/>
        <v>196</v>
      </c>
      <c r="H13" s="38">
        <f t="shared" si="4"/>
        <v>0.96361702840300101</v>
      </c>
      <c r="I13" s="38">
        <f t="shared" si="9"/>
        <v>0.95</v>
      </c>
      <c r="J13" s="39"/>
      <c r="K13" s="40">
        <f>SUMIFS('OEE AHV'!Q:Q,'OEE AHV'!$B:$B,'AHV-04'!$A13,'OEE AHV'!$D:$D,'AHV-04'!$A$1)</f>
        <v>18928</v>
      </c>
      <c r="L13" s="38">
        <f t="shared" si="5"/>
        <v>1</v>
      </c>
      <c r="M13" s="38">
        <f t="shared" si="10"/>
        <v>0.99</v>
      </c>
      <c r="N13" s="41" t="s">
        <v>118</v>
      </c>
      <c r="O13" s="38">
        <f t="shared" si="6"/>
        <v>1</v>
      </c>
      <c r="P13" s="38">
        <f t="shared" si="11"/>
        <v>1</v>
      </c>
      <c r="Q13" s="38">
        <f t="shared" si="7"/>
        <v>0.96361702840300101</v>
      </c>
      <c r="R13" s="38">
        <f t="shared" si="7"/>
        <v>0.9405</v>
      </c>
      <c r="S13" s="42">
        <f>ROUNDUP((('AHV-04'!$F13/480)/3),"0")</f>
        <v>1</v>
      </c>
      <c r="T13" s="43">
        <f t="shared" si="8"/>
        <v>18928</v>
      </c>
      <c r="U13" s="33" t="str">
        <f t="shared" si="12"/>
        <v>FY2025_MLS_Spindle Motor_Spindle Motor(FDB UNIT)_Bang Pa-in</v>
      </c>
    </row>
    <row r="14" spans="1:21" ht="18.75">
      <c r="A14" s="44">
        <v>46067</v>
      </c>
      <c r="B14" s="34">
        <f>SUMIFS('OEE AHV'!J:J,'OEE AHV'!$B:$B,'AHV-04'!$A14,'OEE AHV'!$D:$D,'AHV-04'!$A$1)</f>
        <v>111.255859375</v>
      </c>
      <c r="C14" s="35">
        <f t="shared" si="0"/>
        <v>105.43012152777781</v>
      </c>
      <c r="D14" s="34">
        <f t="shared" si="1"/>
        <v>36</v>
      </c>
      <c r="E14" s="36">
        <f t="shared" si="2"/>
        <v>33.291666666666664</v>
      </c>
      <c r="F14" s="34">
        <f>SUMIFS('OEE AHV'!M:M,'OEE AHV'!$B:$B,'AHV-04'!$A14,'OEE AHV'!$D:$D,'AHV-04'!$A$1)</f>
        <v>1313.744140625</v>
      </c>
      <c r="G14" s="37">
        <f t="shared" si="3"/>
        <v>80</v>
      </c>
      <c r="H14" s="38">
        <f t="shared" si="4"/>
        <v>0.9659883386948529</v>
      </c>
      <c r="I14" s="38">
        <f t="shared" si="9"/>
        <v>0.95</v>
      </c>
      <c r="J14" s="39"/>
      <c r="K14" s="40">
        <f>SUMIFS('OEE AHV'!Q:Q,'OEE AHV'!$B:$B,'AHV-04'!$A14,'OEE AHV'!$D:$D,'AHV-04'!$A$1)</f>
        <v>18927</v>
      </c>
      <c r="L14" s="38">
        <f t="shared" si="5"/>
        <v>1</v>
      </c>
      <c r="M14" s="38">
        <f t="shared" si="10"/>
        <v>0.99</v>
      </c>
      <c r="N14" s="41" t="s">
        <v>118</v>
      </c>
      <c r="O14" s="38">
        <f t="shared" si="6"/>
        <v>1</v>
      </c>
      <c r="P14" s="38">
        <f t="shared" si="11"/>
        <v>1</v>
      </c>
      <c r="Q14" s="38">
        <f t="shared" si="7"/>
        <v>0.9659883386948529</v>
      </c>
      <c r="R14" s="38">
        <f t="shared" si="7"/>
        <v>0.9405</v>
      </c>
      <c r="S14" s="42">
        <f>ROUNDUP((('AHV-04'!$F14/480)/3),"0")</f>
        <v>1</v>
      </c>
      <c r="T14" s="43">
        <f t="shared" si="8"/>
        <v>18927</v>
      </c>
      <c r="U14" s="33" t="str">
        <f t="shared" si="12"/>
        <v>FY2025_MLS_Spindle Motor_Spindle Motor(FDB UNIT)_Bang Pa-in</v>
      </c>
    </row>
    <row r="15" spans="1:21" ht="18.75">
      <c r="A15" s="44">
        <v>46069</v>
      </c>
      <c r="B15" s="34">
        <f>SUMIFS('OEE AHV'!J:J,'OEE AHV'!$B:$B,'AHV-04'!$A15,'OEE AHV'!$D:$D,'AHV-04'!$A$1)</f>
        <v>108.91796875</v>
      </c>
      <c r="C15" s="35">
        <f t="shared" si="0"/>
        <v>105.43012152777781</v>
      </c>
      <c r="D15" s="34">
        <f t="shared" si="1"/>
        <v>35</v>
      </c>
      <c r="E15" s="36">
        <f t="shared" si="2"/>
        <v>33.291666666666664</v>
      </c>
      <c r="F15" s="34">
        <f>SUMIFS('OEE AHV'!M:M,'OEE AHV'!$B:$B,'AHV-04'!$A15,'OEE AHV'!$D:$D,'AHV-04'!$A$1)</f>
        <v>1293.08203125</v>
      </c>
      <c r="G15" s="37">
        <f t="shared" si="3"/>
        <v>101</v>
      </c>
      <c r="H15" s="38">
        <f t="shared" si="4"/>
        <v>0.96570726755041081</v>
      </c>
      <c r="I15" s="38">
        <f t="shared" si="9"/>
        <v>0.95</v>
      </c>
      <c r="J15" s="39"/>
      <c r="K15" s="40">
        <f>SUMIFS('OEE AHV'!Q:Q,'OEE AHV'!$B:$B,'AHV-04'!$A15,'OEE AHV'!$D:$D,'AHV-04'!$A$1)</f>
        <v>18414</v>
      </c>
      <c r="L15" s="38">
        <f t="shared" si="5"/>
        <v>1</v>
      </c>
      <c r="M15" s="38">
        <f t="shared" si="10"/>
        <v>0.99</v>
      </c>
      <c r="N15" s="41" t="s">
        <v>118</v>
      </c>
      <c r="O15" s="38">
        <f t="shared" si="6"/>
        <v>1</v>
      </c>
      <c r="P15" s="38">
        <f t="shared" si="11"/>
        <v>1</v>
      </c>
      <c r="Q15" s="38">
        <f t="shared" si="7"/>
        <v>0.96570726755041081</v>
      </c>
      <c r="R15" s="38">
        <f t="shared" si="7"/>
        <v>0.9405</v>
      </c>
      <c r="S15" s="42">
        <f>ROUNDUP((('AHV-04'!$F15/480)/3),"0")</f>
        <v>1</v>
      </c>
      <c r="T15" s="43">
        <f t="shared" si="8"/>
        <v>18414</v>
      </c>
      <c r="U15" s="33" t="str">
        <f t="shared" si="12"/>
        <v>FY2025_MLS_Spindle Motor_Spindle Motor(FDB UNIT)_Bang Pa-in</v>
      </c>
    </row>
    <row r="16" spans="1:21" ht="18.75">
      <c r="A16" s="44">
        <v>46070</v>
      </c>
      <c r="B16" s="34">
        <f>SUMIFS('OEE AHV'!J:J,'OEE AHV'!$B:$B,'AHV-04'!$A16,'OEE AHV'!$D:$D,'AHV-04'!$A$1)</f>
        <v>113.58919270833333</v>
      </c>
      <c r="C16" s="35">
        <f t="shared" si="0"/>
        <v>105.43012152777781</v>
      </c>
      <c r="D16" s="34">
        <f t="shared" si="1"/>
        <v>36</v>
      </c>
      <c r="E16" s="36">
        <f t="shared" si="2"/>
        <v>33.291666666666664</v>
      </c>
      <c r="F16" s="34">
        <f>SUMIFS('OEE AHV'!M:M,'OEE AHV'!$B:$B,'AHV-04'!$A16,'OEE AHV'!$D:$D,'AHV-04'!$A$1)</f>
        <v>1326.4108072916667</v>
      </c>
      <c r="G16" s="37">
        <f t="shared" si="3"/>
        <v>67</v>
      </c>
      <c r="H16" s="38">
        <f t="shared" si="4"/>
        <v>0.96606759453143976</v>
      </c>
      <c r="I16" s="38">
        <f t="shared" si="9"/>
        <v>0.95</v>
      </c>
      <c r="J16" s="39"/>
      <c r="K16" s="40">
        <f>SUMIFS('OEE AHV'!Q:Q,'OEE AHV'!$B:$B,'AHV-04'!$A16,'OEE AHV'!$D:$D,'AHV-04'!$A$1)</f>
        <v>19439</v>
      </c>
      <c r="L16" s="38">
        <f t="shared" si="5"/>
        <v>1</v>
      </c>
      <c r="M16" s="38">
        <f t="shared" si="10"/>
        <v>0.99</v>
      </c>
      <c r="N16" s="41" t="s">
        <v>118</v>
      </c>
      <c r="O16" s="38">
        <f t="shared" si="6"/>
        <v>1</v>
      </c>
      <c r="P16" s="38">
        <f t="shared" si="11"/>
        <v>1</v>
      </c>
      <c r="Q16" s="38">
        <f t="shared" si="7"/>
        <v>0.96606759453143976</v>
      </c>
      <c r="R16" s="38">
        <f t="shared" si="7"/>
        <v>0.9405</v>
      </c>
      <c r="S16" s="42">
        <f>ROUNDUP((('AHV-04'!$F16/480)/3),"0")</f>
        <v>1</v>
      </c>
      <c r="T16" s="43">
        <f t="shared" si="8"/>
        <v>19439</v>
      </c>
      <c r="U16" s="33" t="str">
        <f t="shared" si="12"/>
        <v>FY2025_MLS_Spindle Motor_Spindle Motor(FDB UNIT)_Bang Pa-in</v>
      </c>
    </row>
    <row r="17" spans="1:21" ht="18.75">
      <c r="A17" s="44">
        <v>46071</v>
      </c>
      <c r="B17" s="34">
        <f>SUMIFS('OEE AHV'!J:J,'OEE AHV'!$B:$B,'AHV-04'!$A17,'OEE AHV'!$D:$D,'AHV-04'!$A$1)</f>
        <v>113.59375</v>
      </c>
      <c r="C17" s="35">
        <f t="shared" si="0"/>
        <v>105.43012152777781</v>
      </c>
      <c r="D17" s="34">
        <f t="shared" si="1"/>
        <v>36</v>
      </c>
      <c r="E17" s="36">
        <f t="shared" si="2"/>
        <v>33.291666666666664</v>
      </c>
      <c r="F17" s="34">
        <f>SUMIFS('OEE AHV'!M:M,'OEE AHV'!$B:$B,'AHV-04'!$A17,'OEE AHV'!$D:$D,'AHV-04'!$A$1)</f>
        <v>1326.40625</v>
      </c>
      <c r="G17" s="37">
        <f t="shared" si="3"/>
        <v>67</v>
      </c>
      <c r="H17" s="38">
        <f t="shared" si="4"/>
        <v>0.9660642753095412</v>
      </c>
      <c r="I17" s="38">
        <f t="shared" si="9"/>
        <v>0.95</v>
      </c>
      <c r="J17" s="39"/>
      <c r="K17" s="40">
        <f>SUMIFS('OEE AHV'!Q:Q,'OEE AHV'!$B:$B,'AHV-04'!$A17,'OEE AHV'!$D:$D,'AHV-04'!$A$1)</f>
        <v>19440</v>
      </c>
      <c r="L17" s="38">
        <f t="shared" si="5"/>
        <v>1</v>
      </c>
      <c r="M17" s="38">
        <f t="shared" si="10"/>
        <v>0.99</v>
      </c>
      <c r="N17" s="41" t="s">
        <v>118</v>
      </c>
      <c r="O17" s="38">
        <f t="shared" si="6"/>
        <v>1</v>
      </c>
      <c r="P17" s="38">
        <f t="shared" si="11"/>
        <v>1</v>
      </c>
      <c r="Q17" s="38">
        <f t="shared" si="7"/>
        <v>0.9660642753095412</v>
      </c>
      <c r="R17" s="38">
        <f t="shared" si="7"/>
        <v>0.9405</v>
      </c>
      <c r="S17" s="42">
        <f>ROUNDUP((('AHV-04'!$F17/480)/3),"0")</f>
        <v>1</v>
      </c>
      <c r="T17" s="43">
        <f t="shared" si="8"/>
        <v>19440</v>
      </c>
      <c r="U17" s="33" t="str">
        <f t="shared" si="12"/>
        <v>FY2025_MLS_Spindle Motor_Spindle Motor(FDB UNIT)_Bang Pa-in</v>
      </c>
    </row>
    <row r="18" spans="1:21" ht="18.75">
      <c r="A18" s="44">
        <v>46072</v>
      </c>
      <c r="B18" s="34">
        <f>SUMIFS('OEE AHV'!J:J,'OEE AHV'!$B:$B,'AHV-04'!$A18,'OEE AHV'!$D:$D,'AHV-04'!$A$1)</f>
        <v>113.61197916666667</v>
      </c>
      <c r="C18" s="35">
        <f t="shared" si="0"/>
        <v>105.43012152777781</v>
      </c>
      <c r="D18" s="34">
        <f t="shared" si="1"/>
        <v>36</v>
      </c>
      <c r="E18" s="36">
        <f t="shared" si="2"/>
        <v>33.291666666666664</v>
      </c>
      <c r="F18" s="34">
        <f>SUMIFS('OEE AHV'!M:M,'OEE AHV'!$B:$B,'AHV-04'!$A18,'OEE AHV'!$D:$D,'AHV-04'!$A$1)</f>
        <v>1316.3880208333333</v>
      </c>
      <c r="G18" s="37">
        <f t="shared" si="3"/>
        <v>78</v>
      </c>
      <c r="H18" s="38">
        <f t="shared" si="4"/>
        <v>0.96651102851199211</v>
      </c>
      <c r="I18" s="38">
        <f t="shared" si="9"/>
        <v>0.95</v>
      </c>
      <c r="J18" s="39"/>
      <c r="K18" s="40">
        <f>SUMIFS('OEE AHV'!Q:Q,'OEE AHV'!$B:$B,'AHV-04'!$A18,'OEE AHV'!$D:$D,'AHV-04'!$A$1)</f>
        <v>19444</v>
      </c>
      <c r="L18" s="38">
        <f t="shared" si="5"/>
        <v>1</v>
      </c>
      <c r="M18" s="38">
        <f t="shared" si="10"/>
        <v>0.99</v>
      </c>
      <c r="N18" s="41" t="s">
        <v>118</v>
      </c>
      <c r="O18" s="38">
        <f t="shared" si="6"/>
        <v>1</v>
      </c>
      <c r="P18" s="38">
        <f t="shared" si="11"/>
        <v>1</v>
      </c>
      <c r="Q18" s="38">
        <f t="shared" ref="Q18:R25" si="13">IFERROR(IF(AND(H18="",L18="",O18="")=TRUE,"",IF(H18="",1,H18)*IF(L18="",1,L18)*IF(O18="",1,O18)),"")</f>
        <v>0.96651102851199211</v>
      </c>
      <c r="R18" s="38">
        <f t="shared" si="13"/>
        <v>0.9405</v>
      </c>
      <c r="S18" s="42">
        <f>ROUNDUP((('AHV-04'!$F18/480)/3),"0")</f>
        <v>1</v>
      </c>
      <c r="T18" s="43">
        <f t="shared" si="8"/>
        <v>19444</v>
      </c>
      <c r="U18" s="33" t="str">
        <f t="shared" si="12"/>
        <v>FY2025_MLS_Spindle Motor_Spindle Motor(FDB UNIT)_Bang Pa-in</v>
      </c>
    </row>
    <row r="19" spans="1:21" ht="18.75">
      <c r="A19" s="44">
        <v>46073</v>
      </c>
      <c r="B19" s="34">
        <f>SUMIFS('OEE AHV'!J:J,'OEE AHV'!$B:$B,'AHV-04'!$A19,'OEE AHV'!$D:$D,'AHV-04'!$A$1)</f>
        <v>104.27408854166666</v>
      </c>
      <c r="C19" s="35">
        <f t="shared" si="0"/>
        <v>105.43012152777781</v>
      </c>
      <c r="D19" s="34">
        <f t="shared" si="1"/>
        <v>33</v>
      </c>
      <c r="E19" s="36">
        <f t="shared" si="2"/>
        <v>33.291666666666664</v>
      </c>
      <c r="F19" s="34">
        <f>SUMIFS('OEE AHV'!M:M,'OEE AHV'!$B:$B,'AHV-04'!$A19,'OEE AHV'!$D:$D,'AHV-04'!$A$1)</f>
        <v>1216.7259114583333</v>
      </c>
      <c r="G19" s="37">
        <f t="shared" si="3"/>
        <v>178</v>
      </c>
      <c r="H19" s="38">
        <f t="shared" si="4"/>
        <v>0.96412512793845739</v>
      </c>
      <c r="I19" s="38">
        <f t="shared" si="9"/>
        <v>0.95</v>
      </c>
      <c r="J19" s="39"/>
      <c r="K19" s="40">
        <f>SUMIFS('OEE AHV'!Q:Q,'OEE AHV'!$B:$B,'AHV-04'!$A19,'OEE AHV'!$D:$D,'AHV-04'!$A$1)</f>
        <v>17395</v>
      </c>
      <c r="L19" s="38">
        <f t="shared" si="5"/>
        <v>1</v>
      </c>
      <c r="M19" s="38">
        <f t="shared" si="10"/>
        <v>0.99</v>
      </c>
      <c r="N19" s="41" t="s">
        <v>118</v>
      </c>
      <c r="O19" s="38">
        <f t="shared" si="6"/>
        <v>1</v>
      </c>
      <c r="P19" s="38">
        <f t="shared" si="11"/>
        <v>1</v>
      </c>
      <c r="Q19" s="38">
        <f t="shared" si="13"/>
        <v>0.96412512793845739</v>
      </c>
      <c r="R19" s="38">
        <f t="shared" si="13"/>
        <v>0.9405</v>
      </c>
      <c r="S19" s="42">
        <f>ROUNDUP((('AHV-04'!$F19/480)/3),"0")</f>
        <v>1</v>
      </c>
      <c r="T19" s="43">
        <f t="shared" si="8"/>
        <v>17395</v>
      </c>
      <c r="U19" s="33" t="str">
        <f t="shared" si="12"/>
        <v>FY2025_MLS_Spindle Motor_Spindle Motor(FDB UNIT)_Bang Pa-in</v>
      </c>
    </row>
    <row r="20" spans="1:21" ht="18.75">
      <c r="A20" s="44">
        <v>46074</v>
      </c>
      <c r="B20" s="34">
        <f>SUMIFS('OEE AHV'!J:J,'OEE AHV'!$B:$B,'AHV-04'!$A20,'OEE AHV'!$D:$D,'AHV-04'!$A$1)</f>
        <v>111.29231770833334</v>
      </c>
      <c r="C20" s="35">
        <f t="shared" si="0"/>
        <v>105.43012152777781</v>
      </c>
      <c r="D20" s="34">
        <f t="shared" si="1"/>
        <v>35</v>
      </c>
      <c r="E20" s="36">
        <f t="shared" si="2"/>
        <v>33.291666666666664</v>
      </c>
      <c r="F20" s="34">
        <f>SUMIFS('OEE AHV'!M:M,'OEE AHV'!$B:$B,'AHV-04'!$A20,'OEE AHV'!$D:$D,'AHV-04'!$A$1)</f>
        <v>1287.7076822916667</v>
      </c>
      <c r="G20" s="37">
        <f t="shared" si="3"/>
        <v>106</v>
      </c>
      <c r="H20" s="38">
        <f t="shared" si="4"/>
        <v>0.96529811266241883</v>
      </c>
      <c r="I20" s="38">
        <f t="shared" si="9"/>
        <v>0.95</v>
      </c>
      <c r="J20" s="39"/>
      <c r="K20" s="40">
        <f>SUMIFS('OEE AHV'!Q:Q,'OEE AHV'!$B:$B,'AHV-04'!$A20,'OEE AHV'!$D:$D,'AHV-04'!$A$1)</f>
        <v>18935</v>
      </c>
      <c r="L20" s="38">
        <f t="shared" si="5"/>
        <v>1</v>
      </c>
      <c r="M20" s="38">
        <f t="shared" si="10"/>
        <v>0.99</v>
      </c>
      <c r="N20" s="41" t="s">
        <v>118</v>
      </c>
      <c r="O20" s="38">
        <f t="shared" si="6"/>
        <v>1</v>
      </c>
      <c r="P20" s="38">
        <f t="shared" si="11"/>
        <v>1</v>
      </c>
      <c r="Q20" s="38">
        <f t="shared" si="13"/>
        <v>0.96529811266241883</v>
      </c>
      <c r="R20" s="38">
        <f t="shared" si="13"/>
        <v>0.9405</v>
      </c>
      <c r="S20" s="42">
        <f>ROUNDUP((('AHV-04'!$F20/480)/3),"0")</f>
        <v>1</v>
      </c>
      <c r="T20" s="43">
        <f t="shared" si="8"/>
        <v>18935</v>
      </c>
      <c r="U20" s="33" t="str">
        <f t="shared" si="12"/>
        <v>FY2025_MLS_Spindle Motor_Spindle Motor(FDB UNIT)_Bang Pa-in</v>
      </c>
    </row>
    <row r="21" spans="1:21" ht="18.75">
      <c r="A21" s="44">
        <v>46076</v>
      </c>
      <c r="B21" s="34">
        <f>SUMIFS('OEE AHV'!J:J,'OEE AHV'!$B:$B,'AHV-04'!$A21,'OEE AHV'!$D:$D,'AHV-04'!$A$1)</f>
        <v>92.602864583333329</v>
      </c>
      <c r="C21" s="35">
        <f t="shared" si="0"/>
        <v>105.43012152777781</v>
      </c>
      <c r="D21" s="34">
        <f t="shared" si="1"/>
        <v>28</v>
      </c>
      <c r="E21" s="36">
        <f t="shared" si="2"/>
        <v>33.291666666666664</v>
      </c>
      <c r="F21" s="34">
        <f>SUMIFS('OEE AHV'!M:M,'OEE AHV'!$B:$B,'AHV-04'!$A21,'OEE AHV'!$D:$D,'AHV-04'!$A$1)</f>
        <v>1040.3971354166667</v>
      </c>
      <c r="G21" s="37">
        <f t="shared" si="3"/>
        <v>355</v>
      </c>
      <c r="H21" s="38">
        <f t="shared" si="4"/>
        <v>0.95889136904761907</v>
      </c>
      <c r="I21" s="38">
        <f t="shared" si="9"/>
        <v>0.95</v>
      </c>
      <c r="J21" s="39"/>
      <c r="K21" s="40">
        <f>SUMIFS('OEE AHV'!Q:Q,'OEE AHV'!$B:$B,'AHV-04'!$A21,'OEE AHV'!$D:$D,'AHV-04'!$A$1)</f>
        <v>14834</v>
      </c>
      <c r="L21" s="38">
        <f t="shared" si="5"/>
        <v>1</v>
      </c>
      <c r="M21" s="38">
        <f t="shared" si="10"/>
        <v>0.99</v>
      </c>
      <c r="N21" s="41" t="s">
        <v>118</v>
      </c>
      <c r="O21" s="38">
        <f t="shared" si="6"/>
        <v>1</v>
      </c>
      <c r="P21" s="38">
        <f t="shared" si="11"/>
        <v>1</v>
      </c>
      <c r="Q21" s="38">
        <f t="shared" si="13"/>
        <v>0.95889136904761907</v>
      </c>
      <c r="R21" s="38">
        <f t="shared" si="13"/>
        <v>0.9405</v>
      </c>
      <c r="S21" s="42">
        <f>ROUNDUP((('AHV-04'!$F21/480)/3),"0")</f>
        <v>1</v>
      </c>
      <c r="T21" s="43">
        <f t="shared" si="8"/>
        <v>14834</v>
      </c>
      <c r="U21" s="33" t="str">
        <f t="shared" si="12"/>
        <v>FY2025_MLS_Spindle Motor_Spindle Motor(FDB UNIT)_Bang Pa-in</v>
      </c>
    </row>
    <row r="22" spans="1:21" ht="18.75">
      <c r="A22" s="44">
        <v>46077</v>
      </c>
      <c r="B22" s="34">
        <f>SUMIFS('OEE AHV'!J:J,'OEE AHV'!$B:$B,'AHV-04'!$A22,'OEE AHV'!$D:$D,'AHV-04'!$A$1)</f>
        <v>108.91796875</v>
      </c>
      <c r="C22" s="35">
        <f t="shared" si="0"/>
        <v>105.43012152777781</v>
      </c>
      <c r="D22" s="34">
        <f t="shared" si="1"/>
        <v>35</v>
      </c>
      <c r="E22" s="36">
        <f t="shared" si="2"/>
        <v>33.291666666666664</v>
      </c>
      <c r="F22" s="34">
        <f>SUMIFS('OEE AHV'!M:M,'OEE AHV'!$B:$B,'AHV-04'!$A22,'OEE AHV'!$D:$D,'AHV-04'!$A$1)</f>
        <v>1286.08203125</v>
      </c>
      <c r="G22" s="37">
        <f t="shared" si="3"/>
        <v>108</v>
      </c>
      <c r="H22" s="38">
        <f t="shared" si="4"/>
        <v>0.96552705048798804</v>
      </c>
      <c r="I22" s="38">
        <f t="shared" si="9"/>
        <v>0.95</v>
      </c>
      <c r="J22" s="39"/>
      <c r="K22" s="40">
        <f>SUMIFS('OEE AHV'!Q:Q,'OEE AHV'!$B:$B,'AHV-04'!$A22,'OEE AHV'!$D:$D,'AHV-04'!$A$1)</f>
        <v>18414</v>
      </c>
      <c r="L22" s="38">
        <f t="shared" si="5"/>
        <v>1</v>
      </c>
      <c r="M22" s="38">
        <f t="shared" si="10"/>
        <v>0.99</v>
      </c>
      <c r="N22" s="41" t="s">
        <v>118</v>
      </c>
      <c r="O22" s="38">
        <f t="shared" si="6"/>
        <v>1</v>
      </c>
      <c r="P22" s="38">
        <f t="shared" si="11"/>
        <v>1</v>
      </c>
      <c r="Q22" s="38">
        <f t="shared" si="13"/>
        <v>0.96552705048798804</v>
      </c>
      <c r="R22" s="38">
        <f t="shared" si="13"/>
        <v>0.9405</v>
      </c>
      <c r="S22" s="42">
        <f>ROUNDUP((('AHV-04'!$F22/480)/3),"0")</f>
        <v>1</v>
      </c>
      <c r="T22" s="43">
        <f t="shared" si="8"/>
        <v>18414</v>
      </c>
      <c r="U22" s="33" t="str">
        <f t="shared" si="12"/>
        <v>FY2025_MLS_Spindle Motor_Spindle Motor(FDB UNIT)_Bang Pa-in</v>
      </c>
    </row>
    <row r="23" spans="1:21" ht="18.75">
      <c r="A23" s="44">
        <v>46078</v>
      </c>
      <c r="B23" s="34">
        <f>SUMIFS('OEE AHV'!J:J,'OEE AHV'!$B:$B,'AHV-04'!$A23,'OEE AHV'!$D:$D,'AHV-04'!$A$1)</f>
        <v>108.91341145833333</v>
      </c>
      <c r="C23" s="35">
        <f t="shared" si="0"/>
        <v>105.43012152777781</v>
      </c>
      <c r="D23" s="34">
        <f t="shared" si="1"/>
        <v>35</v>
      </c>
      <c r="E23" s="36">
        <f t="shared" si="2"/>
        <v>33.291666666666664</v>
      </c>
      <c r="F23" s="34">
        <f>SUMIFS('OEE AHV'!M:M,'OEE AHV'!$B:$B,'AHV-04'!$A23,'OEE AHV'!$D:$D,'AHV-04'!$A$1)</f>
        <v>1301.0865885416667</v>
      </c>
      <c r="G23" s="37">
        <f t="shared" si="3"/>
        <v>93</v>
      </c>
      <c r="H23" s="38">
        <f t="shared" si="4"/>
        <v>0.96591431963004215</v>
      </c>
      <c r="I23" s="38">
        <f t="shared" si="9"/>
        <v>0.95</v>
      </c>
      <c r="J23" s="39"/>
      <c r="K23" s="40">
        <f>SUMIFS('OEE AHV'!Q:Q,'OEE AHV'!$B:$B,'AHV-04'!$A23,'OEE AHV'!$D:$D,'AHV-04'!$A$1)</f>
        <v>18413</v>
      </c>
      <c r="L23" s="38">
        <f t="shared" si="5"/>
        <v>1</v>
      </c>
      <c r="M23" s="38">
        <f t="shared" si="10"/>
        <v>0.99</v>
      </c>
      <c r="N23" s="41" t="s">
        <v>118</v>
      </c>
      <c r="O23" s="38">
        <f t="shared" si="6"/>
        <v>1</v>
      </c>
      <c r="P23" s="38">
        <f t="shared" si="11"/>
        <v>1</v>
      </c>
      <c r="Q23" s="38">
        <f t="shared" si="13"/>
        <v>0.96591431963004215</v>
      </c>
      <c r="R23" s="38">
        <f t="shared" si="13"/>
        <v>0.9405</v>
      </c>
      <c r="S23" s="42">
        <f>ROUNDUP((('AHV-04'!$F23/480)/3),"0")</f>
        <v>1</v>
      </c>
      <c r="T23" s="43">
        <f t="shared" si="8"/>
        <v>18413</v>
      </c>
      <c r="U23" s="33" t="str">
        <f t="shared" si="12"/>
        <v>FY2025_MLS_Spindle Motor_Spindle Motor(FDB UNIT)_Bang Pa-in</v>
      </c>
    </row>
    <row r="24" spans="1:21" ht="18.75">
      <c r="A24" s="44">
        <v>46079</v>
      </c>
      <c r="B24" s="34">
        <f>SUMIFS('OEE AHV'!J:J,'OEE AHV'!$B:$B,'AHV-04'!$A24,'OEE AHV'!$D:$D,'AHV-04'!$A$1)</f>
        <v>111.22395833333334</v>
      </c>
      <c r="C24" s="35">
        <f t="shared" si="0"/>
        <v>105.43012152777781</v>
      </c>
      <c r="D24" s="34">
        <f t="shared" si="1"/>
        <v>36</v>
      </c>
      <c r="E24" s="36">
        <f t="shared" si="2"/>
        <v>33.291666666666664</v>
      </c>
      <c r="F24" s="34">
        <f>SUMIFS('OEE AHV'!M:M,'OEE AHV'!$B:$B,'AHV-04'!$A24,'OEE AHV'!$D:$D,'AHV-04'!$A$1)</f>
        <v>1328.7760416666667</v>
      </c>
      <c r="G24" s="37">
        <f t="shared" si="3"/>
        <v>65</v>
      </c>
      <c r="H24" s="38">
        <f t="shared" si="4"/>
        <v>0.9663825757575758</v>
      </c>
      <c r="I24" s="38">
        <f t="shared" si="9"/>
        <v>0.95</v>
      </c>
      <c r="J24" s="39"/>
      <c r="K24" s="40">
        <f>SUMIFS('OEE AHV'!Q:Q,'OEE AHV'!$B:$B,'AHV-04'!$A24,'OEE AHV'!$D:$D,'AHV-04'!$A$1)</f>
        <v>18920</v>
      </c>
      <c r="L24" s="38">
        <f t="shared" si="5"/>
        <v>1</v>
      </c>
      <c r="M24" s="38">
        <f t="shared" si="10"/>
        <v>0.99</v>
      </c>
      <c r="N24" s="41" t="s">
        <v>118</v>
      </c>
      <c r="O24" s="38">
        <f t="shared" si="6"/>
        <v>1</v>
      </c>
      <c r="P24" s="38">
        <f t="shared" si="11"/>
        <v>1</v>
      </c>
      <c r="Q24" s="38">
        <f t="shared" si="13"/>
        <v>0.9663825757575758</v>
      </c>
      <c r="R24" s="38">
        <f t="shared" si="13"/>
        <v>0.9405</v>
      </c>
      <c r="S24" s="42">
        <f>ROUNDUP((('AHV-04'!$F24/480)/3),"0")</f>
        <v>1</v>
      </c>
      <c r="T24" s="43">
        <f t="shared" si="8"/>
        <v>18920</v>
      </c>
      <c r="U24" s="33" t="str">
        <f t="shared" si="12"/>
        <v>FY2025_MLS_Spindle Motor_Spindle Motor(FDB UNIT)_Bang Pa-in</v>
      </c>
    </row>
    <row r="25" spans="1:21" ht="18.75">
      <c r="A25" s="44">
        <v>46080</v>
      </c>
      <c r="B25" s="34">
        <f>SUMIFS('OEE AHV'!J:J,'OEE AHV'!$B:$B,'AHV-04'!$A25,'OEE AHV'!$D:$D,'AHV-04'!$A$1)</f>
        <v>113.57552083333333</v>
      </c>
      <c r="C25" s="35">
        <f t="shared" si="0"/>
        <v>105.43012152777781</v>
      </c>
      <c r="D25" s="34">
        <f t="shared" si="1"/>
        <v>36</v>
      </c>
      <c r="E25" s="36">
        <f t="shared" si="2"/>
        <v>33.291666666666664</v>
      </c>
      <c r="F25" s="34">
        <f>SUMIFS('OEE AHV'!M:M,'OEE AHV'!$B:$B,'AHV-04'!$A25,'OEE AHV'!$D:$D,'AHV-04'!$A$1)</f>
        <v>1326.4244791666667</v>
      </c>
      <c r="G25" s="37">
        <f t="shared" si="3"/>
        <v>67</v>
      </c>
      <c r="H25" s="38">
        <f t="shared" si="4"/>
        <v>0.96607755219713531</v>
      </c>
      <c r="I25" s="38">
        <f t="shared" si="9"/>
        <v>0.95</v>
      </c>
      <c r="J25" s="39"/>
      <c r="K25" s="40">
        <f>SUMIFS('OEE AHV'!Q:Q,'OEE AHV'!$B:$B,'AHV-04'!$A25,'OEE AHV'!$D:$D,'AHV-04'!$A$1)</f>
        <v>19436</v>
      </c>
      <c r="L25" s="38">
        <f t="shared" si="5"/>
        <v>1</v>
      </c>
      <c r="M25" s="38">
        <f t="shared" si="10"/>
        <v>0.99</v>
      </c>
      <c r="N25" s="41" t="s">
        <v>118</v>
      </c>
      <c r="O25" s="38">
        <f t="shared" si="6"/>
        <v>1</v>
      </c>
      <c r="P25" s="38">
        <f t="shared" si="11"/>
        <v>1</v>
      </c>
      <c r="Q25" s="38">
        <f t="shared" si="13"/>
        <v>0.96607755219713531</v>
      </c>
      <c r="R25" s="38">
        <f t="shared" si="13"/>
        <v>0.9405</v>
      </c>
      <c r="S25" s="42">
        <f>ROUNDUP((('AHV-04'!$F25/480)/3),"0")</f>
        <v>1</v>
      </c>
      <c r="T25" s="43">
        <f t="shared" si="8"/>
        <v>19436</v>
      </c>
      <c r="U25" s="33" t="str">
        <f t="shared" si="12"/>
        <v>FY2025_MLS_Spindle Motor_Spindle Motor(FDB UNIT)_Bang Pa-in</v>
      </c>
    </row>
    <row r="26" spans="1:21" ht="18.7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8"/>
      <c r="T26" s="45"/>
      <c r="U26" s="45"/>
    </row>
    <row r="27" spans="1:21" ht="18.7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8"/>
      <c r="T27" s="45"/>
      <c r="U27" s="45"/>
    </row>
    <row r="28" spans="1:21" ht="18.7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8"/>
      <c r="T28" s="45"/>
      <c r="U28" s="45"/>
    </row>
    <row r="29" spans="1:21" ht="18.7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8"/>
      <c r="T29" s="45"/>
      <c r="U29" s="45"/>
    </row>
    <row r="30" spans="1:21" ht="18.7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8"/>
      <c r="T30" s="45"/>
      <c r="U30" s="45"/>
    </row>
    <row r="31" spans="1:21" ht="18.7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8"/>
      <c r="T31" s="45"/>
      <c r="U31" s="45"/>
    </row>
    <row r="32" spans="1:21" ht="18.7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8"/>
      <c r="T32" s="45"/>
      <c r="U32" s="45"/>
    </row>
    <row r="33" spans="1:21" ht="18.7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8"/>
      <c r="T33" s="45"/>
      <c r="U33" s="45"/>
    </row>
    <row r="34" spans="1:21" ht="18.7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8"/>
      <c r="T34" s="45"/>
      <c r="U34" s="45"/>
    </row>
    <row r="35" spans="1:21" ht="18.7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8"/>
      <c r="T35" s="45"/>
      <c r="U35" s="45"/>
    </row>
    <row r="36" spans="1:21" ht="18.7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8"/>
      <c r="T36" s="45"/>
      <c r="U36" s="45"/>
    </row>
    <row r="37" spans="1:21" ht="18.7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8"/>
      <c r="T37" s="45"/>
      <c r="U37" s="45"/>
    </row>
    <row r="38" spans="1:21" ht="18.7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8"/>
      <c r="T38" s="45"/>
      <c r="U38" s="45"/>
    </row>
    <row r="39" spans="1:21" ht="18.7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8"/>
      <c r="T39" s="45"/>
      <c r="U39" s="45"/>
    </row>
    <row r="40" spans="1:21" ht="18.7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8"/>
      <c r="T40" s="45"/>
      <c r="U40" s="45"/>
    </row>
    <row r="41" spans="1:21" ht="18.7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8"/>
      <c r="T41" s="45"/>
      <c r="U41" s="45"/>
    </row>
    <row r="42" spans="1:21" ht="18.7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8"/>
      <c r="T42" s="45"/>
      <c r="U42" s="45"/>
    </row>
    <row r="43" spans="1:21" ht="18.7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8"/>
      <c r="T43" s="45"/>
      <c r="U43" s="45"/>
    </row>
    <row r="44" spans="1:21" ht="18.7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8"/>
      <c r="T44" s="45"/>
      <c r="U44" s="45"/>
    </row>
    <row r="45" spans="1:21" ht="18.7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8"/>
      <c r="T45" s="45"/>
      <c r="U45" s="45"/>
    </row>
    <row r="46" spans="1:21" ht="18.7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8"/>
      <c r="T46" s="45"/>
      <c r="U46" s="45"/>
    </row>
    <row r="47" spans="1:21" ht="18.7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8"/>
      <c r="T47" s="45"/>
      <c r="U47" s="45"/>
    </row>
    <row r="48" spans="1:21" ht="18.7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8"/>
      <c r="T48" s="45"/>
      <c r="U48" s="45"/>
    </row>
    <row r="49" spans="1:21" ht="18.7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8"/>
      <c r="T49" s="45"/>
      <c r="U49" s="45"/>
    </row>
    <row r="50" spans="1:21" ht="18.7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8"/>
      <c r="T50" s="45"/>
      <c r="U50" s="45"/>
    </row>
    <row r="51" spans="1:21" ht="18.7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8"/>
      <c r="T51" s="45"/>
      <c r="U51" s="45"/>
    </row>
    <row r="52" spans="1:21" ht="18.7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8"/>
      <c r="T52" s="45"/>
      <c r="U52" s="45"/>
    </row>
    <row r="53" spans="1:21" ht="18.7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8"/>
      <c r="T53" s="45"/>
      <c r="U53" s="45"/>
    </row>
    <row r="54" spans="1:21" ht="18.7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8"/>
      <c r="T54" s="45"/>
      <c r="U54" s="45"/>
    </row>
    <row r="55" spans="1:21" ht="18.7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8"/>
      <c r="T55" s="45"/>
      <c r="U55" s="45"/>
    </row>
    <row r="56" spans="1:21" ht="18.7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8"/>
      <c r="T56" s="45"/>
      <c r="U56" s="45"/>
    </row>
    <row r="57" spans="1:21" ht="18.7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8"/>
      <c r="T57" s="45"/>
      <c r="U57" s="45"/>
    </row>
    <row r="58" spans="1:21" ht="18.7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8"/>
      <c r="T58" s="45"/>
      <c r="U58" s="45"/>
    </row>
    <row r="59" spans="1:21" ht="18.7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8"/>
      <c r="T59" s="45"/>
      <c r="U59" s="45"/>
    </row>
    <row r="60" spans="1:21" ht="18.7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8"/>
      <c r="T60" s="45"/>
      <c r="U60" s="45"/>
    </row>
    <row r="61" spans="1:21" ht="18.7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8"/>
      <c r="T61" s="45"/>
      <c r="U61" s="45"/>
    </row>
    <row r="62" spans="1:21" ht="18.7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8"/>
      <c r="T62" s="45"/>
      <c r="U62" s="45"/>
    </row>
    <row r="63" spans="1:21" ht="18.7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8"/>
      <c r="T63" s="45"/>
      <c r="U63" s="45"/>
    </row>
    <row r="64" spans="1:21" ht="18.7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8"/>
      <c r="T64" s="45"/>
      <c r="U64" s="45"/>
    </row>
    <row r="65" spans="1:21" ht="18.7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8"/>
      <c r="T65" s="45"/>
      <c r="U65" s="45"/>
    </row>
    <row r="66" spans="1:21" ht="18.7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8"/>
      <c r="T66" s="45"/>
      <c r="U66" s="45"/>
    </row>
    <row r="67" spans="1:21" ht="18.7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8"/>
      <c r="T67" s="45"/>
      <c r="U67" s="45"/>
    </row>
    <row r="68" spans="1:21" ht="18.7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8"/>
      <c r="T68" s="45"/>
      <c r="U68" s="45"/>
    </row>
    <row r="69" spans="1:21" ht="18.7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8"/>
      <c r="T69" s="45"/>
      <c r="U69" s="45"/>
    </row>
    <row r="70" spans="1:21" ht="18.7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8"/>
      <c r="T70" s="45"/>
      <c r="U70" s="45"/>
    </row>
    <row r="71" spans="1:21" ht="18.7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8"/>
      <c r="T71" s="45"/>
      <c r="U71" s="45"/>
    </row>
    <row r="72" spans="1:21" ht="18.7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8"/>
      <c r="T72" s="45"/>
      <c r="U72" s="45"/>
    </row>
    <row r="73" spans="1:21" ht="18.7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8"/>
      <c r="T73" s="45"/>
      <c r="U73" s="45"/>
    </row>
    <row r="74" spans="1:21" ht="18.7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8"/>
      <c r="T74" s="45"/>
      <c r="U74" s="45"/>
    </row>
    <row r="75" spans="1:21" ht="18.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8"/>
      <c r="T75" s="45"/>
      <c r="U75" s="45"/>
    </row>
    <row r="76" spans="1:21" ht="18.7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8"/>
      <c r="T76" s="45"/>
      <c r="U76" s="45"/>
    </row>
    <row r="77" spans="1:21" ht="18.7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8"/>
      <c r="T77" s="45"/>
      <c r="U77" s="45"/>
    </row>
    <row r="78" spans="1:21" ht="18.7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8"/>
      <c r="T78" s="45"/>
      <c r="U78" s="45"/>
    </row>
    <row r="79" spans="1:21" ht="18.7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8"/>
      <c r="T79" s="45"/>
      <c r="U79" s="45"/>
    </row>
    <row r="80" spans="1:21" ht="18.7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8"/>
      <c r="T80" s="45"/>
      <c r="U80" s="45"/>
    </row>
    <row r="81" spans="1:21" ht="18.7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8"/>
      <c r="T81" s="45"/>
      <c r="U81" s="45"/>
    </row>
    <row r="82" spans="1:21" ht="18.7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8"/>
      <c r="T82" s="45"/>
      <c r="U82" s="45"/>
    </row>
    <row r="83" spans="1:21" ht="18.7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8"/>
      <c r="T83" s="45"/>
      <c r="U83" s="45"/>
    </row>
    <row r="84" spans="1:21" ht="18.7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8"/>
      <c r="T84" s="45"/>
      <c r="U84" s="45"/>
    </row>
    <row r="85" spans="1:21" ht="18.7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8"/>
      <c r="T85" s="45"/>
      <c r="U85" s="45"/>
    </row>
    <row r="86" spans="1:21" ht="18.7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8"/>
      <c r="T86" s="45"/>
      <c r="U86" s="45"/>
    </row>
    <row r="87" spans="1:21" ht="18.7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8"/>
      <c r="T87" s="45"/>
      <c r="U87" s="45"/>
    </row>
    <row r="88" spans="1:21" ht="18.7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8"/>
      <c r="T88" s="45"/>
      <c r="U88" s="45"/>
    </row>
    <row r="89" spans="1:21" ht="18.7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8"/>
      <c r="T89" s="45"/>
      <c r="U89" s="45"/>
    </row>
    <row r="90" spans="1:21" ht="18.7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8"/>
      <c r="T90" s="45"/>
      <c r="U90" s="45"/>
    </row>
    <row r="91" spans="1:21" ht="18.7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8"/>
      <c r="T91" s="45"/>
      <c r="U91" s="45"/>
    </row>
    <row r="92" spans="1:21" ht="18.7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8"/>
      <c r="T92" s="45"/>
      <c r="U92" s="45"/>
    </row>
    <row r="93" spans="1:21" ht="18.7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8"/>
      <c r="T93" s="45"/>
      <c r="U93" s="45"/>
    </row>
    <row r="94" spans="1:21" ht="18.7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8"/>
      <c r="T94" s="45"/>
      <c r="U94" s="45"/>
    </row>
    <row r="95" spans="1:21" ht="18.7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8"/>
      <c r="T95" s="45"/>
      <c r="U95" s="45"/>
    </row>
    <row r="96" spans="1:21" ht="18.7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8"/>
      <c r="T96" s="45"/>
      <c r="U96" s="45"/>
    </row>
    <row r="97" spans="1:21" ht="18.7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8"/>
      <c r="T97" s="45"/>
      <c r="U97" s="45"/>
    </row>
    <row r="98" spans="1:21" ht="18.7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8"/>
      <c r="T98" s="45"/>
      <c r="U98" s="45"/>
    </row>
    <row r="99" spans="1:21" ht="18.7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8"/>
      <c r="T99" s="45"/>
      <c r="U99" s="45"/>
    </row>
    <row r="100" spans="1:21" ht="18.7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8"/>
      <c r="T100" s="45"/>
      <c r="U100" s="45"/>
    </row>
    <row r="101" spans="1:21" ht="18.7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8"/>
      <c r="T101" s="45"/>
      <c r="U101" s="45"/>
    </row>
    <row r="102" spans="1:21" ht="18.7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8"/>
      <c r="T102" s="45"/>
      <c r="U102" s="45"/>
    </row>
    <row r="103" spans="1:21" ht="18.7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8"/>
      <c r="T103" s="45"/>
      <c r="U103" s="45"/>
    </row>
    <row r="104" spans="1:21" ht="18.7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8"/>
      <c r="T104" s="45"/>
      <c r="U104" s="45"/>
    </row>
    <row r="105" spans="1:21" ht="18.7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8"/>
      <c r="T105" s="45"/>
      <c r="U105" s="45"/>
    </row>
    <row r="106" spans="1:21" ht="18.7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8"/>
      <c r="T106" s="45"/>
      <c r="U106" s="45"/>
    </row>
    <row r="107" spans="1:21" ht="18.7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8"/>
      <c r="T107" s="45"/>
      <c r="U107" s="45"/>
    </row>
    <row r="108" spans="1:21" ht="18.7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8"/>
      <c r="T108" s="45"/>
      <c r="U108" s="45"/>
    </row>
    <row r="109" spans="1:21" ht="18.7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8"/>
      <c r="T109" s="45"/>
      <c r="U109" s="45"/>
    </row>
    <row r="110" spans="1:21" ht="18.7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8"/>
      <c r="T110" s="45"/>
      <c r="U110" s="45"/>
    </row>
    <row r="111" spans="1:21" ht="18.7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8"/>
      <c r="T111" s="45"/>
      <c r="U111" s="45"/>
    </row>
    <row r="112" spans="1:21" ht="18.7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8"/>
      <c r="T112" s="45"/>
      <c r="U112" s="45"/>
    </row>
    <row r="113" spans="1:21" ht="18.7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8"/>
      <c r="T113" s="45"/>
      <c r="U113" s="45"/>
    </row>
    <row r="114" spans="1:21" ht="18.7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8"/>
      <c r="T114" s="45"/>
      <c r="U114" s="45"/>
    </row>
    <row r="115" spans="1:21" ht="18.7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8"/>
      <c r="T115" s="45"/>
      <c r="U115" s="45"/>
    </row>
    <row r="116" spans="1:21" ht="18.7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8"/>
      <c r="T116" s="45"/>
      <c r="U116" s="45"/>
    </row>
    <row r="117" spans="1:21" ht="18.7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8"/>
      <c r="T117" s="45"/>
      <c r="U117" s="45"/>
    </row>
    <row r="118" spans="1:21" ht="18.7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8"/>
      <c r="T118" s="45"/>
      <c r="U118" s="45"/>
    </row>
    <row r="119" spans="1:21" ht="18.7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8"/>
      <c r="T119" s="45"/>
      <c r="U119" s="45"/>
    </row>
    <row r="120" spans="1:21" ht="18.7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8"/>
      <c r="T120" s="45"/>
      <c r="U120" s="45"/>
    </row>
    <row r="121" spans="1:21" ht="18.7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8"/>
      <c r="T121" s="45"/>
      <c r="U121" s="45"/>
    </row>
    <row r="122" spans="1:21" ht="18.7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8"/>
      <c r="T122" s="45"/>
      <c r="U122" s="45"/>
    </row>
    <row r="123" spans="1:21" ht="18.7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8"/>
      <c r="T123" s="45"/>
      <c r="U123" s="45"/>
    </row>
    <row r="124" spans="1:21" ht="18.7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8"/>
      <c r="T124" s="45"/>
      <c r="U124" s="45"/>
    </row>
    <row r="125" spans="1:21" ht="18.7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8"/>
      <c r="T125" s="45"/>
      <c r="U125" s="45"/>
    </row>
    <row r="126" spans="1:21" ht="18.7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8"/>
      <c r="T126" s="45"/>
      <c r="U126" s="45"/>
    </row>
    <row r="127" spans="1:21" ht="18.7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8"/>
      <c r="T127" s="45"/>
      <c r="U127" s="45"/>
    </row>
    <row r="128" spans="1:21" ht="18.7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8"/>
      <c r="T128" s="45"/>
      <c r="U128" s="45"/>
    </row>
    <row r="129" spans="1:21" ht="18.7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8"/>
      <c r="T129" s="45"/>
      <c r="U129" s="45"/>
    </row>
    <row r="130" spans="1:21" ht="18.7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8"/>
      <c r="T130" s="45"/>
      <c r="U130" s="45"/>
    </row>
    <row r="131" spans="1:21" ht="18.7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8"/>
      <c r="T131" s="45"/>
      <c r="U131" s="45"/>
    </row>
    <row r="132" spans="1:21" ht="18.7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8"/>
      <c r="T132" s="45"/>
      <c r="U132" s="45"/>
    </row>
    <row r="133" spans="1:21" ht="18.7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8"/>
      <c r="T133" s="45"/>
      <c r="U133" s="45"/>
    </row>
    <row r="134" spans="1:21" ht="18.7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8"/>
      <c r="T134" s="45"/>
      <c r="U134" s="45"/>
    </row>
    <row r="135" spans="1:21" ht="18.7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8"/>
      <c r="T135" s="45"/>
      <c r="U135" s="45"/>
    </row>
    <row r="136" spans="1:21" ht="18.7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8"/>
      <c r="T136" s="45"/>
      <c r="U136" s="45"/>
    </row>
    <row r="137" spans="1:21" ht="18.7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8"/>
      <c r="T137" s="45"/>
      <c r="U137" s="45"/>
    </row>
    <row r="138" spans="1:21" ht="18.7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8"/>
      <c r="T138" s="45"/>
      <c r="U138" s="45"/>
    </row>
    <row r="139" spans="1:21" ht="18.7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8"/>
      <c r="T139" s="45"/>
      <c r="U139" s="45"/>
    </row>
    <row r="140" spans="1:21" ht="18.7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8"/>
      <c r="T140" s="45"/>
      <c r="U140" s="45"/>
    </row>
    <row r="141" spans="1:21" ht="18.7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8"/>
      <c r="T141" s="45"/>
      <c r="U141" s="45"/>
    </row>
    <row r="142" spans="1:21" ht="18.7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8"/>
      <c r="T142" s="45"/>
      <c r="U142" s="45"/>
    </row>
    <row r="143" spans="1:21" ht="18.7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8"/>
      <c r="T143" s="45"/>
      <c r="U143" s="45"/>
    </row>
    <row r="144" spans="1:21" ht="18.7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8"/>
      <c r="T144" s="45"/>
      <c r="U144" s="45"/>
    </row>
    <row r="145" spans="1:21" ht="18.7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8"/>
      <c r="T145" s="45"/>
      <c r="U145" s="45"/>
    </row>
    <row r="146" spans="1:21" ht="18.7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8"/>
      <c r="T146" s="45"/>
      <c r="U146" s="45"/>
    </row>
    <row r="147" spans="1:21" ht="18.7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8"/>
      <c r="T147" s="45"/>
      <c r="U147" s="45"/>
    </row>
    <row r="148" spans="1:21" ht="18.7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8"/>
      <c r="T148" s="45"/>
      <c r="U148" s="45"/>
    </row>
    <row r="149" spans="1:21" ht="18.7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8"/>
      <c r="T149" s="45"/>
      <c r="U149" s="45"/>
    </row>
    <row r="150" spans="1:21" ht="18.7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8"/>
      <c r="T150" s="45"/>
      <c r="U150" s="45"/>
    </row>
    <row r="151" spans="1:21" ht="18.7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8"/>
      <c r="T151" s="45"/>
      <c r="U151" s="45"/>
    </row>
    <row r="152" spans="1:21" ht="18.7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8"/>
      <c r="T152" s="45"/>
      <c r="U152" s="45"/>
    </row>
    <row r="153" spans="1:21" ht="18.7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8"/>
      <c r="T153" s="45"/>
      <c r="U153" s="45"/>
    </row>
    <row r="154" spans="1:21" ht="18.7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8"/>
      <c r="T154" s="45"/>
      <c r="U154" s="45"/>
    </row>
    <row r="155" spans="1:21" ht="18.7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8"/>
      <c r="T155" s="45"/>
      <c r="U155" s="45"/>
    </row>
    <row r="156" spans="1:21" ht="18.7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8"/>
      <c r="T156" s="45"/>
      <c r="U156" s="45"/>
    </row>
    <row r="157" spans="1:21" ht="18.7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8"/>
      <c r="T157" s="45"/>
      <c r="U157" s="45"/>
    </row>
    <row r="158" spans="1:21" ht="18.7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8"/>
      <c r="T158" s="45"/>
      <c r="U158" s="45"/>
    </row>
    <row r="159" spans="1:21" ht="18.7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8"/>
      <c r="T159" s="45"/>
      <c r="U159" s="45"/>
    </row>
    <row r="160" spans="1:21" ht="18.7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8"/>
      <c r="T160" s="45"/>
      <c r="U160" s="45"/>
    </row>
    <row r="161" spans="1:21" ht="18.7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8"/>
      <c r="T161" s="45"/>
      <c r="U161" s="45"/>
    </row>
    <row r="162" spans="1:21" ht="18.7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8"/>
      <c r="T162" s="45"/>
      <c r="U162" s="45"/>
    </row>
    <row r="163" spans="1:21" ht="18.7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8"/>
      <c r="T163" s="45"/>
      <c r="U163" s="45"/>
    </row>
    <row r="164" spans="1:21" ht="18.7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8"/>
      <c r="T164" s="45"/>
      <c r="U164" s="45"/>
    </row>
    <row r="165" spans="1:21" ht="18.7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8"/>
      <c r="T165" s="45"/>
      <c r="U165" s="45"/>
    </row>
    <row r="166" spans="1:21" ht="18.7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8"/>
      <c r="T166" s="45"/>
      <c r="U166" s="45"/>
    </row>
    <row r="167" spans="1:21" ht="18.7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8"/>
      <c r="T167" s="45"/>
      <c r="U167" s="45"/>
    </row>
    <row r="168" spans="1:21" ht="18.7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8"/>
      <c r="T168" s="45"/>
      <c r="U168" s="45"/>
    </row>
    <row r="169" spans="1:21" ht="18.7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8"/>
      <c r="T169" s="45"/>
      <c r="U169" s="45"/>
    </row>
    <row r="170" spans="1:21" ht="18.7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8"/>
      <c r="T170" s="45"/>
      <c r="U170" s="45"/>
    </row>
    <row r="171" spans="1:21" ht="18.7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8"/>
      <c r="T171" s="45"/>
      <c r="U171" s="45"/>
    </row>
    <row r="172" spans="1:21" ht="18.7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8"/>
      <c r="T172" s="45"/>
      <c r="U172" s="45"/>
    </row>
    <row r="173" spans="1:21" ht="18.7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8"/>
      <c r="T173" s="45"/>
      <c r="U173" s="45"/>
    </row>
    <row r="174" spans="1:21" ht="18.7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8"/>
      <c r="T174" s="45"/>
      <c r="U174" s="45"/>
    </row>
    <row r="175" spans="1:21" ht="18.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8"/>
      <c r="T175" s="45"/>
      <c r="U175" s="45"/>
    </row>
    <row r="176" spans="1:21" ht="18.7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8"/>
      <c r="T176" s="45"/>
      <c r="U176" s="45"/>
    </row>
    <row r="177" spans="1:21" ht="18.7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8"/>
      <c r="T177" s="45"/>
      <c r="U177" s="45"/>
    </row>
    <row r="178" spans="1:21" ht="18.7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8"/>
      <c r="T178" s="45"/>
      <c r="U178" s="45"/>
    </row>
    <row r="179" spans="1:21" ht="18.7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8"/>
      <c r="T179" s="45"/>
      <c r="U179" s="45"/>
    </row>
    <row r="180" spans="1:21" ht="18.7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8"/>
      <c r="T180" s="45"/>
      <c r="U180" s="45"/>
    </row>
    <row r="181" spans="1:21" ht="18.7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8"/>
      <c r="T181" s="45"/>
      <c r="U181" s="45"/>
    </row>
    <row r="182" spans="1:21" ht="18.7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8"/>
      <c r="T182" s="45"/>
      <c r="U182" s="45"/>
    </row>
    <row r="183" spans="1:21" ht="18.7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8"/>
      <c r="T183" s="45"/>
      <c r="U183" s="45"/>
    </row>
    <row r="184" spans="1:21" ht="18.7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8"/>
      <c r="T184" s="45"/>
      <c r="U184" s="45"/>
    </row>
    <row r="185" spans="1:21" ht="18.7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8"/>
      <c r="T185" s="45"/>
      <c r="U185" s="45"/>
    </row>
    <row r="186" spans="1:21" ht="18.7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8"/>
      <c r="T186" s="45"/>
      <c r="U186" s="45"/>
    </row>
    <row r="187" spans="1:21" ht="18.7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8"/>
      <c r="T187" s="45"/>
      <c r="U187" s="45"/>
    </row>
    <row r="188" spans="1:21" ht="18.7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8"/>
      <c r="T188" s="45"/>
      <c r="U188" s="45"/>
    </row>
    <row r="189" spans="1:21" ht="18.7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8"/>
      <c r="T189" s="45"/>
      <c r="U189" s="45"/>
    </row>
    <row r="190" spans="1:21" ht="18.7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8"/>
      <c r="T190" s="45"/>
      <c r="U190" s="45"/>
    </row>
    <row r="191" spans="1:21" ht="18.7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8"/>
      <c r="T191" s="45"/>
      <c r="U191" s="45"/>
    </row>
    <row r="192" spans="1:21" ht="18.7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8"/>
      <c r="T192" s="45"/>
      <c r="U192" s="45"/>
    </row>
    <row r="193" spans="1:21" ht="18.7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8"/>
      <c r="T193" s="45"/>
      <c r="U193" s="45"/>
    </row>
    <row r="194" spans="1:21" ht="18.7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8"/>
      <c r="T194" s="45"/>
      <c r="U194" s="45"/>
    </row>
    <row r="195" spans="1:21" ht="18.7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8"/>
      <c r="T195" s="45"/>
      <c r="U195" s="45"/>
    </row>
    <row r="196" spans="1:21" ht="18.7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8"/>
      <c r="T196" s="45"/>
      <c r="U196" s="45"/>
    </row>
    <row r="197" spans="1:21" ht="18.7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8"/>
      <c r="T197" s="45"/>
      <c r="U197" s="45"/>
    </row>
    <row r="198" spans="1:21" ht="18.7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8"/>
      <c r="T198" s="45"/>
      <c r="U198" s="45"/>
    </row>
    <row r="199" spans="1:21" ht="18.7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8"/>
      <c r="T199" s="45"/>
      <c r="U199" s="45"/>
    </row>
    <row r="200" spans="1:21" ht="18.7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8"/>
      <c r="T200" s="45"/>
      <c r="U200" s="45"/>
    </row>
    <row r="201" spans="1:21" ht="18.7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8"/>
      <c r="T201" s="45"/>
      <c r="U201" s="45"/>
    </row>
    <row r="202" spans="1:21" ht="18.7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8"/>
      <c r="T202" s="45"/>
      <c r="U202" s="45"/>
    </row>
    <row r="203" spans="1:21" ht="18.7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8"/>
      <c r="T203" s="45"/>
      <c r="U203" s="45"/>
    </row>
    <row r="204" spans="1:21" ht="18.7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8"/>
      <c r="T204" s="45"/>
      <c r="U204" s="45"/>
    </row>
    <row r="205" spans="1:21" ht="18.7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8"/>
      <c r="T205" s="45"/>
      <c r="U205" s="45"/>
    </row>
    <row r="206" spans="1:21" ht="18.7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8"/>
      <c r="T206" s="45"/>
      <c r="U206" s="45"/>
    </row>
    <row r="207" spans="1:21" ht="18.7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8"/>
      <c r="T207" s="45"/>
      <c r="U207" s="45"/>
    </row>
    <row r="208" spans="1:21" ht="18.7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8"/>
      <c r="T208" s="45"/>
      <c r="U208" s="45"/>
    </row>
    <row r="209" spans="1:21" ht="18.7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8"/>
      <c r="T209" s="45"/>
      <c r="U209" s="45"/>
    </row>
    <row r="210" spans="1:21" ht="18.7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8"/>
      <c r="T210" s="45"/>
      <c r="U210" s="45"/>
    </row>
    <row r="211" spans="1:21" ht="18.7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8"/>
      <c r="T211" s="45"/>
      <c r="U211" s="45"/>
    </row>
    <row r="212" spans="1:21" ht="18.7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8"/>
      <c r="T212" s="45"/>
      <c r="U212" s="45"/>
    </row>
    <row r="213" spans="1:21" ht="18.7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8"/>
      <c r="T213" s="45"/>
      <c r="U213" s="45"/>
    </row>
    <row r="214" spans="1:21" ht="18.7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8"/>
      <c r="T214" s="45"/>
      <c r="U214" s="45"/>
    </row>
    <row r="215" spans="1:21" ht="18.7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8"/>
      <c r="T215" s="45"/>
      <c r="U215" s="45"/>
    </row>
    <row r="216" spans="1:21" ht="18.7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8"/>
      <c r="T216" s="45"/>
      <c r="U216" s="45"/>
    </row>
    <row r="217" spans="1:21" ht="18.7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8"/>
      <c r="T217" s="45"/>
      <c r="U217" s="45"/>
    </row>
    <row r="218" spans="1:21" ht="18.7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8"/>
      <c r="T218" s="45"/>
      <c r="U218" s="45"/>
    </row>
    <row r="219" spans="1:21" ht="18.7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8"/>
      <c r="T219" s="45"/>
      <c r="U219" s="45"/>
    </row>
    <row r="220" spans="1:21" ht="18.7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8"/>
      <c r="T220" s="45"/>
      <c r="U220" s="45"/>
    </row>
    <row r="221" spans="1:21" ht="18.7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8"/>
      <c r="T221" s="45"/>
      <c r="U221" s="45"/>
    </row>
    <row r="222" spans="1:21" ht="18.7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8"/>
      <c r="T222" s="45"/>
      <c r="U222" s="45"/>
    </row>
    <row r="223" spans="1:21" ht="18.7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8"/>
      <c r="T223" s="45"/>
      <c r="U223" s="45"/>
    </row>
    <row r="224" spans="1:21" ht="18.7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8"/>
      <c r="T224" s="45"/>
      <c r="U224" s="45"/>
    </row>
    <row r="225" spans="1:21" ht="18.7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8"/>
      <c r="T225" s="45"/>
      <c r="U225" s="45"/>
    </row>
    <row r="226" spans="1:21" ht="18.7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8"/>
      <c r="T226" s="45"/>
      <c r="U226" s="45"/>
    </row>
    <row r="227" spans="1:21" ht="18.7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8"/>
      <c r="T227" s="45"/>
      <c r="U227" s="45"/>
    </row>
    <row r="228" spans="1:21" ht="18.7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8"/>
      <c r="T228" s="45"/>
      <c r="U228" s="45"/>
    </row>
    <row r="229" spans="1:21" ht="18.7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8"/>
      <c r="T229" s="45"/>
      <c r="U229" s="45"/>
    </row>
    <row r="230" spans="1:21" ht="18.7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8"/>
      <c r="T230" s="45"/>
      <c r="U230" s="45"/>
    </row>
    <row r="231" spans="1:21" ht="18.7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8"/>
      <c r="T231" s="45"/>
      <c r="U231" s="45"/>
    </row>
    <row r="232" spans="1:21" ht="18.7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8"/>
      <c r="T232" s="45"/>
      <c r="U232" s="45"/>
    </row>
    <row r="233" spans="1:21" ht="18.7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8"/>
      <c r="T233" s="45"/>
      <c r="U233" s="45"/>
    </row>
    <row r="234" spans="1:21" ht="18.7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8"/>
      <c r="T234" s="45"/>
      <c r="U234" s="45"/>
    </row>
    <row r="235" spans="1:21" ht="18.7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8"/>
      <c r="T235" s="45"/>
      <c r="U235" s="45"/>
    </row>
    <row r="236" spans="1:21" ht="18.7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8"/>
      <c r="T236" s="45"/>
      <c r="U236" s="45"/>
    </row>
    <row r="237" spans="1:21" ht="18.7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8"/>
      <c r="T237" s="45"/>
      <c r="U237" s="45"/>
    </row>
    <row r="238" spans="1:21" ht="18.7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8"/>
      <c r="T238" s="45"/>
      <c r="U238" s="45"/>
    </row>
    <row r="239" spans="1:21" ht="18.7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8"/>
      <c r="T239" s="45"/>
      <c r="U239" s="45"/>
    </row>
    <row r="240" spans="1:21" ht="18.7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8"/>
      <c r="T240" s="45"/>
      <c r="U240" s="45"/>
    </row>
    <row r="241" spans="1:21" ht="18.7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8"/>
      <c r="T241" s="45"/>
      <c r="U241" s="45"/>
    </row>
    <row r="242" spans="1:21" ht="18.7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8"/>
      <c r="T242" s="45"/>
      <c r="U242" s="45"/>
    </row>
    <row r="243" spans="1:21" ht="18.7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8"/>
      <c r="T243" s="45"/>
      <c r="U243" s="45"/>
    </row>
    <row r="244" spans="1:21" ht="18.7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8"/>
      <c r="T244" s="45"/>
      <c r="U244" s="45"/>
    </row>
    <row r="245" spans="1:21" ht="18.7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8"/>
      <c r="T245" s="45"/>
      <c r="U245" s="45"/>
    </row>
    <row r="246" spans="1:21" ht="18.7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8"/>
      <c r="T246" s="45"/>
      <c r="U246" s="45"/>
    </row>
    <row r="247" spans="1:21" ht="18.7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8"/>
      <c r="T247" s="45"/>
      <c r="U247" s="45"/>
    </row>
    <row r="248" spans="1:21" ht="18.7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8"/>
      <c r="T248" s="45"/>
      <c r="U248" s="45"/>
    </row>
    <row r="249" spans="1:21" ht="18.7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8"/>
      <c r="T249" s="45"/>
      <c r="U249" s="45"/>
    </row>
    <row r="250" spans="1:21" ht="18.7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8"/>
      <c r="T250" s="45"/>
      <c r="U250" s="45"/>
    </row>
    <row r="251" spans="1:21" ht="18.7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8"/>
      <c r="T251" s="45"/>
      <c r="U251" s="45"/>
    </row>
    <row r="252" spans="1:21" ht="18.7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8"/>
      <c r="T252" s="45"/>
      <c r="U252" s="45"/>
    </row>
    <row r="253" spans="1:21" ht="18.7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8"/>
      <c r="T253" s="45"/>
      <c r="U253" s="45"/>
    </row>
    <row r="254" spans="1:21" ht="18.7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8"/>
      <c r="T254" s="45"/>
      <c r="U254" s="45"/>
    </row>
    <row r="255" spans="1:21" ht="18.7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8"/>
      <c r="T255" s="45"/>
      <c r="U255" s="45"/>
    </row>
    <row r="256" spans="1:21" ht="18.7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8"/>
      <c r="T256" s="45"/>
      <c r="U256" s="45"/>
    </row>
    <row r="257" spans="1:21" ht="18.7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8"/>
      <c r="T257" s="45"/>
      <c r="U257" s="45"/>
    </row>
    <row r="258" spans="1:21" ht="18.7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8"/>
      <c r="T258" s="45"/>
      <c r="U258" s="45"/>
    </row>
    <row r="259" spans="1:21" ht="18.7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8"/>
      <c r="T259" s="45"/>
      <c r="U259" s="45"/>
    </row>
    <row r="260" spans="1:21" ht="18.7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8"/>
      <c r="T260" s="45"/>
      <c r="U260" s="45"/>
    </row>
    <row r="261" spans="1:21" ht="18.7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8"/>
      <c r="T261" s="45"/>
      <c r="U261" s="45"/>
    </row>
    <row r="262" spans="1:21" ht="18.7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8"/>
      <c r="T262" s="45"/>
      <c r="U262" s="45"/>
    </row>
    <row r="263" spans="1:21" ht="18.7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8"/>
      <c r="T263" s="45"/>
      <c r="U263" s="45"/>
    </row>
    <row r="264" spans="1:21" ht="18.7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8"/>
      <c r="T264" s="45"/>
      <c r="U264" s="45"/>
    </row>
    <row r="265" spans="1:21" ht="18.7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8"/>
      <c r="T265" s="45"/>
      <c r="U265" s="45"/>
    </row>
    <row r="266" spans="1:21" ht="18.7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8"/>
      <c r="T266" s="45"/>
      <c r="U266" s="45"/>
    </row>
    <row r="267" spans="1:21" ht="18.7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8"/>
      <c r="T267" s="45"/>
      <c r="U267" s="45"/>
    </row>
    <row r="268" spans="1:21" ht="18.7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8"/>
      <c r="T268" s="45"/>
      <c r="U268" s="45"/>
    </row>
    <row r="269" spans="1:21" ht="18.7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8"/>
      <c r="T269" s="45"/>
      <c r="U269" s="45"/>
    </row>
    <row r="270" spans="1:21" ht="18.7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8"/>
      <c r="T270" s="45"/>
      <c r="U270" s="45"/>
    </row>
    <row r="271" spans="1:21" ht="18.7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8"/>
      <c r="T271" s="45"/>
      <c r="U271" s="45"/>
    </row>
    <row r="272" spans="1:21" ht="18.7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8"/>
      <c r="T272" s="45"/>
      <c r="U272" s="45"/>
    </row>
    <row r="273" spans="1:21" ht="18.7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8"/>
      <c r="T273" s="45"/>
      <c r="U273" s="45"/>
    </row>
    <row r="274" spans="1:21" ht="18.7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8"/>
      <c r="T274" s="45"/>
      <c r="U274" s="45"/>
    </row>
    <row r="275" spans="1:21" ht="18.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8"/>
      <c r="T275" s="45"/>
      <c r="U275" s="45"/>
    </row>
    <row r="276" spans="1:21" ht="18.7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8"/>
      <c r="T276" s="45"/>
      <c r="U276" s="45"/>
    </row>
    <row r="277" spans="1:21" ht="18.7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8"/>
      <c r="T277" s="45"/>
      <c r="U277" s="45"/>
    </row>
    <row r="278" spans="1:21" ht="18.7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8"/>
      <c r="T278" s="45"/>
      <c r="U278" s="45"/>
    </row>
    <row r="279" spans="1:21" ht="18.7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8"/>
      <c r="T279" s="45"/>
      <c r="U279" s="45"/>
    </row>
    <row r="280" spans="1:21" ht="18.7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8"/>
      <c r="T280" s="45"/>
      <c r="U280" s="45"/>
    </row>
    <row r="281" spans="1:21" ht="18.7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8"/>
      <c r="T281" s="45"/>
      <c r="U281" s="45"/>
    </row>
    <row r="282" spans="1:21" ht="18.7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8"/>
      <c r="T282" s="45"/>
      <c r="U282" s="45"/>
    </row>
    <row r="283" spans="1:21" ht="18.7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8"/>
      <c r="T283" s="45"/>
      <c r="U283" s="45"/>
    </row>
    <row r="284" spans="1:21" ht="18.7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8"/>
      <c r="T284" s="45"/>
      <c r="U284" s="45"/>
    </row>
    <row r="285" spans="1:21" ht="18.7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8"/>
      <c r="T285" s="45"/>
      <c r="U285" s="45"/>
    </row>
    <row r="286" spans="1:21" ht="18.7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8"/>
      <c r="T286" s="45"/>
      <c r="U286" s="45"/>
    </row>
    <row r="287" spans="1:21" ht="18.7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8"/>
      <c r="T287" s="45"/>
      <c r="U287" s="45"/>
    </row>
    <row r="288" spans="1:21" ht="18.7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8"/>
      <c r="T288" s="45"/>
      <c r="U288" s="45"/>
    </row>
    <row r="289" spans="1:21" ht="18.7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8"/>
      <c r="T289" s="45"/>
      <c r="U289" s="45"/>
    </row>
    <row r="290" spans="1:21" ht="18.7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8"/>
      <c r="T290" s="45"/>
      <c r="U290" s="45"/>
    </row>
    <row r="291" spans="1:21" ht="18.7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8"/>
      <c r="T291" s="45"/>
      <c r="U291" s="45"/>
    </row>
    <row r="292" spans="1:21" ht="18.7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8"/>
      <c r="T292" s="45"/>
      <c r="U292" s="45"/>
    </row>
    <row r="293" spans="1:21" ht="18.7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8"/>
      <c r="T293" s="45"/>
      <c r="U293" s="45"/>
    </row>
    <row r="294" spans="1:21" ht="18.7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8"/>
      <c r="T294" s="45"/>
      <c r="U294" s="45"/>
    </row>
    <row r="295" spans="1:21" ht="18.7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8"/>
      <c r="T295" s="45"/>
      <c r="U295" s="45"/>
    </row>
    <row r="296" spans="1:21" ht="18.7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8"/>
      <c r="T296" s="45"/>
      <c r="U296" s="45"/>
    </row>
    <row r="297" spans="1:21" ht="18.7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8"/>
      <c r="T297" s="45"/>
      <c r="U297" s="45"/>
    </row>
    <row r="298" spans="1:21" ht="18.7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8"/>
      <c r="T298" s="45"/>
      <c r="U298" s="45"/>
    </row>
    <row r="299" spans="1:21" ht="18.7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8"/>
      <c r="T299" s="45"/>
      <c r="U299" s="45"/>
    </row>
    <row r="300" spans="1:21" ht="18.7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8"/>
      <c r="T300" s="45"/>
      <c r="U300" s="45"/>
    </row>
    <row r="301" spans="1:21" ht="18.7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8"/>
      <c r="T301" s="45"/>
      <c r="U301" s="45"/>
    </row>
    <row r="302" spans="1:21" ht="18.7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8"/>
      <c r="T302" s="45"/>
      <c r="U302" s="45"/>
    </row>
    <row r="303" spans="1:21" ht="18.7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8"/>
      <c r="T303" s="45"/>
      <c r="U303" s="45"/>
    </row>
    <row r="304" spans="1:21" ht="18.7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8"/>
      <c r="T304" s="45"/>
      <c r="U304" s="45"/>
    </row>
    <row r="305" spans="1:21" ht="18.7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8"/>
      <c r="T305" s="45"/>
      <c r="U305" s="45"/>
    </row>
    <row r="306" spans="1:21" ht="18.7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8"/>
      <c r="T306" s="45"/>
      <c r="U306" s="45"/>
    </row>
    <row r="307" spans="1:21" ht="18.7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8"/>
      <c r="T307" s="45"/>
      <c r="U307" s="45"/>
    </row>
    <row r="308" spans="1:21" ht="18.7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8"/>
      <c r="T308" s="45"/>
      <c r="U308" s="45"/>
    </row>
    <row r="309" spans="1:21" ht="18.7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8"/>
      <c r="T309" s="45"/>
      <c r="U309" s="45"/>
    </row>
    <row r="310" spans="1:21" ht="18.7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8"/>
      <c r="T310" s="45"/>
      <c r="U310" s="45"/>
    </row>
    <row r="311" spans="1:21" ht="18.7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8"/>
      <c r="T311" s="45"/>
      <c r="U311" s="45"/>
    </row>
    <row r="312" spans="1:21" ht="18.7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8"/>
      <c r="T312" s="45"/>
      <c r="U312" s="45"/>
    </row>
    <row r="313" spans="1:21" ht="18.7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8"/>
      <c r="T313" s="45"/>
      <c r="U313" s="45"/>
    </row>
    <row r="314" spans="1:21" ht="18.7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8"/>
      <c r="T314" s="45"/>
      <c r="U314" s="45"/>
    </row>
    <row r="315" spans="1:21" ht="18.7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8"/>
      <c r="T315" s="45"/>
      <c r="U315" s="45"/>
    </row>
    <row r="316" spans="1:21" ht="18.7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8"/>
      <c r="T316" s="45"/>
      <c r="U316" s="45"/>
    </row>
    <row r="317" spans="1:21" ht="18.7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8"/>
      <c r="T317" s="45"/>
      <c r="U317" s="45"/>
    </row>
    <row r="318" spans="1:21" ht="18.7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8"/>
      <c r="T318" s="45"/>
      <c r="U318" s="45"/>
    </row>
    <row r="319" spans="1:21" ht="18.7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8"/>
      <c r="T319" s="45"/>
      <c r="U319" s="45"/>
    </row>
    <row r="320" spans="1:21" ht="18.7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8"/>
      <c r="T320" s="45"/>
      <c r="U320" s="45"/>
    </row>
    <row r="321" spans="1:21" ht="18.7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8"/>
      <c r="T321" s="45"/>
      <c r="U321" s="45"/>
    </row>
    <row r="322" spans="1:21" ht="18.7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8"/>
      <c r="T322" s="45"/>
      <c r="U322" s="45"/>
    </row>
    <row r="323" spans="1:21" ht="18.7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8"/>
      <c r="T323" s="45"/>
      <c r="U323" s="45"/>
    </row>
    <row r="324" spans="1:21" ht="18.7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8"/>
      <c r="T325" s="45"/>
      <c r="U325" s="45"/>
    </row>
    <row r="326" spans="1:21" ht="18.7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8"/>
      <c r="T326" s="45"/>
      <c r="U326" s="45"/>
    </row>
    <row r="327" spans="1:21" ht="18.7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8"/>
      <c r="T327" s="45"/>
      <c r="U327" s="45"/>
    </row>
    <row r="328" spans="1:21" ht="18.7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8"/>
      <c r="T328" s="45"/>
      <c r="U328" s="45"/>
    </row>
    <row r="329" spans="1:21" ht="18.7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8"/>
      <c r="T329" s="45"/>
      <c r="U329" s="45"/>
    </row>
    <row r="330" spans="1:21" ht="18.7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8"/>
      <c r="T330" s="45"/>
      <c r="U330" s="45"/>
    </row>
    <row r="331" spans="1:21" ht="18.7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8"/>
      <c r="T331" s="45"/>
      <c r="U331" s="45"/>
    </row>
    <row r="332" spans="1:21" ht="18.7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8"/>
      <c r="T332" s="45"/>
      <c r="U332" s="45"/>
    </row>
    <row r="333" spans="1:21" ht="18.7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8"/>
      <c r="T333" s="45"/>
      <c r="U333" s="45"/>
    </row>
    <row r="334" spans="1:21" ht="18.7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8"/>
      <c r="T334" s="45"/>
      <c r="U334" s="45"/>
    </row>
    <row r="335" spans="1:21" ht="18.7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8"/>
      <c r="T335" s="45"/>
      <c r="U335" s="45"/>
    </row>
    <row r="336" spans="1:21" ht="18.7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8"/>
      <c r="T336" s="45"/>
      <c r="U336" s="45"/>
    </row>
    <row r="337" spans="1:21" ht="18.7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8"/>
      <c r="T337" s="45"/>
      <c r="U337" s="45"/>
    </row>
    <row r="338" spans="1:21" ht="18.7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8"/>
      <c r="T338" s="45"/>
      <c r="U338" s="45"/>
    </row>
    <row r="339" spans="1:21" ht="18.7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8"/>
      <c r="T339" s="45"/>
      <c r="U339" s="45"/>
    </row>
    <row r="340" spans="1:21" ht="18.7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8"/>
      <c r="T340" s="45"/>
      <c r="U340" s="45"/>
    </row>
    <row r="341" spans="1:21" ht="18.7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8"/>
      <c r="T341" s="45"/>
      <c r="U341" s="45"/>
    </row>
    <row r="342" spans="1:21" ht="18.7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8"/>
      <c r="T342" s="45"/>
      <c r="U342" s="45"/>
    </row>
    <row r="343" spans="1:21" ht="18.7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8"/>
      <c r="T343" s="45"/>
      <c r="U343" s="45"/>
    </row>
    <row r="344" spans="1:21" ht="18.7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8"/>
      <c r="T344" s="45"/>
      <c r="U344" s="45"/>
    </row>
    <row r="345" spans="1:21" ht="18.7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8"/>
      <c r="T345" s="45"/>
      <c r="U345" s="45"/>
    </row>
    <row r="346" spans="1:21" ht="18.7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8"/>
      <c r="T346" s="45"/>
      <c r="U346" s="45"/>
    </row>
    <row r="347" spans="1:21" ht="18.7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8"/>
      <c r="T347" s="45"/>
      <c r="U347" s="45"/>
    </row>
    <row r="348" spans="1:21" ht="18.7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8"/>
      <c r="T348" s="45"/>
      <c r="U348" s="45"/>
    </row>
    <row r="349" spans="1:21" ht="18.7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8"/>
      <c r="T349" s="45"/>
      <c r="U349" s="45"/>
    </row>
    <row r="350" spans="1:21" ht="18.7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8"/>
      <c r="T350" s="45"/>
      <c r="U350" s="45"/>
    </row>
    <row r="351" spans="1:21" ht="18.7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8"/>
      <c r="T351" s="45"/>
      <c r="U351" s="45"/>
    </row>
    <row r="352" spans="1:21" ht="18.7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8"/>
      <c r="T352" s="45"/>
      <c r="U352" s="45"/>
    </row>
    <row r="353" spans="1:21" ht="18.7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8"/>
      <c r="T353" s="45"/>
      <c r="U353" s="45"/>
    </row>
    <row r="354" spans="1:21" ht="18.7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8"/>
      <c r="T354" s="45"/>
      <c r="U354" s="45"/>
    </row>
    <row r="355" spans="1:21" ht="18.7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8"/>
      <c r="T355" s="45"/>
      <c r="U355" s="45"/>
    </row>
    <row r="356" spans="1:21" ht="18.7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8"/>
      <c r="T356" s="45"/>
      <c r="U356" s="45"/>
    </row>
    <row r="357" spans="1:21" ht="18.7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8"/>
      <c r="T357" s="45"/>
      <c r="U357" s="45"/>
    </row>
    <row r="358" spans="1:21" ht="18.7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8"/>
      <c r="T358" s="45"/>
      <c r="U358" s="45"/>
    </row>
    <row r="359" spans="1:21" ht="18.7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8"/>
      <c r="T359" s="45"/>
      <c r="U359" s="45"/>
    </row>
    <row r="360" spans="1:21" ht="18.7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8"/>
      <c r="T360" s="45"/>
      <c r="U360" s="45"/>
    </row>
    <row r="361" spans="1:21" ht="18.7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8"/>
      <c r="T361" s="45"/>
      <c r="U361" s="45"/>
    </row>
    <row r="362" spans="1:21" ht="18.7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8"/>
      <c r="T362" s="45"/>
      <c r="U362" s="45"/>
    </row>
    <row r="363" spans="1:21" ht="18.7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8"/>
      <c r="T363" s="45"/>
      <c r="U363" s="45"/>
    </row>
    <row r="364" spans="1:21" ht="18.7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8"/>
      <c r="T364" s="45"/>
      <c r="U364" s="45"/>
    </row>
    <row r="365" spans="1:21" ht="18.7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8"/>
      <c r="T365" s="45"/>
      <c r="U365" s="45"/>
    </row>
    <row r="366" spans="1:21" ht="18.7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8"/>
      <c r="T366" s="45"/>
      <c r="U366" s="45"/>
    </row>
    <row r="367" spans="1:21" ht="18.7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8"/>
      <c r="T367" s="45"/>
      <c r="U367" s="45"/>
    </row>
    <row r="368" spans="1:21" ht="18.7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8"/>
      <c r="T368" s="45"/>
      <c r="U368" s="45"/>
    </row>
    <row r="369" spans="1:21" ht="18.7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8"/>
      <c r="T369" s="45"/>
      <c r="U369" s="45"/>
    </row>
    <row r="370" spans="1:21" ht="18.7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8"/>
      <c r="T370" s="45"/>
      <c r="U370" s="45"/>
    </row>
    <row r="371" spans="1:21" ht="18.7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8"/>
      <c r="T371" s="45"/>
      <c r="U371" s="45"/>
    </row>
    <row r="372" spans="1:21" ht="18.7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8"/>
      <c r="T372" s="45"/>
      <c r="U372" s="45"/>
    </row>
    <row r="373" spans="1:21" ht="18.7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8"/>
      <c r="T373" s="45"/>
      <c r="U373" s="45"/>
    </row>
    <row r="374" spans="1:21" ht="18.7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8"/>
      <c r="T374" s="45"/>
      <c r="U374" s="45"/>
    </row>
    <row r="375" spans="1:21" ht="18.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8"/>
      <c r="T375" s="45"/>
      <c r="U375" s="45"/>
    </row>
    <row r="376" spans="1:21" ht="18.7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8"/>
      <c r="T376" s="45"/>
      <c r="U376" s="45"/>
    </row>
    <row r="377" spans="1:21" ht="18.7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8"/>
      <c r="T377" s="45"/>
      <c r="U377" s="45"/>
    </row>
    <row r="378" spans="1:21" ht="18.7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8"/>
      <c r="T378" s="45"/>
      <c r="U378" s="45"/>
    </row>
    <row r="379" spans="1:21" ht="18.7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8"/>
      <c r="T379" s="45"/>
      <c r="U379" s="45"/>
    </row>
    <row r="380" spans="1:21" ht="18.7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8"/>
      <c r="T380" s="45"/>
      <c r="U380" s="45"/>
    </row>
    <row r="381" spans="1:21" ht="18.7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8"/>
      <c r="T381" s="45"/>
      <c r="U381" s="45"/>
    </row>
    <row r="382" spans="1:21" ht="18.7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8"/>
      <c r="T382" s="45"/>
      <c r="U382" s="45"/>
    </row>
    <row r="383" spans="1:21" ht="18.7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8"/>
      <c r="T383" s="45"/>
      <c r="U383" s="45"/>
    </row>
    <row r="384" spans="1:21" ht="18.7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8"/>
      <c r="T384" s="45"/>
      <c r="U384" s="45"/>
    </row>
    <row r="385" spans="1:21" ht="18.7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8"/>
      <c r="T385" s="45"/>
      <c r="U385" s="45"/>
    </row>
    <row r="386" spans="1:21" ht="18.7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8"/>
      <c r="T386" s="45"/>
      <c r="U386" s="45"/>
    </row>
    <row r="387" spans="1:21" ht="18.7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8"/>
      <c r="T387" s="45"/>
      <c r="U387" s="45"/>
    </row>
    <row r="388" spans="1:21" ht="18.7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8"/>
      <c r="T388" s="45"/>
      <c r="U388" s="45"/>
    </row>
    <row r="389" spans="1:21" ht="18.7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8"/>
      <c r="T389" s="45"/>
      <c r="U389" s="45"/>
    </row>
    <row r="390" spans="1:21" ht="18.7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8"/>
      <c r="T390" s="45"/>
      <c r="U390" s="45"/>
    </row>
    <row r="391" spans="1:21" ht="18.7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8"/>
      <c r="T391" s="45"/>
      <c r="U391" s="45"/>
    </row>
    <row r="392" spans="1:21" ht="18.7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8"/>
      <c r="T392" s="45"/>
      <c r="U392" s="45"/>
    </row>
    <row r="393" spans="1:21" ht="18.7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8"/>
      <c r="T393" s="45"/>
      <c r="U393" s="45"/>
    </row>
    <row r="394" spans="1:21" ht="18.7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8"/>
      <c r="T394" s="45"/>
      <c r="U394" s="45"/>
    </row>
    <row r="395" spans="1:21" ht="18.7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8"/>
      <c r="T395" s="45"/>
      <c r="U395" s="45"/>
    </row>
    <row r="396" spans="1:21" ht="18.7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8"/>
      <c r="T396" s="45"/>
      <c r="U396" s="45"/>
    </row>
    <row r="397" spans="1:21" ht="18.7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8"/>
      <c r="T397" s="45"/>
      <c r="U397" s="45"/>
    </row>
    <row r="398" spans="1:21" ht="18.7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8"/>
      <c r="T398" s="45"/>
      <c r="U398" s="45"/>
    </row>
    <row r="399" spans="1:21" ht="18.7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8"/>
      <c r="T399" s="45"/>
      <c r="U399" s="45"/>
    </row>
    <row r="400" spans="1:21" ht="18.7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8"/>
      <c r="T400" s="45"/>
      <c r="U400" s="45"/>
    </row>
    <row r="401" spans="1:21" ht="18.7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8"/>
      <c r="T401" s="45"/>
      <c r="U401" s="45"/>
    </row>
    <row r="402" spans="1:21" ht="18.7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8"/>
      <c r="T402" s="45"/>
      <c r="U402" s="45"/>
    </row>
    <row r="403" spans="1:21" ht="18.7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8"/>
      <c r="T403" s="45"/>
      <c r="U403" s="45"/>
    </row>
    <row r="404" spans="1:21" ht="18.7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8"/>
      <c r="T404" s="45"/>
      <c r="U404" s="45"/>
    </row>
    <row r="405" spans="1:21" ht="18.7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8"/>
      <c r="T405" s="45"/>
      <c r="U405" s="45"/>
    </row>
    <row r="406" spans="1:21" ht="18.7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8"/>
      <c r="T406" s="45"/>
      <c r="U406" s="45"/>
    </row>
    <row r="407" spans="1:21" ht="18.7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8"/>
      <c r="T407" s="45"/>
      <c r="U407" s="45"/>
    </row>
    <row r="408" spans="1:21" ht="18.7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8"/>
      <c r="T408" s="45"/>
      <c r="U408" s="45"/>
    </row>
    <row r="409" spans="1:21" ht="18.7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8"/>
      <c r="T409" s="45"/>
      <c r="U409" s="45"/>
    </row>
    <row r="410" spans="1:21" ht="18.7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8"/>
      <c r="T410" s="45"/>
      <c r="U410" s="45"/>
    </row>
    <row r="411" spans="1:21" ht="18.7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8"/>
      <c r="T411" s="45"/>
      <c r="U411" s="45"/>
    </row>
    <row r="412" spans="1:21" ht="18.7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8"/>
      <c r="T412" s="45"/>
      <c r="U412" s="45"/>
    </row>
    <row r="413" spans="1:21" ht="18.7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8"/>
      <c r="T413" s="45"/>
      <c r="U413" s="45"/>
    </row>
    <row r="414" spans="1:21" ht="18.7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8"/>
      <c r="T414" s="45"/>
      <c r="U414" s="45"/>
    </row>
    <row r="415" spans="1:21" ht="18.7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8"/>
      <c r="T415" s="45"/>
      <c r="U415" s="45"/>
    </row>
    <row r="416" spans="1:21" ht="18.7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8"/>
      <c r="T416" s="45"/>
      <c r="U416" s="45"/>
    </row>
    <row r="417" spans="1:21" ht="18.7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8"/>
      <c r="T417" s="45"/>
      <c r="U417" s="45"/>
    </row>
    <row r="418" spans="1:21" ht="18.7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8"/>
      <c r="T418" s="45"/>
      <c r="U418" s="45"/>
    </row>
    <row r="419" spans="1:21" ht="18.7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8"/>
      <c r="T419" s="45"/>
      <c r="U419" s="45"/>
    </row>
    <row r="420" spans="1:21" ht="18.7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8"/>
      <c r="T420" s="45"/>
      <c r="U420" s="45"/>
    </row>
    <row r="421" spans="1:21" ht="18.7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8"/>
      <c r="T421" s="45"/>
      <c r="U421" s="45"/>
    </row>
    <row r="422" spans="1:21" ht="18.7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8"/>
      <c r="T422" s="45"/>
      <c r="U422" s="45"/>
    </row>
    <row r="423" spans="1:21" ht="18.7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8"/>
      <c r="T423" s="45"/>
      <c r="U423" s="45"/>
    </row>
    <row r="424" spans="1:21" ht="18.7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8"/>
      <c r="T424" s="45"/>
      <c r="U424" s="45"/>
    </row>
    <row r="425" spans="1:21" ht="18.7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8"/>
      <c r="T425" s="45"/>
      <c r="U425" s="45"/>
    </row>
    <row r="426" spans="1:21" ht="18.7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8"/>
      <c r="T426" s="45"/>
      <c r="U426" s="45"/>
    </row>
    <row r="427" spans="1:21" ht="18.7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8"/>
      <c r="T427" s="45"/>
      <c r="U427" s="45"/>
    </row>
    <row r="428" spans="1:21" ht="18.7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8"/>
      <c r="T428" s="45"/>
      <c r="U428" s="45"/>
    </row>
    <row r="429" spans="1:21" ht="18.7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8"/>
      <c r="T429" s="45"/>
      <c r="U429" s="45"/>
    </row>
    <row r="430" spans="1:21" ht="18.7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8"/>
      <c r="T430" s="45"/>
      <c r="U430" s="45"/>
    </row>
    <row r="431" spans="1:21" ht="18.7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8"/>
      <c r="T431" s="45"/>
      <c r="U431" s="45"/>
    </row>
    <row r="432" spans="1:21" ht="18.7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8"/>
      <c r="T432" s="45"/>
      <c r="U432" s="45"/>
    </row>
    <row r="433" spans="1:21" ht="18.7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8"/>
      <c r="T433" s="45"/>
      <c r="U433" s="45"/>
    </row>
    <row r="434" spans="1:21" ht="18.7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8"/>
      <c r="T434" s="45"/>
      <c r="U434" s="45"/>
    </row>
    <row r="435" spans="1:21" ht="18.7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8"/>
      <c r="T435" s="45"/>
      <c r="U435" s="45"/>
    </row>
    <row r="436" spans="1:21" ht="18.7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8"/>
      <c r="T436" s="45"/>
      <c r="U436" s="45"/>
    </row>
    <row r="437" spans="1:21" ht="18.7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8"/>
      <c r="T437" s="45"/>
      <c r="U437" s="45"/>
    </row>
    <row r="438" spans="1:21" ht="18.7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8"/>
      <c r="T438" s="45"/>
      <c r="U438" s="45"/>
    </row>
    <row r="439" spans="1:21" ht="18.7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8"/>
      <c r="T439" s="45"/>
      <c r="U439" s="45"/>
    </row>
    <row r="440" spans="1:21" ht="18.7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8"/>
      <c r="T440" s="45"/>
      <c r="U440" s="45"/>
    </row>
    <row r="441" spans="1:21" ht="18.7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8"/>
      <c r="T441" s="45"/>
      <c r="U441" s="45"/>
    </row>
    <row r="442" spans="1:21" ht="18.7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8"/>
      <c r="T442" s="45"/>
      <c r="U442" s="45"/>
    </row>
    <row r="443" spans="1:21" ht="18.7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8"/>
      <c r="T443" s="45"/>
      <c r="U443" s="45"/>
    </row>
    <row r="444" spans="1:21" ht="18.7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8"/>
      <c r="T444" s="45"/>
      <c r="U444" s="45"/>
    </row>
    <row r="445" spans="1:21" ht="18.7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8"/>
      <c r="T445" s="45"/>
      <c r="U445" s="45"/>
    </row>
    <row r="446" spans="1:21" ht="18.7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8"/>
      <c r="T446" s="45"/>
      <c r="U446" s="45"/>
    </row>
    <row r="447" spans="1:21" ht="18.7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8"/>
      <c r="T447" s="45"/>
      <c r="U447" s="45"/>
    </row>
    <row r="448" spans="1:21" ht="18.7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8"/>
      <c r="T448" s="45"/>
      <c r="U448" s="45"/>
    </row>
    <row r="449" spans="1:21" ht="18.7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8"/>
      <c r="T449" s="45"/>
      <c r="U449" s="45"/>
    </row>
    <row r="450" spans="1:21" ht="18.7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8"/>
      <c r="T450" s="45"/>
      <c r="U450" s="45"/>
    </row>
    <row r="451" spans="1:21" ht="18.7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8"/>
      <c r="T451" s="45"/>
      <c r="U451" s="45"/>
    </row>
    <row r="452" spans="1:21" ht="18.7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8"/>
      <c r="T452" s="45"/>
      <c r="U452" s="45"/>
    </row>
    <row r="453" spans="1:21" ht="18.7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8"/>
      <c r="T453" s="45"/>
      <c r="U453" s="45"/>
    </row>
    <row r="454" spans="1:21" ht="18.7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8"/>
      <c r="T454" s="45"/>
      <c r="U454" s="45"/>
    </row>
    <row r="455" spans="1:21" ht="18.7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8"/>
      <c r="T455" s="45"/>
      <c r="U455" s="45"/>
    </row>
    <row r="456" spans="1:21" ht="18.7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8"/>
      <c r="T456" s="45"/>
      <c r="U456" s="45"/>
    </row>
    <row r="457" spans="1:21" ht="18.7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8"/>
      <c r="T457" s="45"/>
      <c r="U457" s="45"/>
    </row>
    <row r="458" spans="1:21" ht="18.7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8"/>
      <c r="T458" s="45"/>
      <c r="U458" s="45"/>
    </row>
    <row r="459" spans="1:21" ht="18.7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8"/>
      <c r="T459" s="45"/>
      <c r="U459" s="45"/>
    </row>
    <row r="460" spans="1:21" ht="18.7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8"/>
      <c r="T460" s="45"/>
      <c r="U460" s="45"/>
    </row>
    <row r="461" spans="1:21" ht="18.7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8"/>
      <c r="T461" s="45"/>
      <c r="U461" s="45"/>
    </row>
    <row r="462" spans="1:21" ht="18.7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8"/>
      <c r="T462" s="45"/>
      <c r="U462" s="45"/>
    </row>
    <row r="463" spans="1:21" ht="18.7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8"/>
      <c r="T463" s="45"/>
      <c r="U463" s="45"/>
    </row>
    <row r="464" spans="1:21" ht="18.7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8"/>
      <c r="T464" s="45"/>
      <c r="U464" s="45"/>
    </row>
    <row r="465" spans="1:21" ht="18.7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8"/>
      <c r="T465" s="45"/>
      <c r="U465" s="45"/>
    </row>
    <row r="466" spans="1:21" ht="18.7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8"/>
      <c r="T466" s="45"/>
      <c r="U466" s="45"/>
    </row>
    <row r="467" spans="1:21" ht="18.7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8"/>
      <c r="T467" s="45"/>
      <c r="U467" s="45"/>
    </row>
    <row r="468" spans="1:21" ht="18.7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8"/>
      <c r="T468" s="45"/>
      <c r="U468" s="45"/>
    </row>
    <row r="469" spans="1:21" ht="18.7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8"/>
      <c r="T469" s="45"/>
      <c r="U469" s="45"/>
    </row>
    <row r="470" spans="1:21" ht="18.7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8"/>
      <c r="T470" s="45"/>
      <c r="U470" s="45"/>
    </row>
    <row r="471" spans="1:21" ht="18.7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8"/>
      <c r="T471" s="45"/>
      <c r="U471" s="45"/>
    </row>
    <row r="472" spans="1:21" ht="18.7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8"/>
      <c r="T472" s="45"/>
      <c r="U472" s="45"/>
    </row>
    <row r="473" spans="1:21" ht="18.7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8"/>
      <c r="T473" s="45"/>
      <c r="U473" s="45"/>
    </row>
    <row r="474" spans="1:21" ht="18.7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8"/>
      <c r="T474" s="45"/>
      <c r="U474" s="45"/>
    </row>
    <row r="475" spans="1:21" ht="18.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8"/>
      <c r="T475" s="45"/>
      <c r="U475" s="45"/>
    </row>
    <row r="476" spans="1:21" ht="18.7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8"/>
      <c r="T476" s="45"/>
      <c r="U476" s="45"/>
    </row>
    <row r="477" spans="1:21" ht="18.7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8"/>
      <c r="T477" s="45"/>
      <c r="U477" s="45"/>
    </row>
    <row r="478" spans="1:21" ht="18.7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8"/>
      <c r="T478" s="45"/>
      <c r="U478" s="45"/>
    </row>
    <row r="479" spans="1:21" ht="18.7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8"/>
      <c r="T479" s="45"/>
      <c r="U479" s="45"/>
    </row>
    <row r="480" spans="1:21" ht="18.7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8"/>
      <c r="T480" s="45"/>
      <c r="U480" s="45"/>
    </row>
    <row r="481" spans="1:21" ht="18.7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8"/>
      <c r="T481" s="45"/>
      <c r="U481" s="45"/>
    </row>
    <row r="482" spans="1:21" ht="18.7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8"/>
      <c r="T482" s="45"/>
      <c r="U482" s="45"/>
    </row>
    <row r="483" spans="1:21" ht="18.7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8"/>
      <c r="T483" s="45"/>
      <c r="U483" s="45"/>
    </row>
    <row r="484" spans="1:21" ht="18.7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8"/>
      <c r="T484" s="45"/>
      <c r="U484" s="45"/>
    </row>
    <row r="485" spans="1:21" ht="18.7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8"/>
      <c r="T485" s="45"/>
      <c r="U485" s="45"/>
    </row>
    <row r="486" spans="1:21" ht="18.7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8"/>
      <c r="T486" s="45"/>
      <c r="U486" s="45"/>
    </row>
    <row r="487" spans="1:21" ht="18.7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8"/>
      <c r="T487" s="45"/>
      <c r="U487" s="45"/>
    </row>
    <row r="488" spans="1:21" ht="18.7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8"/>
      <c r="T488" s="45"/>
      <c r="U488" s="45"/>
    </row>
    <row r="489" spans="1:21" ht="18.7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8"/>
      <c r="T489" s="45"/>
      <c r="U489" s="45"/>
    </row>
    <row r="490" spans="1:21" ht="18.7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8"/>
      <c r="T490" s="45"/>
      <c r="U490" s="45"/>
    </row>
    <row r="491" spans="1:21" ht="18.7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8"/>
      <c r="T491" s="45"/>
      <c r="U491" s="45"/>
    </row>
    <row r="492" spans="1:21" ht="18.7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8"/>
      <c r="T492" s="45"/>
      <c r="U492" s="45"/>
    </row>
    <row r="493" spans="1:21" ht="18.7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8"/>
      <c r="T493" s="45"/>
      <c r="U493" s="45"/>
    </row>
    <row r="494" spans="1:21" ht="18.7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8"/>
      <c r="T494" s="45"/>
      <c r="U494" s="45"/>
    </row>
    <row r="495" spans="1:21" ht="18.7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8"/>
      <c r="T495" s="45"/>
      <c r="U495" s="45"/>
    </row>
    <row r="496" spans="1:21" ht="18.7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8"/>
      <c r="T496" s="45"/>
      <c r="U496" s="45"/>
    </row>
    <row r="497" spans="1:21" ht="18.7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8"/>
      <c r="T497" s="45"/>
      <c r="U497" s="45"/>
    </row>
    <row r="498" spans="1:21" ht="18.7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8"/>
      <c r="T498" s="45"/>
      <c r="U498" s="45"/>
    </row>
    <row r="499" spans="1:21" ht="18.7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8"/>
      <c r="T499" s="45"/>
      <c r="U499" s="45"/>
    </row>
    <row r="500" spans="1:21" ht="18.7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8"/>
      <c r="T500" s="45"/>
      <c r="U500" s="45"/>
    </row>
    <row r="501" spans="1:21" ht="18.7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8"/>
      <c r="T501" s="45"/>
      <c r="U501" s="45"/>
    </row>
    <row r="502" spans="1:21" ht="18.7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8"/>
      <c r="T502" s="45"/>
      <c r="U502" s="45"/>
    </row>
    <row r="503" spans="1:21" ht="18.7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8"/>
      <c r="T503" s="45"/>
      <c r="U503" s="45"/>
    </row>
    <row r="504" spans="1:21" ht="18.7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8"/>
      <c r="T504" s="45"/>
      <c r="U504" s="45"/>
    </row>
    <row r="505" spans="1:21" ht="18.7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8"/>
      <c r="T505" s="45"/>
      <c r="U505" s="45"/>
    </row>
    <row r="506" spans="1:21" ht="18.7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8"/>
      <c r="T506" s="45"/>
      <c r="U506" s="45"/>
    </row>
    <row r="507" spans="1:21" ht="18.7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8"/>
      <c r="T507" s="45"/>
      <c r="U507" s="45"/>
    </row>
    <row r="508" spans="1:21" ht="18.7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8"/>
      <c r="T508" s="45"/>
      <c r="U508" s="45"/>
    </row>
    <row r="509" spans="1:21" ht="18.7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8"/>
      <c r="T509" s="45"/>
      <c r="U509" s="45"/>
    </row>
    <row r="510" spans="1:21" ht="18.7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8"/>
      <c r="T510" s="45"/>
      <c r="U510" s="45"/>
    </row>
    <row r="511" spans="1:21" ht="18.7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8"/>
      <c r="T511" s="45"/>
      <c r="U511" s="45"/>
    </row>
    <row r="512" spans="1:21" ht="18.7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8"/>
      <c r="T512" s="45"/>
      <c r="U512" s="45"/>
    </row>
    <row r="513" spans="1:21" ht="18.7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8"/>
      <c r="T513" s="45"/>
      <c r="U513" s="45"/>
    </row>
    <row r="514" spans="1:21" ht="18.7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8"/>
      <c r="T514" s="45"/>
      <c r="U514" s="45"/>
    </row>
    <row r="515" spans="1:21" ht="18.7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8"/>
      <c r="T515" s="45"/>
      <c r="U515" s="45"/>
    </row>
    <row r="516" spans="1:21" ht="18.7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8"/>
      <c r="T516" s="45"/>
      <c r="U516" s="45"/>
    </row>
    <row r="517" spans="1:21" ht="18.7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8"/>
      <c r="T517" s="45"/>
      <c r="U517" s="45"/>
    </row>
    <row r="518" spans="1:21" ht="18.7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8"/>
      <c r="T518" s="45"/>
      <c r="U518" s="45"/>
    </row>
    <row r="519" spans="1:21" ht="18.7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8"/>
      <c r="T519" s="45"/>
      <c r="U519" s="45"/>
    </row>
    <row r="520" spans="1:21" ht="18.7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8"/>
      <c r="T520" s="45"/>
      <c r="U520" s="45"/>
    </row>
    <row r="521" spans="1:21" ht="18.7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8"/>
      <c r="T521" s="45"/>
      <c r="U521" s="45"/>
    </row>
    <row r="522" spans="1:21" ht="18.7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8"/>
      <c r="T522" s="45"/>
      <c r="U522" s="45"/>
    </row>
    <row r="523" spans="1:21" ht="18.7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8"/>
      <c r="T523" s="45"/>
      <c r="U523" s="45"/>
    </row>
    <row r="524" spans="1:21" ht="18.7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8"/>
      <c r="T524" s="45"/>
      <c r="U524" s="45"/>
    </row>
    <row r="525" spans="1:21" ht="18.7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8"/>
      <c r="T525" s="45"/>
      <c r="U525" s="45"/>
    </row>
    <row r="526" spans="1:21" ht="18.7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8"/>
      <c r="T526" s="45"/>
      <c r="U526" s="45"/>
    </row>
    <row r="527" spans="1:21" ht="18.7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8"/>
      <c r="T527" s="45"/>
      <c r="U527" s="45"/>
    </row>
    <row r="528" spans="1:21" ht="18.7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8"/>
      <c r="T528" s="45"/>
      <c r="U528" s="45"/>
    </row>
    <row r="529" spans="1:21" ht="18.7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8"/>
      <c r="T529" s="45"/>
      <c r="U529" s="45"/>
    </row>
    <row r="530" spans="1:21" ht="18.7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8"/>
      <c r="T530" s="45"/>
      <c r="U530" s="45"/>
    </row>
    <row r="531" spans="1:21" ht="18.7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8"/>
      <c r="T531" s="45"/>
      <c r="U531" s="45"/>
    </row>
    <row r="532" spans="1:21" ht="18.7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8"/>
      <c r="T532" s="45"/>
      <c r="U532" s="45"/>
    </row>
    <row r="533" spans="1:21" ht="18.7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8"/>
      <c r="T533" s="45"/>
      <c r="U533" s="45"/>
    </row>
    <row r="534" spans="1:21" ht="18.7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8"/>
      <c r="T534" s="45"/>
      <c r="U534" s="45"/>
    </row>
    <row r="535" spans="1:21" ht="18.7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8"/>
      <c r="T535" s="45"/>
      <c r="U535" s="45"/>
    </row>
    <row r="536" spans="1:21" ht="18.7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8"/>
      <c r="T536" s="45"/>
      <c r="U536" s="45"/>
    </row>
    <row r="537" spans="1:21" ht="18.7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8"/>
      <c r="T537" s="45"/>
      <c r="U537" s="45"/>
    </row>
    <row r="538" spans="1:21" ht="18.7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8"/>
      <c r="T538" s="45"/>
      <c r="U538" s="45"/>
    </row>
    <row r="539" spans="1:21" ht="18.7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8"/>
      <c r="T539" s="45"/>
      <c r="U539" s="45"/>
    </row>
    <row r="540" spans="1:21" ht="18.7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8"/>
      <c r="T540" s="45"/>
      <c r="U540" s="45"/>
    </row>
    <row r="541" spans="1:21" ht="18.7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8"/>
      <c r="T541" s="45"/>
      <c r="U541" s="45"/>
    </row>
    <row r="542" spans="1:21" ht="18.7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8"/>
      <c r="T542" s="45"/>
      <c r="U542" s="45"/>
    </row>
    <row r="543" spans="1:21" ht="18.7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8"/>
      <c r="T543" s="45"/>
      <c r="U543" s="45"/>
    </row>
    <row r="544" spans="1:21" ht="18.7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8"/>
      <c r="T544" s="45"/>
      <c r="U544" s="45"/>
    </row>
    <row r="545" spans="1:21" ht="18.7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8"/>
      <c r="T545" s="45"/>
      <c r="U545" s="45"/>
    </row>
    <row r="546" spans="1:21" ht="18.7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8"/>
      <c r="T546" s="45"/>
      <c r="U546" s="45"/>
    </row>
    <row r="547" spans="1:21" ht="18.7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8"/>
      <c r="T547" s="45"/>
      <c r="U547" s="45"/>
    </row>
    <row r="548" spans="1:21" ht="18.7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8"/>
      <c r="T548" s="45"/>
      <c r="U548" s="45"/>
    </row>
    <row r="549" spans="1:21" ht="18.7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8"/>
      <c r="T549" s="45"/>
      <c r="U549" s="45"/>
    </row>
    <row r="550" spans="1:21" ht="18.7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8"/>
      <c r="T550" s="45"/>
      <c r="U550" s="45"/>
    </row>
    <row r="551" spans="1:21" ht="18.7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8"/>
      <c r="T551" s="45"/>
      <c r="U551" s="45"/>
    </row>
    <row r="552" spans="1:21" ht="18.7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8"/>
      <c r="T552" s="45"/>
      <c r="U552" s="45"/>
    </row>
    <row r="553" spans="1:21" ht="18.7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8"/>
      <c r="T553" s="45"/>
      <c r="U553" s="45"/>
    </row>
    <row r="554" spans="1:21" ht="18.7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8"/>
      <c r="T554" s="45"/>
      <c r="U554" s="45"/>
    </row>
    <row r="555" spans="1:21" ht="18.7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8"/>
      <c r="T555" s="45"/>
      <c r="U555" s="45"/>
    </row>
    <row r="556" spans="1:21" ht="18.7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8"/>
      <c r="T556" s="45"/>
      <c r="U556" s="45"/>
    </row>
    <row r="557" spans="1:21" ht="18.7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8"/>
      <c r="T557" s="45"/>
      <c r="U557" s="45"/>
    </row>
    <row r="558" spans="1:21" ht="18.7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8"/>
      <c r="T558" s="45"/>
      <c r="U558" s="45"/>
    </row>
    <row r="559" spans="1:21" ht="18.7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8"/>
      <c r="T559" s="45"/>
      <c r="U559" s="45"/>
    </row>
    <row r="560" spans="1:21" ht="18.7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8"/>
      <c r="T560" s="45"/>
      <c r="U560" s="45"/>
    </row>
    <row r="561" spans="1:21" ht="18.7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8"/>
      <c r="T561" s="45"/>
      <c r="U561" s="45"/>
    </row>
    <row r="562" spans="1:21" ht="18.7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8"/>
      <c r="T562" s="45"/>
      <c r="U562" s="45"/>
    </row>
    <row r="563" spans="1:21" ht="18.7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8"/>
      <c r="T563" s="45"/>
      <c r="U563" s="45"/>
    </row>
    <row r="564" spans="1:21" ht="18.7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8"/>
      <c r="T564" s="45"/>
      <c r="U564" s="45"/>
    </row>
    <row r="565" spans="1:21" ht="18.7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8"/>
      <c r="T565" s="45"/>
      <c r="U565" s="45"/>
    </row>
    <row r="566" spans="1:21" ht="18.7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8"/>
      <c r="T566" s="45"/>
      <c r="U566" s="45"/>
    </row>
    <row r="567" spans="1:21" ht="18.7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8"/>
      <c r="T567" s="45"/>
      <c r="U567" s="45"/>
    </row>
    <row r="568" spans="1:21" ht="18.7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8"/>
      <c r="T568" s="45"/>
      <c r="U568" s="45"/>
    </row>
    <row r="569" spans="1:21" ht="18.7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8"/>
      <c r="T569" s="45"/>
      <c r="U569" s="45"/>
    </row>
    <row r="570" spans="1:21" ht="18.7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8"/>
      <c r="T570" s="45"/>
      <c r="U570" s="45"/>
    </row>
    <row r="571" spans="1:21" ht="18.7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8"/>
      <c r="T571" s="45"/>
      <c r="U571" s="45"/>
    </row>
    <row r="572" spans="1:21" ht="18.7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8"/>
      <c r="T572" s="45"/>
      <c r="U572" s="45"/>
    </row>
    <row r="573" spans="1:21" ht="18.7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8"/>
      <c r="T573" s="45"/>
      <c r="U573" s="45"/>
    </row>
    <row r="574" spans="1:21" ht="18.7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8"/>
      <c r="T574" s="45"/>
      <c r="U574" s="45"/>
    </row>
    <row r="575" spans="1:21" ht="18.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8"/>
      <c r="T575" s="45"/>
      <c r="U575" s="45"/>
    </row>
    <row r="576" spans="1:21" ht="18.7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8"/>
      <c r="T576" s="45"/>
      <c r="U576" s="45"/>
    </row>
    <row r="577" spans="1:21" ht="18.7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8"/>
      <c r="T577" s="45"/>
      <c r="U577" s="45"/>
    </row>
    <row r="578" spans="1:21" ht="18.7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8"/>
      <c r="T578" s="45"/>
      <c r="U578" s="45"/>
    </row>
    <row r="579" spans="1:21" ht="18.7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8"/>
      <c r="T579" s="45"/>
      <c r="U579" s="45"/>
    </row>
    <row r="580" spans="1:21" ht="18.7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8"/>
      <c r="T580" s="45"/>
      <c r="U580" s="45"/>
    </row>
    <row r="581" spans="1:21" ht="18.7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8"/>
      <c r="T581" s="45"/>
      <c r="U581" s="45"/>
    </row>
    <row r="582" spans="1:21" ht="18.7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8"/>
      <c r="T582" s="45"/>
      <c r="U582" s="45"/>
    </row>
    <row r="583" spans="1:21" ht="18.7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8"/>
      <c r="T583" s="45"/>
      <c r="U583" s="45"/>
    </row>
    <row r="584" spans="1:21" ht="18.7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8"/>
      <c r="T584" s="45"/>
      <c r="U584" s="45"/>
    </row>
    <row r="585" spans="1:21" ht="18.7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8"/>
      <c r="T585" s="45"/>
      <c r="U585" s="45"/>
    </row>
    <row r="586" spans="1:21" ht="18.7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8"/>
      <c r="T586" s="45"/>
      <c r="U586" s="45"/>
    </row>
    <row r="587" spans="1:21" ht="18.7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8"/>
      <c r="T587" s="45"/>
      <c r="U587" s="45"/>
    </row>
    <row r="588" spans="1:21" ht="18.7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8"/>
      <c r="T588" s="45"/>
      <c r="U588" s="45"/>
    </row>
    <row r="589" spans="1:21" ht="18.7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8"/>
      <c r="T589" s="45"/>
      <c r="U589" s="45"/>
    </row>
    <row r="590" spans="1:21" ht="18.7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8"/>
      <c r="T590" s="45"/>
      <c r="U590" s="45"/>
    </row>
    <row r="591" spans="1:21" ht="18.7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8"/>
      <c r="T591" s="45"/>
      <c r="U591" s="45"/>
    </row>
    <row r="592" spans="1:21" ht="18.7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8"/>
      <c r="T592" s="45"/>
      <c r="U592" s="45"/>
    </row>
    <row r="593" spans="1:21" ht="18.7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8"/>
      <c r="T593" s="45"/>
      <c r="U593" s="45"/>
    </row>
    <row r="594" spans="1:21" ht="18.7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8"/>
      <c r="T594" s="45"/>
      <c r="U594" s="45"/>
    </row>
    <row r="595" spans="1:21" ht="18.7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8"/>
      <c r="T595" s="45"/>
      <c r="U595" s="45"/>
    </row>
    <row r="596" spans="1:21" ht="18.7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8"/>
      <c r="T596" s="45"/>
      <c r="U596" s="45"/>
    </row>
    <row r="597" spans="1:21" ht="18.7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8"/>
      <c r="T597" s="45"/>
      <c r="U597" s="45"/>
    </row>
    <row r="598" spans="1:21" ht="18.7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8"/>
      <c r="T598" s="45"/>
      <c r="U598" s="45"/>
    </row>
    <row r="599" spans="1:21" ht="18.7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8"/>
      <c r="T599" s="45"/>
      <c r="U599" s="45"/>
    </row>
    <row r="600" spans="1:21" ht="18.7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8"/>
      <c r="T600" s="45"/>
      <c r="U600" s="45"/>
    </row>
    <row r="601" spans="1:21" ht="18.7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8"/>
      <c r="T601" s="45"/>
      <c r="U601" s="45"/>
    </row>
    <row r="602" spans="1:21" ht="18.7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8"/>
      <c r="T602" s="45"/>
      <c r="U602" s="45"/>
    </row>
    <row r="603" spans="1:21" ht="18.7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8"/>
      <c r="T603" s="45"/>
      <c r="U603" s="45"/>
    </row>
    <row r="604" spans="1:21" ht="18.7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8"/>
      <c r="T604" s="45"/>
      <c r="U604" s="45"/>
    </row>
    <row r="605" spans="1:21" ht="18.7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8"/>
      <c r="T605" s="45"/>
      <c r="U605" s="45"/>
    </row>
    <row r="606" spans="1:21" ht="18.7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8"/>
      <c r="T606" s="45"/>
      <c r="U606" s="45"/>
    </row>
    <row r="607" spans="1:21" ht="18.7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8"/>
      <c r="T607" s="45"/>
      <c r="U607" s="45"/>
    </row>
    <row r="608" spans="1:21" ht="18.7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8"/>
      <c r="T608" s="45"/>
      <c r="U608" s="45"/>
    </row>
    <row r="609" spans="1:21" ht="18.7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8"/>
      <c r="T609" s="45"/>
      <c r="U609" s="45"/>
    </row>
    <row r="610" spans="1:21" ht="18.7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8"/>
      <c r="T610" s="45"/>
      <c r="U610" s="45"/>
    </row>
    <row r="611" spans="1:21" ht="18.7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8"/>
      <c r="T611" s="45"/>
      <c r="U611" s="45"/>
    </row>
    <row r="612" spans="1:21" ht="18.7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8"/>
      <c r="T612" s="45"/>
      <c r="U612" s="45"/>
    </row>
    <row r="613" spans="1:21" ht="18.7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8"/>
      <c r="T613" s="45"/>
      <c r="U613" s="45"/>
    </row>
    <row r="614" spans="1:21" ht="18.7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8"/>
      <c r="T614" s="45"/>
      <c r="U614" s="45"/>
    </row>
    <row r="615" spans="1:21" ht="18.7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8"/>
      <c r="T615" s="45"/>
      <c r="U615" s="45"/>
    </row>
    <row r="616" spans="1:21" ht="18.7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8"/>
      <c r="T616" s="45"/>
      <c r="U616" s="45"/>
    </row>
    <row r="617" spans="1:21" ht="18.7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8"/>
      <c r="T617" s="45"/>
      <c r="U617" s="45"/>
    </row>
    <row r="618" spans="1:21" ht="18.7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8"/>
      <c r="T618" s="45"/>
      <c r="U618" s="45"/>
    </row>
    <row r="619" spans="1:21" ht="18.7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8"/>
      <c r="T619" s="45"/>
      <c r="U619" s="45"/>
    </row>
    <row r="620" spans="1:21" ht="18.7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8"/>
      <c r="T620" s="45"/>
      <c r="U620" s="45"/>
    </row>
    <row r="621" spans="1:21" ht="18.7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8"/>
      <c r="T621" s="45"/>
      <c r="U621" s="45"/>
    </row>
    <row r="622" spans="1:21" ht="18.7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8"/>
      <c r="T622" s="45"/>
      <c r="U622" s="45"/>
    </row>
    <row r="623" spans="1:21" ht="18.7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8"/>
      <c r="T623" s="45"/>
      <c r="U623" s="45"/>
    </row>
    <row r="624" spans="1:21" ht="18.7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8"/>
      <c r="T624" s="45"/>
      <c r="U624" s="45"/>
    </row>
    <row r="625" spans="1:21" ht="18.7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8"/>
      <c r="T625" s="45"/>
      <c r="U625" s="45"/>
    </row>
    <row r="626" spans="1:21" ht="18.7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8"/>
      <c r="T626" s="45"/>
      <c r="U626" s="45"/>
    </row>
    <row r="627" spans="1:21" ht="18.7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8"/>
      <c r="T627" s="45"/>
      <c r="U627" s="45"/>
    </row>
    <row r="628" spans="1:21" ht="18.7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8"/>
      <c r="T628" s="45"/>
      <c r="U628" s="45"/>
    </row>
    <row r="629" spans="1:21" ht="18.7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8"/>
      <c r="T629" s="45"/>
      <c r="U629" s="45"/>
    </row>
    <row r="630" spans="1:21" ht="18.7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8"/>
      <c r="T630" s="45"/>
      <c r="U630" s="45"/>
    </row>
    <row r="631" spans="1:21" ht="18.7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8"/>
      <c r="T631" s="45"/>
      <c r="U631" s="45"/>
    </row>
    <row r="632" spans="1:21" ht="18.7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8"/>
      <c r="T632" s="45"/>
      <c r="U632" s="45"/>
    </row>
    <row r="633" spans="1:21" ht="18.7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8"/>
      <c r="T633" s="45"/>
      <c r="U633" s="45"/>
    </row>
    <row r="634" spans="1:21" ht="18.7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8"/>
      <c r="T634" s="45"/>
      <c r="U634" s="45"/>
    </row>
    <row r="635" spans="1:21" ht="18.7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8"/>
      <c r="T635" s="45"/>
      <c r="U635" s="45"/>
    </row>
    <row r="636" spans="1:21" ht="18.7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8"/>
      <c r="T636" s="45"/>
      <c r="U636" s="45"/>
    </row>
    <row r="637" spans="1:21" ht="18.7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8"/>
      <c r="T637" s="45"/>
      <c r="U637" s="45"/>
    </row>
    <row r="638" spans="1:21" ht="18.7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8"/>
      <c r="T638" s="45"/>
      <c r="U638" s="45"/>
    </row>
    <row r="639" spans="1:21" ht="18.7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8"/>
      <c r="T639" s="45"/>
      <c r="U639" s="45"/>
    </row>
    <row r="640" spans="1:21" ht="18.7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8"/>
      <c r="T640" s="45"/>
      <c r="U640" s="45"/>
    </row>
    <row r="641" spans="1:21" ht="18.7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8"/>
      <c r="T641" s="45"/>
      <c r="U641" s="45"/>
    </row>
    <row r="642" spans="1:21" ht="18.7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8"/>
      <c r="T642" s="45"/>
      <c r="U642" s="45"/>
    </row>
    <row r="643" spans="1:21" ht="18.7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8"/>
      <c r="T643" s="45"/>
      <c r="U643" s="45"/>
    </row>
    <row r="644" spans="1:21" ht="18.7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8"/>
      <c r="T644" s="45"/>
      <c r="U644" s="45"/>
    </row>
    <row r="645" spans="1:21" ht="18.7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8"/>
      <c r="T645" s="45"/>
      <c r="U645" s="45"/>
    </row>
    <row r="646" spans="1:21" ht="18.7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8"/>
      <c r="T646" s="45"/>
      <c r="U646" s="45"/>
    </row>
    <row r="647" spans="1:21" ht="18.7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8"/>
      <c r="T647" s="45"/>
      <c r="U647" s="45"/>
    </row>
    <row r="648" spans="1:21" ht="18.7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8"/>
      <c r="T648" s="45"/>
      <c r="U648" s="45"/>
    </row>
    <row r="649" spans="1:21" ht="18.7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8"/>
      <c r="T649" s="45"/>
      <c r="U649" s="45"/>
    </row>
    <row r="650" spans="1:21" ht="18.7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8"/>
      <c r="T650" s="45"/>
      <c r="U650" s="45"/>
    </row>
    <row r="651" spans="1:21" ht="18.7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8"/>
      <c r="T651" s="45"/>
      <c r="U651" s="45"/>
    </row>
    <row r="652" spans="1:21" ht="18.7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8"/>
      <c r="T652" s="45"/>
      <c r="U652" s="45"/>
    </row>
    <row r="653" spans="1:21" ht="18.7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8"/>
      <c r="T653" s="45"/>
      <c r="U653" s="45"/>
    </row>
    <row r="654" spans="1:21" ht="18.7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8"/>
      <c r="T654" s="45"/>
      <c r="U654" s="45"/>
    </row>
    <row r="655" spans="1:21" ht="18.7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8"/>
      <c r="T655" s="45"/>
      <c r="U655" s="45"/>
    </row>
    <row r="656" spans="1:21" ht="18.7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8"/>
      <c r="T656" s="45"/>
      <c r="U656" s="45"/>
    </row>
    <row r="657" spans="1:21" ht="18.7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8"/>
      <c r="T657" s="45"/>
      <c r="U657" s="45"/>
    </row>
    <row r="658" spans="1:21" ht="18.7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8"/>
      <c r="T658" s="45"/>
      <c r="U658" s="45"/>
    </row>
  </sheetData>
  <autoFilter ref="A1:U25" xr:uid="{00000000-0009-0000-0000-000004000000}"/>
  <conditionalFormatting sqref="H1:H1048576 L1:L1048576">
    <cfRule type="cellIs" dxfId="16" priority="3" operator="lessThan">
      <formula>0.65</formula>
    </cfRule>
    <cfRule type="cellIs" dxfId="15" priority="4" operator="greaterThan">
      <formula>1</formula>
    </cfRule>
  </conditionalFormatting>
  <conditionalFormatting sqref="O2:R25">
    <cfRule type="cellIs" dxfId="14" priority="5" operator="lessThan">
      <formula>0.65</formula>
    </cfRule>
  </conditionalFormatting>
  <conditionalFormatting sqref="Q1">
    <cfRule type="cellIs" dxfId="13" priority="1" operator="lessThan">
      <formula>0.65</formula>
    </cfRule>
    <cfRule type="cellIs" dxfId="12" priority="2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58"/>
  <sheetViews>
    <sheetView zoomScale="85" zoomScaleNormal="85" workbookViewId="0">
      <pane ySplit="1" topLeftCell="A2" activePane="bottomLeft" state="frozen"/>
      <selection activeCell="K267" sqref="K267"/>
      <selection pane="bottomLeft" activeCell="A26" sqref="A26:XFD32"/>
    </sheetView>
  </sheetViews>
  <sheetFormatPr defaultColWidth="9.140625" defaultRowHeight="15"/>
  <cols>
    <col min="1" max="1" width="14.42578125" style="46" customWidth="1"/>
    <col min="2" max="18" width="12.7109375" style="46" customWidth="1"/>
    <col min="19" max="19" width="12.7109375" style="49" customWidth="1"/>
    <col min="20" max="20" width="12.7109375" style="46" customWidth="1"/>
    <col min="21" max="21" width="14.42578125" style="46" customWidth="1"/>
    <col min="22" max="16384" width="9.140625" style="32"/>
  </cols>
  <sheetData>
    <row r="1" spans="1:21" ht="60">
      <c r="A1" s="27" t="s">
        <v>124</v>
      </c>
      <c r="B1" s="28" t="s">
        <v>98</v>
      </c>
      <c r="C1" s="29" t="s">
        <v>99</v>
      </c>
      <c r="D1" s="30" t="s">
        <v>100</v>
      </c>
      <c r="E1" s="29" t="s">
        <v>101</v>
      </c>
      <c r="F1" s="30" t="s">
        <v>102</v>
      </c>
      <c r="G1" s="30" t="s">
        <v>103</v>
      </c>
      <c r="H1" s="29" t="s">
        <v>104</v>
      </c>
      <c r="I1" s="29" t="s">
        <v>105</v>
      </c>
      <c r="J1" s="30" t="s">
        <v>106</v>
      </c>
      <c r="K1" s="30" t="s">
        <v>107</v>
      </c>
      <c r="L1" s="29" t="s">
        <v>108</v>
      </c>
      <c r="M1" s="29" t="s">
        <v>109</v>
      </c>
      <c r="N1" s="29" t="s">
        <v>110</v>
      </c>
      <c r="O1" s="29" t="s">
        <v>111</v>
      </c>
      <c r="P1" s="29" t="s">
        <v>112</v>
      </c>
      <c r="Q1" s="29" t="s">
        <v>113</v>
      </c>
      <c r="R1" s="29" t="s">
        <v>114</v>
      </c>
      <c r="S1" s="47" t="s">
        <v>115</v>
      </c>
      <c r="T1" s="29" t="s">
        <v>116</v>
      </c>
      <c r="U1" s="31" t="s">
        <v>117</v>
      </c>
    </row>
    <row r="2" spans="1:21" ht="18.75">
      <c r="A2" s="44">
        <v>46055</v>
      </c>
      <c r="B2" s="34">
        <f>SUMIFS('OEE AHV'!J:J,'OEE AHV'!$B:$B,'AHV-05'!$A2,'OEE AHV'!$D:$D,'AHV-05'!$A$1)</f>
        <v>73.954427083333343</v>
      </c>
      <c r="C2" s="35">
        <f t="shared" ref="C2:C25" si="0">AVERAGEIF($B:$B,"&gt;0")</f>
        <v>103.1047634548611</v>
      </c>
      <c r="D2" s="34">
        <f t="shared" ref="D2:D25" si="1">ROUNDDOWN((K2/750)+(F2/240)+(F2/240),"0")</f>
        <v>20</v>
      </c>
      <c r="E2" s="36">
        <f t="shared" ref="E2:E25" si="2">AVERAGEIF($D:$D,"&gt;0")</f>
        <v>32.541666666666664</v>
      </c>
      <c r="F2" s="34">
        <f>SUMIFS('OEE AHV'!M:M,'OEE AHV'!$B:$B,'AHV-05'!$A2,'OEE AHV'!$D:$D,'AHV-05'!$A$1)</f>
        <v>729.04557291666663</v>
      </c>
      <c r="G2" s="37">
        <f t="shared" ref="G2:G25" si="3">ROUNDUP((1400-F2)-(F2*0.5%),"0")</f>
        <v>668</v>
      </c>
      <c r="H2" s="38">
        <f t="shared" ref="H2:H25" si="4">IFERROR(IF(AND(F2="",G2="")=TRUE,"",F2/(1440-G2)),"")</f>
        <v>0.94435955041018993</v>
      </c>
      <c r="I2" s="38">
        <f>95%</f>
        <v>0.95</v>
      </c>
      <c r="J2" s="39"/>
      <c r="K2" s="40">
        <f>SUMIFS('OEE AHV'!Q:Q,'OEE AHV'!$B:$B,'AHV-05'!$A2,'OEE AHV'!$D:$D,'AHV-05'!$A$1)</f>
        <v>10742</v>
      </c>
      <c r="L2" s="38">
        <f t="shared" ref="L2:L25" si="5">IF(AND(J2="",K2="")=TRUE,"",IF(OR(J2="MMS",K2="MMS")=TRUE,"",IFERROR(K2/((F2*60)/J2),1)))</f>
        <v>1</v>
      </c>
      <c r="M2" s="38">
        <f>99%</f>
        <v>0.99</v>
      </c>
      <c r="N2" s="41" t="s">
        <v>118</v>
      </c>
      <c r="O2" s="38">
        <f t="shared" ref="O2:O25" si="6">IF(N2="","",IF(N2="MMS","",IFERROR((K2-N2)/K2,1)))</f>
        <v>1</v>
      </c>
      <c r="P2" s="38">
        <f>100%</f>
        <v>1</v>
      </c>
      <c r="Q2" s="38">
        <f t="shared" ref="Q2:R17" si="7">IFERROR(IF(AND(H2="",L2="",O2="")=TRUE,"",IF(H2="",1,H2)*IF(L2="",1,L2)*IF(O2="",1,O2)),"")</f>
        <v>0.94435955041018993</v>
      </c>
      <c r="R2" s="38">
        <f t="shared" si="7"/>
        <v>0.9405</v>
      </c>
      <c r="S2" s="42">
        <f>ROUNDUP((('AHV-05'!$F2/480)/3),"0")</f>
        <v>1</v>
      </c>
      <c r="T2" s="43">
        <f t="shared" ref="T2:T25" si="8">IFERROR(K2/S2,"")</f>
        <v>10742</v>
      </c>
      <c r="U2" s="33" t="s">
        <v>119</v>
      </c>
    </row>
    <row r="3" spans="1:21" ht="18.75">
      <c r="A3" s="44">
        <v>46056</v>
      </c>
      <c r="B3" s="34">
        <f>SUMIFS('OEE AHV'!J:J,'OEE AHV'!$B:$B,'AHV-05'!$A3,'OEE AHV'!$D:$D,'AHV-05'!$A$1)</f>
        <v>71.625651041666671</v>
      </c>
      <c r="C3" s="35">
        <f t="shared" si="0"/>
        <v>103.1047634548611</v>
      </c>
      <c r="D3" s="34">
        <f t="shared" si="1"/>
        <v>20</v>
      </c>
      <c r="E3" s="36">
        <f t="shared" si="2"/>
        <v>32.541666666666664</v>
      </c>
      <c r="F3" s="34">
        <f>SUMIFS('OEE AHV'!M:M,'OEE AHV'!$B:$B,'AHV-05'!$A3,'OEE AHV'!$D:$D,'AHV-05'!$A$1)</f>
        <v>809.37434895833337</v>
      </c>
      <c r="G3" s="37">
        <f t="shared" si="3"/>
        <v>587</v>
      </c>
      <c r="H3" s="38">
        <f t="shared" si="4"/>
        <v>0.94885621214341542</v>
      </c>
      <c r="I3" s="38">
        <f t="shared" ref="I3:I25" si="9">I2</f>
        <v>0.95</v>
      </c>
      <c r="J3" s="39"/>
      <c r="K3" s="40">
        <f>SUMIFS('OEE AHV'!Q:Q,'OEE AHV'!$B:$B,'AHV-05'!$A3,'OEE AHV'!$D:$D,'AHV-05'!$A$1)</f>
        <v>10231</v>
      </c>
      <c r="L3" s="38">
        <f t="shared" si="5"/>
        <v>1</v>
      </c>
      <c r="M3" s="38">
        <f t="shared" ref="M3:M25" si="10">M2</f>
        <v>0.99</v>
      </c>
      <c r="N3" s="41" t="s">
        <v>118</v>
      </c>
      <c r="O3" s="38">
        <f t="shared" si="6"/>
        <v>1</v>
      </c>
      <c r="P3" s="38">
        <f t="shared" ref="P3:P25" si="11">P2</f>
        <v>1</v>
      </c>
      <c r="Q3" s="38">
        <f t="shared" si="7"/>
        <v>0.94885621214341542</v>
      </c>
      <c r="R3" s="38">
        <f t="shared" si="7"/>
        <v>0.9405</v>
      </c>
      <c r="S3" s="42">
        <f>ROUNDUP((('AHV-05'!$F3/480)/3),"0")</f>
        <v>1</v>
      </c>
      <c r="T3" s="43">
        <f t="shared" si="8"/>
        <v>10231</v>
      </c>
      <c r="U3" s="33" t="str">
        <f t="shared" ref="U3:U25" si="12">U2</f>
        <v>FY2025_MLS_Spindle Motor_Spindle Motor(FDB UNIT)_Bang Pa-in</v>
      </c>
    </row>
    <row r="4" spans="1:21" ht="18.75">
      <c r="A4" s="44">
        <v>46057</v>
      </c>
      <c r="B4" s="34">
        <f>SUMIFS('OEE AHV'!J:J,'OEE AHV'!$B:$B,'AHV-05'!$A4,'OEE AHV'!$D:$D,'AHV-05'!$A$1)</f>
        <v>97.260416666666671</v>
      </c>
      <c r="C4" s="35">
        <f t="shared" si="0"/>
        <v>103.1047634548611</v>
      </c>
      <c r="D4" s="34">
        <f t="shared" si="1"/>
        <v>31</v>
      </c>
      <c r="E4" s="36">
        <f t="shared" si="2"/>
        <v>32.541666666666664</v>
      </c>
      <c r="F4" s="34">
        <f>SUMIFS('OEE AHV'!M:M,'OEE AHV'!$B:$B,'AHV-05'!$A4,'OEE AHV'!$D:$D,'AHV-05'!$A$1)</f>
        <v>1277.7395833333333</v>
      </c>
      <c r="G4" s="37">
        <f t="shared" si="3"/>
        <v>116</v>
      </c>
      <c r="H4" s="38">
        <f t="shared" si="4"/>
        <v>0.96506010825780453</v>
      </c>
      <c r="I4" s="38">
        <f t="shared" si="9"/>
        <v>0.95</v>
      </c>
      <c r="J4" s="39"/>
      <c r="K4" s="40">
        <f>SUMIFS('OEE AHV'!Q:Q,'OEE AHV'!$B:$B,'AHV-05'!$A4,'OEE AHV'!$D:$D,'AHV-05'!$A$1)</f>
        <v>15856</v>
      </c>
      <c r="L4" s="38">
        <f t="shared" si="5"/>
        <v>1</v>
      </c>
      <c r="M4" s="38">
        <f t="shared" si="10"/>
        <v>0.99</v>
      </c>
      <c r="N4" s="41" t="s">
        <v>118</v>
      </c>
      <c r="O4" s="38">
        <f t="shared" si="6"/>
        <v>1</v>
      </c>
      <c r="P4" s="38">
        <f t="shared" si="11"/>
        <v>1</v>
      </c>
      <c r="Q4" s="38">
        <f t="shared" si="7"/>
        <v>0.96506010825780453</v>
      </c>
      <c r="R4" s="38">
        <f t="shared" si="7"/>
        <v>0.9405</v>
      </c>
      <c r="S4" s="42">
        <f>ROUNDUP((('AHV-05'!$F4/480)/3),"0")</f>
        <v>1</v>
      </c>
      <c r="T4" s="43">
        <f t="shared" si="8"/>
        <v>15856</v>
      </c>
      <c r="U4" s="33" t="str">
        <f t="shared" si="12"/>
        <v>FY2025_MLS_Spindle Motor_Spindle Motor(FDB UNIT)_Bang Pa-in</v>
      </c>
    </row>
    <row r="5" spans="1:21" ht="18.75">
      <c r="A5" s="44">
        <v>46058</v>
      </c>
      <c r="B5" s="34">
        <f>SUMIFS('OEE AHV'!J:J,'OEE AHV'!$B:$B,'AHV-05'!$A5,'OEE AHV'!$D:$D,'AHV-05'!$A$1)</f>
        <v>104.296875</v>
      </c>
      <c r="C5" s="35">
        <f t="shared" si="0"/>
        <v>103.1047634548611</v>
      </c>
      <c r="D5" s="34">
        <f t="shared" si="1"/>
        <v>33</v>
      </c>
      <c r="E5" s="36">
        <f t="shared" si="2"/>
        <v>32.541666666666664</v>
      </c>
      <c r="F5" s="34">
        <f>SUMIFS('OEE AHV'!M:M,'OEE AHV'!$B:$B,'AHV-05'!$A5,'OEE AHV'!$D:$D,'AHV-05'!$A$1)</f>
        <v>1190.703125</v>
      </c>
      <c r="G5" s="37">
        <f t="shared" si="3"/>
        <v>204</v>
      </c>
      <c r="H5" s="38">
        <f t="shared" si="4"/>
        <v>0.96335204288025889</v>
      </c>
      <c r="I5" s="38">
        <f t="shared" si="9"/>
        <v>0.95</v>
      </c>
      <c r="J5" s="39"/>
      <c r="K5" s="40">
        <f>SUMIFS('OEE AHV'!Q:Q,'OEE AHV'!$B:$B,'AHV-05'!$A5,'OEE AHV'!$D:$D,'AHV-05'!$A$1)</f>
        <v>17400</v>
      </c>
      <c r="L5" s="38">
        <f t="shared" si="5"/>
        <v>1</v>
      </c>
      <c r="M5" s="38">
        <f t="shared" si="10"/>
        <v>0.99</v>
      </c>
      <c r="N5" s="41" t="s">
        <v>118</v>
      </c>
      <c r="O5" s="38">
        <f t="shared" si="6"/>
        <v>1</v>
      </c>
      <c r="P5" s="38">
        <f t="shared" si="11"/>
        <v>1</v>
      </c>
      <c r="Q5" s="38">
        <f t="shared" si="7"/>
        <v>0.96335204288025889</v>
      </c>
      <c r="R5" s="38">
        <f t="shared" si="7"/>
        <v>0.9405</v>
      </c>
      <c r="S5" s="42">
        <f>ROUNDUP((('AHV-05'!$F5/480)/3),"0")</f>
        <v>1</v>
      </c>
      <c r="T5" s="43">
        <f t="shared" si="8"/>
        <v>17400</v>
      </c>
      <c r="U5" s="33" t="str">
        <f t="shared" si="12"/>
        <v>FY2025_MLS_Spindle Motor_Spindle Motor(FDB UNIT)_Bang Pa-in</v>
      </c>
    </row>
    <row r="6" spans="1:21" ht="18.75">
      <c r="A6" s="44">
        <v>46059</v>
      </c>
      <c r="B6" s="34">
        <f>SUMIFS('OEE AHV'!J:J,'OEE AHV'!$B:$B,'AHV-05'!$A6,'OEE AHV'!$D:$D,'AHV-05'!$A$1)</f>
        <v>113.61197916666667</v>
      </c>
      <c r="C6" s="35">
        <f t="shared" si="0"/>
        <v>103.1047634548611</v>
      </c>
      <c r="D6" s="34">
        <f t="shared" si="1"/>
        <v>36</v>
      </c>
      <c r="E6" s="36">
        <f t="shared" si="2"/>
        <v>32.541666666666664</v>
      </c>
      <c r="F6" s="34">
        <f>SUMIFS('OEE AHV'!M:M,'OEE AHV'!$B:$B,'AHV-05'!$A6,'OEE AHV'!$D:$D,'AHV-05'!$A$1)</f>
        <v>1326.3880208333333</v>
      </c>
      <c r="G6" s="37">
        <f t="shared" si="3"/>
        <v>67</v>
      </c>
      <c r="H6" s="38">
        <f t="shared" si="4"/>
        <v>0.96605099842194697</v>
      </c>
      <c r="I6" s="38">
        <f t="shared" si="9"/>
        <v>0.95</v>
      </c>
      <c r="J6" s="39"/>
      <c r="K6" s="40">
        <f>SUMIFS('OEE AHV'!Q:Q,'OEE AHV'!$B:$B,'AHV-05'!$A6,'OEE AHV'!$D:$D,'AHV-05'!$A$1)</f>
        <v>19444</v>
      </c>
      <c r="L6" s="38">
        <f t="shared" si="5"/>
        <v>1</v>
      </c>
      <c r="M6" s="38">
        <f t="shared" si="10"/>
        <v>0.99</v>
      </c>
      <c r="N6" s="41" t="s">
        <v>118</v>
      </c>
      <c r="O6" s="38">
        <f t="shared" si="6"/>
        <v>1</v>
      </c>
      <c r="P6" s="38">
        <f t="shared" si="11"/>
        <v>1</v>
      </c>
      <c r="Q6" s="38">
        <f t="shared" si="7"/>
        <v>0.96605099842194697</v>
      </c>
      <c r="R6" s="38">
        <f t="shared" si="7"/>
        <v>0.9405</v>
      </c>
      <c r="S6" s="42">
        <f>ROUNDUP((('AHV-05'!$F6/480)/3),"0")</f>
        <v>1</v>
      </c>
      <c r="T6" s="43">
        <f t="shared" si="8"/>
        <v>19444</v>
      </c>
      <c r="U6" s="33" t="str">
        <f t="shared" si="12"/>
        <v>FY2025_MLS_Spindle Motor_Spindle Motor(FDB UNIT)_Bang Pa-in</v>
      </c>
    </row>
    <row r="7" spans="1:21" ht="18.75">
      <c r="A7" s="44">
        <v>46060</v>
      </c>
      <c r="B7" s="34">
        <f>SUMIFS('OEE AHV'!J:J,'OEE AHV'!$B:$B,'AHV-05'!$A7,'OEE AHV'!$D:$D,'AHV-05'!$A$1)</f>
        <v>111.27408854166667</v>
      </c>
      <c r="C7" s="35">
        <f t="shared" si="0"/>
        <v>103.1047634548611</v>
      </c>
      <c r="D7" s="34">
        <f t="shared" si="1"/>
        <v>35</v>
      </c>
      <c r="E7" s="36">
        <f t="shared" si="2"/>
        <v>32.541666666666664</v>
      </c>
      <c r="F7" s="34">
        <f>SUMIFS('OEE AHV'!M:M,'OEE AHV'!$B:$B,'AHV-05'!$A7,'OEE AHV'!$D:$D,'AHV-05'!$A$1)</f>
        <v>1280.7259114583333</v>
      </c>
      <c r="G7" s="37">
        <f t="shared" si="3"/>
        <v>113</v>
      </c>
      <c r="H7" s="38">
        <f t="shared" si="4"/>
        <v>0.96512879537176588</v>
      </c>
      <c r="I7" s="38">
        <f t="shared" si="9"/>
        <v>0.95</v>
      </c>
      <c r="J7" s="39"/>
      <c r="K7" s="40">
        <f>SUMIFS('OEE AHV'!Q:Q,'OEE AHV'!$B:$B,'AHV-05'!$A7,'OEE AHV'!$D:$D,'AHV-05'!$A$1)</f>
        <v>18931</v>
      </c>
      <c r="L7" s="38">
        <f t="shared" si="5"/>
        <v>1</v>
      </c>
      <c r="M7" s="38">
        <f t="shared" si="10"/>
        <v>0.99</v>
      </c>
      <c r="N7" s="41" t="s">
        <v>118</v>
      </c>
      <c r="O7" s="38">
        <f t="shared" si="6"/>
        <v>1</v>
      </c>
      <c r="P7" s="38">
        <f t="shared" si="11"/>
        <v>1</v>
      </c>
      <c r="Q7" s="38">
        <f t="shared" si="7"/>
        <v>0.96512879537176588</v>
      </c>
      <c r="R7" s="38">
        <f t="shared" si="7"/>
        <v>0.9405</v>
      </c>
      <c r="S7" s="42">
        <f>ROUNDUP((('AHV-05'!$F7/480)/3),"0")</f>
        <v>1</v>
      </c>
      <c r="T7" s="43">
        <f t="shared" si="8"/>
        <v>18931</v>
      </c>
      <c r="U7" s="33" t="str">
        <f t="shared" si="12"/>
        <v>FY2025_MLS_Spindle Motor_Spindle Motor(FDB UNIT)_Bang Pa-in</v>
      </c>
    </row>
    <row r="8" spans="1:21" ht="18.75">
      <c r="A8" s="44">
        <v>46061</v>
      </c>
      <c r="B8" s="34">
        <f>SUMIFS('OEE AHV'!J:J,'OEE AHV'!$B:$B,'AHV-05'!$A8,'OEE AHV'!$D:$D,'AHV-05'!$A$1)</f>
        <v>57.657552083333336</v>
      </c>
      <c r="C8" s="35">
        <f t="shared" si="0"/>
        <v>103.1047634548611</v>
      </c>
      <c r="D8" s="34">
        <f t="shared" si="1"/>
        <v>15</v>
      </c>
      <c r="E8" s="36">
        <f t="shared" si="2"/>
        <v>32.541666666666664</v>
      </c>
      <c r="F8" s="34">
        <f>SUMIFS('OEE AHV'!M:M,'OEE AHV'!$B:$B,'AHV-05'!$A8,'OEE AHV'!$D:$D,'AHV-05'!$A$1)</f>
        <v>662.34244791666663</v>
      </c>
      <c r="G8" s="37">
        <f t="shared" si="3"/>
        <v>735</v>
      </c>
      <c r="H8" s="38">
        <f t="shared" si="4"/>
        <v>0.93949283392434979</v>
      </c>
      <c r="I8" s="38">
        <f t="shared" si="9"/>
        <v>0.95</v>
      </c>
      <c r="J8" s="39"/>
      <c r="K8" s="40">
        <f>SUMIFS('OEE AHV'!Q:Q,'OEE AHV'!$B:$B,'AHV-05'!$A8,'OEE AHV'!$D:$D,'AHV-05'!$A$1)</f>
        <v>7166</v>
      </c>
      <c r="L8" s="38">
        <f t="shared" si="5"/>
        <v>1</v>
      </c>
      <c r="M8" s="38">
        <f t="shared" si="10"/>
        <v>0.99</v>
      </c>
      <c r="N8" s="41" t="s">
        <v>118</v>
      </c>
      <c r="O8" s="38">
        <f t="shared" si="6"/>
        <v>1</v>
      </c>
      <c r="P8" s="38">
        <f t="shared" si="11"/>
        <v>1</v>
      </c>
      <c r="Q8" s="38">
        <f t="shared" si="7"/>
        <v>0.93949283392434979</v>
      </c>
      <c r="R8" s="38">
        <f t="shared" si="7"/>
        <v>0.9405</v>
      </c>
      <c r="S8" s="42">
        <f>ROUNDUP((('AHV-05'!$F8/480)/3),"0")</f>
        <v>1</v>
      </c>
      <c r="T8" s="43">
        <f t="shared" si="8"/>
        <v>7166</v>
      </c>
      <c r="U8" s="33" t="str">
        <f t="shared" si="12"/>
        <v>FY2025_MLS_Spindle Motor_Spindle Motor(FDB UNIT)_Bang Pa-in</v>
      </c>
    </row>
    <row r="9" spans="1:21" ht="18.75">
      <c r="A9" s="44">
        <v>46062</v>
      </c>
      <c r="B9" s="34">
        <f>SUMIFS('OEE AHV'!J:J,'OEE AHV'!$B:$B,'AHV-05'!$A9,'OEE AHV'!$D:$D,'AHV-05'!$A$1)</f>
        <v>99.616536458333329</v>
      </c>
      <c r="C9" s="35">
        <f t="shared" si="0"/>
        <v>103.1047634548611</v>
      </c>
      <c r="D9" s="34">
        <f t="shared" si="1"/>
        <v>31</v>
      </c>
      <c r="E9" s="36">
        <f t="shared" si="2"/>
        <v>32.541666666666664</v>
      </c>
      <c r="F9" s="34">
        <f>SUMIFS('OEE AHV'!M:M,'OEE AHV'!$B:$B,'AHV-05'!$A9,'OEE AHV'!$D:$D,'AHV-05'!$A$1)</f>
        <v>1201.3834635416667</v>
      </c>
      <c r="G9" s="37">
        <f t="shared" si="3"/>
        <v>193</v>
      </c>
      <c r="H9" s="38">
        <f t="shared" si="4"/>
        <v>0.96341897637663731</v>
      </c>
      <c r="I9" s="38">
        <f t="shared" si="9"/>
        <v>0.95</v>
      </c>
      <c r="J9" s="39"/>
      <c r="K9" s="40">
        <f>SUMIFS('OEE AHV'!Q:Q,'OEE AHV'!$B:$B,'AHV-05'!$A9,'OEE AHV'!$D:$D,'AHV-05'!$A$1)</f>
        <v>16373</v>
      </c>
      <c r="L9" s="38">
        <f t="shared" si="5"/>
        <v>1</v>
      </c>
      <c r="M9" s="38">
        <f t="shared" si="10"/>
        <v>0.99</v>
      </c>
      <c r="N9" s="41" t="s">
        <v>118</v>
      </c>
      <c r="O9" s="38">
        <f t="shared" si="6"/>
        <v>1</v>
      </c>
      <c r="P9" s="38">
        <f t="shared" si="11"/>
        <v>1</v>
      </c>
      <c r="Q9" s="38">
        <f t="shared" si="7"/>
        <v>0.96341897637663731</v>
      </c>
      <c r="R9" s="38">
        <f t="shared" si="7"/>
        <v>0.9405</v>
      </c>
      <c r="S9" s="42">
        <f>ROUNDUP((('AHV-05'!$F9/480)/3),"0")</f>
        <v>1</v>
      </c>
      <c r="T9" s="43">
        <f t="shared" si="8"/>
        <v>16373</v>
      </c>
      <c r="U9" s="33" t="str">
        <f t="shared" si="12"/>
        <v>FY2025_MLS_Spindle Motor_Spindle Motor(FDB UNIT)_Bang Pa-in</v>
      </c>
    </row>
    <row r="10" spans="1:21" ht="18.75">
      <c r="A10" s="44">
        <v>46063</v>
      </c>
      <c r="B10" s="34">
        <f>SUMIFS('OEE AHV'!J:J,'OEE AHV'!$B:$B,'AHV-05'!$A10,'OEE AHV'!$D:$D,'AHV-05'!$A$1)</f>
        <v>108.9453125</v>
      </c>
      <c r="C10" s="35">
        <f t="shared" si="0"/>
        <v>103.1047634548611</v>
      </c>
      <c r="D10" s="34">
        <f t="shared" si="1"/>
        <v>35</v>
      </c>
      <c r="E10" s="36">
        <f t="shared" si="2"/>
        <v>32.541666666666664</v>
      </c>
      <c r="F10" s="34">
        <f>SUMIFS('OEE AHV'!M:M,'OEE AHV'!$B:$B,'AHV-05'!$A10,'OEE AHV'!$D:$D,'AHV-05'!$A$1)</f>
        <v>1331.0546875</v>
      </c>
      <c r="G10" s="37">
        <f t="shared" si="3"/>
        <v>63</v>
      </c>
      <c r="H10" s="38">
        <f t="shared" si="4"/>
        <v>0.96663375998547563</v>
      </c>
      <c r="I10" s="38">
        <f t="shared" si="9"/>
        <v>0.95</v>
      </c>
      <c r="J10" s="39"/>
      <c r="K10" s="40">
        <f>SUMIFS('OEE AHV'!Q:Q,'OEE AHV'!$B:$B,'AHV-05'!$A10,'OEE AHV'!$D:$D,'AHV-05'!$A$1)</f>
        <v>18420</v>
      </c>
      <c r="L10" s="38">
        <f t="shared" si="5"/>
        <v>1</v>
      </c>
      <c r="M10" s="38">
        <f t="shared" si="10"/>
        <v>0.99</v>
      </c>
      <c r="N10" s="41" t="s">
        <v>118</v>
      </c>
      <c r="O10" s="38">
        <f t="shared" si="6"/>
        <v>1</v>
      </c>
      <c r="P10" s="38">
        <f t="shared" si="11"/>
        <v>1</v>
      </c>
      <c r="Q10" s="38">
        <f t="shared" si="7"/>
        <v>0.96663375998547563</v>
      </c>
      <c r="R10" s="38">
        <f t="shared" si="7"/>
        <v>0.9405</v>
      </c>
      <c r="S10" s="42">
        <f>ROUNDUP((('AHV-05'!$F10/480)/3),"0")</f>
        <v>1</v>
      </c>
      <c r="T10" s="43">
        <f t="shared" si="8"/>
        <v>18420</v>
      </c>
      <c r="U10" s="33" t="str">
        <f t="shared" si="12"/>
        <v>FY2025_MLS_Spindle Motor_Spindle Motor(FDB UNIT)_Bang Pa-in</v>
      </c>
    </row>
    <row r="11" spans="1:21" ht="18.75">
      <c r="A11" s="44">
        <v>46064</v>
      </c>
      <c r="B11" s="34">
        <f>SUMIFS('OEE AHV'!J:J,'OEE AHV'!$B:$B,'AHV-05'!$A11,'OEE AHV'!$D:$D,'AHV-05'!$A$1)</f>
        <v>106.64388020833334</v>
      </c>
      <c r="C11" s="35">
        <f t="shared" si="0"/>
        <v>103.1047634548611</v>
      </c>
      <c r="D11" s="34">
        <f t="shared" si="1"/>
        <v>34</v>
      </c>
      <c r="E11" s="36">
        <f t="shared" si="2"/>
        <v>32.541666666666664</v>
      </c>
      <c r="F11" s="34">
        <f>SUMIFS('OEE AHV'!M:M,'OEE AHV'!$B:$B,'AHV-05'!$A11,'OEE AHV'!$D:$D,'AHV-05'!$A$1)</f>
        <v>1333.3561197916667</v>
      </c>
      <c r="G11" s="37">
        <f t="shared" si="3"/>
        <v>60</v>
      </c>
      <c r="H11" s="38">
        <f t="shared" si="4"/>
        <v>0.96620008680555558</v>
      </c>
      <c r="I11" s="38">
        <f t="shared" si="9"/>
        <v>0.95</v>
      </c>
      <c r="J11" s="39"/>
      <c r="K11" s="40">
        <f>SUMIFS('OEE AHV'!Q:Q,'OEE AHV'!$B:$B,'AHV-05'!$A11,'OEE AHV'!$D:$D,'AHV-05'!$A$1)</f>
        <v>17915</v>
      </c>
      <c r="L11" s="38">
        <f t="shared" si="5"/>
        <v>1</v>
      </c>
      <c r="M11" s="38">
        <f t="shared" si="10"/>
        <v>0.99</v>
      </c>
      <c r="N11" s="41" t="s">
        <v>118</v>
      </c>
      <c r="O11" s="38">
        <f t="shared" si="6"/>
        <v>1</v>
      </c>
      <c r="P11" s="38">
        <f t="shared" si="11"/>
        <v>1</v>
      </c>
      <c r="Q11" s="38">
        <f t="shared" si="7"/>
        <v>0.96620008680555558</v>
      </c>
      <c r="R11" s="38">
        <f t="shared" si="7"/>
        <v>0.9405</v>
      </c>
      <c r="S11" s="42">
        <f>ROUNDUP((('AHV-05'!$F11/480)/3),"0")</f>
        <v>1</v>
      </c>
      <c r="T11" s="43">
        <f t="shared" si="8"/>
        <v>17915</v>
      </c>
      <c r="U11" s="33" t="str">
        <f t="shared" si="12"/>
        <v>FY2025_MLS_Spindle Motor_Spindle Motor(FDB UNIT)_Bang Pa-in</v>
      </c>
    </row>
    <row r="12" spans="1:21" ht="18.75">
      <c r="A12" s="44">
        <v>46065</v>
      </c>
      <c r="B12" s="34">
        <f>SUMIFS('OEE AHV'!J:J,'OEE AHV'!$B:$B,'AHV-05'!$A12,'OEE AHV'!$D:$D,'AHV-05'!$A$1)</f>
        <v>97.260416666666671</v>
      </c>
      <c r="C12" s="35">
        <f t="shared" si="0"/>
        <v>103.1047634548611</v>
      </c>
      <c r="D12" s="34">
        <f t="shared" si="1"/>
        <v>32</v>
      </c>
      <c r="E12" s="36">
        <f t="shared" si="2"/>
        <v>32.541666666666664</v>
      </c>
      <c r="F12" s="34">
        <f>SUMIFS('OEE AHV'!M:M,'OEE AHV'!$B:$B,'AHV-05'!$A12,'OEE AHV'!$D:$D,'AHV-05'!$A$1)</f>
        <v>1342.7395833333333</v>
      </c>
      <c r="G12" s="37">
        <f t="shared" si="3"/>
        <v>51</v>
      </c>
      <c r="H12" s="38">
        <f t="shared" si="4"/>
        <v>0.96669516438684899</v>
      </c>
      <c r="I12" s="38">
        <f t="shared" si="9"/>
        <v>0.95</v>
      </c>
      <c r="J12" s="39"/>
      <c r="K12" s="40">
        <f>SUMIFS('OEE AHV'!Q:Q,'OEE AHV'!$B:$B,'AHV-05'!$A12,'OEE AHV'!$D:$D,'AHV-05'!$A$1)</f>
        <v>15856</v>
      </c>
      <c r="L12" s="38">
        <f t="shared" si="5"/>
        <v>1</v>
      </c>
      <c r="M12" s="38">
        <f t="shared" si="10"/>
        <v>0.99</v>
      </c>
      <c r="N12" s="41" t="s">
        <v>118</v>
      </c>
      <c r="O12" s="38">
        <f t="shared" si="6"/>
        <v>1</v>
      </c>
      <c r="P12" s="38">
        <f t="shared" si="11"/>
        <v>1</v>
      </c>
      <c r="Q12" s="38">
        <f t="shared" si="7"/>
        <v>0.96669516438684899</v>
      </c>
      <c r="R12" s="38">
        <f t="shared" si="7"/>
        <v>0.9405</v>
      </c>
      <c r="S12" s="42">
        <f>ROUNDUP((('AHV-05'!$F12/480)/3),"0")</f>
        <v>1</v>
      </c>
      <c r="T12" s="43">
        <f t="shared" si="8"/>
        <v>15856</v>
      </c>
      <c r="U12" s="33" t="str">
        <f t="shared" si="12"/>
        <v>FY2025_MLS_Spindle Motor_Spindle Motor(FDB UNIT)_Bang Pa-in</v>
      </c>
    </row>
    <row r="13" spans="1:21" ht="18.75">
      <c r="A13" s="44">
        <v>46066</v>
      </c>
      <c r="B13" s="34">
        <f>SUMIFS('OEE AHV'!J:J,'OEE AHV'!$B:$B,'AHV-05'!$A13,'OEE AHV'!$D:$D,'AHV-05'!$A$1)</f>
        <v>113.59830729166667</v>
      </c>
      <c r="C13" s="35">
        <f t="shared" si="0"/>
        <v>103.1047634548611</v>
      </c>
      <c r="D13" s="34">
        <f t="shared" si="1"/>
        <v>36</v>
      </c>
      <c r="E13" s="36">
        <f t="shared" si="2"/>
        <v>32.541666666666664</v>
      </c>
      <c r="F13" s="34">
        <f>SUMIFS('OEE AHV'!M:M,'OEE AHV'!$B:$B,'AHV-05'!$A13,'OEE AHV'!$D:$D,'AHV-05'!$A$1)</f>
        <v>1326.4016927083333</v>
      </c>
      <c r="G13" s="37">
        <f t="shared" si="3"/>
        <v>67</v>
      </c>
      <c r="H13" s="38">
        <f t="shared" si="4"/>
        <v>0.96606095608764253</v>
      </c>
      <c r="I13" s="38">
        <f t="shared" si="9"/>
        <v>0.95</v>
      </c>
      <c r="J13" s="39"/>
      <c r="K13" s="40">
        <f>SUMIFS('OEE AHV'!Q:Q,'OEE AHV'!$B:$B,'AHV-05'!$A13,'OEE AHV'!$D:$D,'AHV-05'!$A$1)</f>
        <v>19441</v>
      </c>
      <c r="L13" s="38">
        <f t="shared" si="5"/>
        <v>1</v>
      </c>
      <c r="M13" s="38">
        <f t="shared" si="10"/>
        <v>0.99</v>
      </c>
      <c r="N13" s="41" t="s">
        <v>118</v>
      </c>
      <c r="O13" s="38">
        <f t="shared" si="6"/>
        <v>1</v>
      </c>
      <c r="P13" s="38">
        <f t="shared" si="11"/>
        <v>1</v>
      </c>
      <c r="Q13" s="38">
        <f t="shared" si="7"/>
        <v>0.96606095608764253</v>
      </c>
      <c r="R13" s="38">
        <f t="shared" si="7"/>
        <v>0.9405</v>
      </c>
      <c r="S13" s="42">
        <f>ROUNDUP((('AHV-05'!$F13/480)/3),"0")</f>
        <v>1</v>
      </c>
      <c r="T13" s="43">
        <f t="shared" si="8"/>
        <v>19441</v>
      </c>
      <c r="U13" s="33" t="str">
        <f t="shared" si="12"/>
        <v>FY2025_MLS_Spindle Motor_Spindle Motor(FDB UNIT)_Bang Pa-in</v>
      </c>
    </row>
    <row r="14" spans="1:21" ht="18.75">
      <c r="A14" s="44">
        <v>46067</v>
      </c>
      <c r="B14" s="34">
        <f>SUMIFS('OEE AHV'!J:J,'OEE AHV'!$B:$B,'AHV-05'!$A14,'OEE AHV'!$D:$D,'AHV-05'!$A$1)</f>
        <v>111.22395833333334</v>
      </c>
      <c r="C14" s="35">
        <f t="shared" si="0"/>
        <v>103.1047634548611</v>
      </c>
      <c r="D14" s="34">
        <f t="shared" si="1"/>
        <v>36</v>
      </c>
      <c r="E14" s="36">
        <f t="shared" si="2"/>
        <v>32.541666666666664</v>
      </c>
      <c r="F14" s="34">
        <f>SUMIFS('OEE AHV'!M:M,'OEE AHV'!$B:$B,'AHV-05'!$A14,'OEE AHV'!$D:$D,'AHV-05'!$A$1)</f>
        <v>1328.7760416666667</v>
      </c>
      <c r="G14" s="37">
        <f t="shared" si="3"/>
        <v>65</v>
      </c>
      <c r="H14" s="38">
        <f t="shared" si="4"/>
        <v>0.9663825757575758</v>
      </c>
      <c r="I14" s="38">
        <f t="shared" si="9"/>
        <v>0.95</v>
      </c>
      <c r="J14" s="39"/>
      <c r="K14" s="40">
        <f>SUMIFS('OEE AHV'!Q:Q,'OEE AHV'!$B:$B,'AHV-05'!$A14,'OEE AHV'!$D:$D,'AHV-05'!$A$1)</f>
        <v>18920</v>
      </c>
      <c r="L14" s="38">
        <f t="shared" si="5"/>
        <v>1</v>
      </c>
      <c r="M14" s="38">
        <f t="shared" si="10"/>
        <v>0.99</v>
      </c>
      <c r="N14" s="41" t="s">
        <v>118</v>
      </c>
      <c r="O14" s="38">
        <f t="shared" si="6"/>
        <v>1</v>
      </c>
      <c r="P14" s="38">
        <f t="shared" si="11"/>
        <v>1</v>
      </c>
      <c r="Q14" s="38">
        <f t="shared" si="7"/>
        <v>0.9663825757575758</v>
      </c>
      <c r="R14" s="38">
        <f t="shared" si="7"/>
        <v>0.9405</v>
      </c>
      <c r="S14" s="42">
        <f>ROUNDUP((('AHV-05'!$F14/480)/3),"0")</f>
        <v>1</v>
      </c>
      <c r="T14" s="43">
        <f t="shared" si="8"/>
        <v>18920</v>
      </c>
      <c r="U14" s="33" t="str">
        <f t="shared" si="12"/>
        <v>FY2025_MLS_Spindle Motor_Spindle Motor(FDB UNIT)_Bang Pa-in</v>
      </c>
    </row>
    <row r="15" spans="1:21" ht="18.75">
      <c r="A15" s="44">
        <v>46069</v>
      </c>
      <c r="B15" s="34">
        <f>SUMIFS('OEE AHV'!J:J,'OEE AHV'!$B:$B,'AHV-05'!$A15,'OEE AHV'!$D:$D,'AHV-05'!$A$1)</f>
        <v>108.96354166666667</v>
      </c>
      <c r="C15" s="35">
        <f t="shared" si="0"/>
        <v>103.1047634548611</v>
      </c>
      <c r="D15" s="34">
        <f t="shared" si="1"/>
        <v>35</v>
      </c>
      <c r="E15" s="36">
        <f t="shared" si="2"/>
        <v>32.541666666666664</v>
      </c>
      <c r="F15" s="34">
        <f>SUMIFS('OEE AHV'!M:M,'OEE AHV'!$B:$B,'AHV-05'!$A15,'OEE AHV'!$D:$D,'AHV-05'!$A$1)</f>
        <v>1331.0364583333333</v>
      </c>
      <c r="G15" s="37">
        <f t="shared" si="3"/>
        <v>63</v>
      </c>
      <c r="H15" s="38">
        <f t="shared" si="4"/>
        <v>0.9666205216654562</v>
      </c>
      <c r="I15" s="38">
        <f t="shared" si="9"/>
        <v>0.95</v>
      </c>
      <c r="J15" s="39"/>
      <c r="K15" s="40">
        <f>SUMIFS('OEE AHV'!Q:Q,'OEE AHV'!$B:$B,'AHV-05'!$A15,'OEE AHV'!$D:$D,'AHV-05'!$A$1)</f>
        <v>18424</v>
      </c>
      <c r="L15" s="38">
        <f t="shared" si="5"/>
        <v>1</v>
      </c>
      <c r="M15" s="38">
        <f t="shared" si="10"/>
        <v>0.99</v>
      </c>
      <c r="N15" s="41" t="s">
        <v>118</v>
      </c>
      <c r="O15" s="38">
        <f t="shared" si="6"/>
        <v>1</v>
      </c>
      <c r="P15" s="38">
        <f t="shared" si="11"/>
        <v>1</v>
      </c>
      <c r="Q15" s="38">
        <f t="shared" si="7"/>
        <v>0.9666205216654562</v>
      </c>
      <c r="R15" s="38">
        <f t="shared" si="7"/>
        <v>0.9405</v>
      </c>
      <c r="S15" s="42">
        <f>ROUNDUP((('AHV-05'!$F15/480)/3),"0")</f>
        <v>1</v>
      </c>
      <c r="T15" s="43">
        <f t="shared" si="8"/>
        <v>18424</v>
      </c>
      <c r="U15" s="33" t="str">
        <f t="shared" si="12"/>
        <v>FY2025_MLS_Spindle Motor_Spindle Motor(FDB UNIT)_Bang Pa-in</v>
      </c>
    </row>
    <row r="16" spans="1:21" ht="18.75">
      <c r="A16" s="44">
        <v>46070</v>
      </c>
      <c r="B16" s="34">
        <f>SUMIFS('OEE AHV'!J:J,'OEE AHV'!$B:$B,'AHV-05'!$A16,'OEE AHV'!$D:$D,'AHV-05'!$A$1)</f>
        <v>111.21940104166667</v>
      </c>
      <c r="C16" s="35">
        <f t="shared" si="0"/>
        <v>103.1047634548611</v>
      </c>
      <c r="D16" s="34">
        <f t="shared" si="1"/>
        <v>36</v>
      </c>
      <c r="E16" s="36">
        <f t="shared" si="2"/>
        <v>32.541666666666664</v>
      </c>
      <c r="F16" s="34">
        <f>SUMIFS('OEE AHV'!M:M,'OEE AHV'!$B:$B,'AHV-05'!$A16,'OEE AHV'!$D:$D,'AHV-05'!$A$1)</f>
        <v>1328.7805989583333</v>
      </c>
      <c r="G16" s="37">
        <f t="shared" si="3"/>
        <v>65</v>
      </c>
      <c r="H16" s="38">
        <f t="shared" si="4"/>
        <v>0.9663858901515151</v>
      </c>
      <c r="I16" s="38">
        <f t="shared" si="9"/>
        <v>0.95</v>
      </c>
      <c r="J16" s="39"/>
      <c r="K16" s="40">
        <f>SUMIFS('OEE AHV'!Q:Q,'OEE AHV'!$B:$B,'AHV-05'!$A16,'OEE AHV'!$D:$D,'AHV-05'!$A$1)</f>
        <v>18919</v>
      </c>
      <c r="L16" s="38">
        <f t="shared" si="5"/>
        <v>1</v>
      </c>
      <c r="M16" s="38">
        <f t="shared" si="10"/>
        <v>0.99</v>
      </c>
      <c r="N16" s="41" t="s">
        <v>118</v>
      </c>
      <c r="O16" s="38">
        <f t="shared" si="6"/>
        <v>1</v>
      </c>
      <c r="P16" s="38">
        <f t="shared" si="11"/>
        <v>1</v>
      </c>
      <c r="Q16" s="38">
        <f t="shared" si="7"/>
        <v>0.9663858901515151</v>
      </c>
      <c r="R16" s="38">
        <f t="shared" si="7"/>
        <v>0.9405</v>
      </c>
      <c r="S16" s="42">
        <f>ROUNDUP((('AHV-05'!$F16/480)/3),"0")</f>
        <v>1</v>
      </c>
      <c r="T16" s="43">
        <f t="shared" si="8"/>
        <v>18919</v>
      </c>
      <c r="U16" s="33" t="str">
        <f t="shared" si="12"/>
        <v>FY2025_MLS_Spindle Motor_Spindle Motor(FDB UNIT)_Bang Pa-in</v>
      </c>
    </row>
    <row r="17" spans="1:21" ht="18.75">
      <c r="A17" s="44">
        <v>46071</v>
      </c>
      <c r="B17" s="34">
        <f>SUMIFS('OEE AHV'!J:J,'OEE AHV'!$B:$B,'AHV-05'!$A17,'OEE AHV'!$D:$D,'AHV-05'!$A$1)</f>
        <v>113.63020833333333</v>
      </c>
      <c r="C17" s="35">
        <f t="shared" si="0"/>
        <v>103.1047634548611</v>
      </c>
      <c r="D17" s="34">
        <f t="shared" si="1"/>
        <v>36</v>
      </c>
      <c r="E17" s="36">
        <f t="shared" si="2"/>
        <v>32.541666666666664</v>
      </c>
      <c r="F17" s="34">
        <f>SUMIFS('OEE AHV'!M:M,'OEE AHV'!$B:$B,'AHV-05'!$A17,'OEE AHV'!$D:$D,'AHV-05'!$A$1)</f>
        <v>1326.3697916666667</v>
      </c>
      <c r="G17" s="37">
        <f t="shared" si="3"/>
        <v>67</v>
      </c>
      <c r="H17" s="38">
        <f t="shared" si="4"/>
        <v>0.96603772153435308</v>
      </c>
      <c r="I17" s="38">
        <f t="shared" si="9"/>
        <v>0.95</v>
      </c>
      <c r="J17" s="39"/>
      <c r="K17" s="40">
        <f>SUMIFS('OEE AHV'!Q:Q,'OEE AHV'!$B:$B,'AHV-05'!$A17,'OEE AHV'!$D:$D,'AHV-05'!$A$1)</f>
        <v>19448</v>
      </c>
      <c r="L17" s="38">
        <f t="shared" si="5"/>
        <v>1</v>
      </c>
      <c r="M17" s="38">
        <f t="shared" si="10"/>
        <v>0.99</v>
      </c>
      <c r="N17" s="41" t="s">
        <v>118</v>
      </c>
      <c r="O17" s="38">
        <f t="shared" si="6"/>
        <v>1</v>
      </c>
      <c r="P17" s="38">
        <f t="shared" si="11"/>
        <v>1</v>
      </c>
      <c r="Q17" s="38">
        <f t="shared" si="7"/>
        <v>0.96603772153435308</v>
      </c>
      <c r="R17" s="38">
        <f t="shared" si="7"/>
        <v>0.9405</v>
      </c>
      <c r="S17" s="42">
        <f>ROUNDUP((('AHV-05'!$F17/480)/3),"0")</f>
        <v>1</v>
      </c>
      <c r="T17" s="43">
        <f t="shared" si="8"/>
        <v>19448</v>
      </c>
      <c r="U17" s="33" t="str">
        <f t="shared" si="12"/>
        <v>FY2025_MLS_Spindle Motor_Spindle Motor(FDB UNIT)_Bang Pa-in</v>
      </c>
    </row>
    <row r="18" spans="1:21" ht="18.75">
      <c r="A18" s="44">
        <v>46072</v>
      </c>
      <c r="B18" s="34">
        <f>SUMIFS('OEE AHV'!J:J,'OEE AHV'!$B:$B,'AHV-05'!$A18,'OEE AHV'!$D:$D,'AHV-05'!$A$1)</f>
        <v>113.59830729166667</v>
      </c>
      <c r="C18" s="35">
        <f t="shared" si="0"/>
        <v>103.1047634548611</v>
      </c>
      <c r="D18" s="34">
        <f t="shared" si="1"/>
        <v>36</v>
      </c>
      <c r="E18" s="36">
        <f t="shared" si="2"/>
        <v>32.541666666666664</v>
      </c>
      <c r="F18" s="34">
        <f>SUMIFS('OEE AHV'!M:M,'OEE AHV'!$B:$B,'AHV-05'!$A18,'OEE AHV'!$D:$D,'AHV-05'!$A$1)</f>
        <v>1326.4016927083333</v>
      </c>
      <c r="G18" s="37">
        <f t="shared" si="3"/>
        <v>67</v>
      </c>
      <c r="H18" s="38">
        <f t="shared" si="4"/>
        <v>0.96606095608764253</v>
      </c>
      <c r="I18" s="38">
        <f t="shared" si="9"/>
        <v>0.95</v>
      </c>
      <c r="J18" s="39"/>
      <c r="K18" s="40">
        <f>SUMIFS('OEE AHV'!Q:Q,'OEE AHV'!$B:$B,'AHV-05'!$A18,'OEE AHV'!$D:$D,'AHV-05'!$A$1)</f>
        <v>19441</v>
      </c>
      <c r="L18" s="38">
        <f t="shared" si="5"/>
        <v>1</v>
      </c>
      <c r="M18" s="38">
        <f t="shared" si="10"/>
        <v>0.99</v>
      </c>
      <c r="N18" s="41" t="s">
        <v>118</v>
      </c>
      <c r="O18" s="38">
        <f t="shared" si="6"/>
        <v>1</v>
      </c>
      <c r="P18" s="38">
        <f t="shared" si="11"/>
        <v>1</v>
      </c>
      <c r="Q18" s="38">
        <f t="shared" ref="Q18:R25" si="13">IFERROR(IF(AND(H18="",L18="",O18="")=TRUE,"",IF(H18="",1,H18)*IF(L18="",1,L18)*IF(O18="",1,O18)),"")</f>
        <v>0.96606095608764253</v>
      </c>
      <c r="R18" s="38">
        <f t="shared" si="13"/>
        <v>0.9405</v>
      </c>
      <c r="S18" s="42">
        <f>ROUNDUP((('AHV-05'!$F18/480)/3),"0")</f>
        <v>1</v>
      </c>
      <c r="T18" s="43">
        <f t="shared" si="8"/>
        <v>19441</v>
      </c>
      <c r="U18" s="33" t="str">
        <f t="shared" si="12"/>
        <v>FY2025_MLS_Spindle Motor_Spindle Motor(FDB UNIT)_Bang Pa-in</v>
      </c>
    </row>
    <row r="19" spans="1:21" ht="18.75">
      <c r="A19" s="44">
        <v>46073</v>
      </c>
      <c r="B19" s="34">
        <f>SUMIFS('OEE AHV'!J:J,'OEE AHV'!$B:$B,'AHV-05'!$A19,'OEE AHV'!$D:$D,'AHV-05'!$A$1)</f>
        <v>115.93619791666667</v>
      </c>
      <c r="C19" s="35">
        <f t="shared" si="0"/>
        <v>103.1047634548611</v>
      </c>
      <c r="D19" s="34">
        <f t="shared" si="1"/>
        <v>37</v>
      </c>
      <c r="E19" s="36">
        <f t="shared" si="2"/>
        <v>32.541666666666664</v>
      </c>
      <c r="F19" s="34">
        <f>SUMIFS('OEE AHV'!M:M,'OEE AHV'!$B:$B,'AHV-05'!$A19,'OEE AHV'!$D:$D,'AHV-05'!$A$1)</f>
        <v>1324.0638020833333</v>
      </c>
      <c r="G19" s="37">
        <f t="shared" si="3"/>
        <v>70</v>
      </c>
      <c r="H19" s="38">
        <f t="shared" si="4"/>
        <v>0.96646992852798053</v>
      </c>
      <c r="I19" s="38">
        <f t="shared" si="9"/>
        <v>0.95</v>
      </c>
      <c r="J19" s="39"/>
      <c r="K19" s="40">
        <f>SUMIFS('OEE AHV'!Q:Q,'OEE AHV'!$B:$B,'AHV-05'!$A19,'OEE AHV'!$D:$D,'AHV-05'!$A$1)</f>
        <v>19954</v>
      </c>
      <c r="L19" s="38">
        <f t="shared" si="5"/>
        <v>1</v>
      </c>
      <c r="M19" s="38">
        <f t="shared" si="10"/>
        <v>0.99</v>
      </c>
      <c r="N19" s="41" t="s">
        <v>118</v>
      </c>
      <c r="O19" s="38">
        <f t="shared" si="6"/>
        <v>1</v>
      </c>
      <c r="P19" s="38">
        <f t="shared" si="11"/>
        <v>1</v>
      </c>
      <c r="Q19" s="38">
        <f t="shared" si="13"/>
        <v>0.96646992852798053</v>
      </c>
      <c r="R19" s="38">
        <f t="shared" si="13"/>
        <v>0.9405</v>
      </c>
      <c r="S19" s="42">
        <f>ROUNDUP((('AHV-05'!$F19/480)/3),"0")</f>
        <v>1</v>
      </c>
      <c r="T19" s="43">
        <f t="shared" si="8"/>
        <v>19954</v>
      </c>
      <c r="U19" s="33" t="str">
        <f t="shared" si="12"/>
        <v>FY2025_MLS_Spindle Motor_Spindle Motor(FDB UNIT)_Bang Pa-in</v>
      </c>
    </row>
    <row r="20" spans="1:21" ht="18.75">
      <c r="A20" s="44">
        <v>46074</v>
      </c>
      <c r="B20" s="34">
        <f>SUMIFS('OEE AHV'!J:J,'OEE AHV'!$B:$B,'AHV-05'!$A20,'OEE AHV'!$D:$D,'AHV-05'!$A$1)</f>
        <v>113.56184895833333</v>
      </c>
      <c r="C20" s="35">
        <f t="shared" si="0"/>
        <v>103.1047634548611</v>
      </c>
      <c r="D20" s="34">
        <f t="shared" si="1"/>
        <v>36</v>
      </c>
      <c r="E20" s="36">
        <f t="shared" si="2"/>
        <v>32.541666666666664</v>
      </c>
      <c r="F20" s="34">
        <f>SUMIFS('OEE AHV'!M:M,'OEE AHV'!$B:$B,'AHV-05'!$A20,'OEE AHV'!$D:$D,'AHV-05'!$A$1)</f>
        <v>1326.4381510416667</v>
      </c>
      <c r="G20" s="37">
        <f t="shared" si="3"/>
        <v>67</v>
      </c>
      <c r="H20" s="38">
        <f t="shared" si="4"/>
        <v>0.96608750986283087</v>
      </c>
      <c r="I20" s="38">
        <f t="shared" si="9"/>
        <v>0.95</v>
      </c>
      <c r="J20" s="39"/>
      <c r="K20" s="40">
        <f>SUMIFS('OEE AHV'!Q:Q,'OEE AHV'!$B:$B,'AHV-05'!$A20,'OEE AHV'!$D:$D,'AHV-05'!$A$1)</f>
        <v>19433</v>
      </c>
      <c r="L20" s="38">
        <f t="shared" si="5"/>
        <v>1</v>
      </c>
      <c r="M20" s="38">
        <f t="shared" si="10"/>
        <v>0.99</v>
      </c>
      <c r="N20" s="41" t="s">
        <v>118</v>
      </c>
      <c r="O20" s="38">
        <f t="shared" si="6"/>
        <v>1</v>
      </c>
      <c r="P20" s="38">
        <f t="shared" si="11"/>
        <v>1</v>
      </c>
      <c r="Q20" s="38">
        <f t="shared" si="13"/>
        <v>0.96608750986283087</v>
      </c>
      <c r="R20" s="38">
        <f t="shared" si="13"/>
        <v>0.9405</v>
      </c>
      <c r="S20" s="42">
        <f>ROUNDUP((('AHV-05'!$F20/480)/3),"0")</f>
        <v>1</v>
      </c>
      <c r="T20" s="43">
        <f t="shared" si="8"/>
        <v>19433</v>
      </c>
      <c r="U20" s="33" t="str">
        <f t="shared" si="12"/>
        <v>FY2025_MLS_Spindle Motor_Spindle Motor(FDB UNIT)_Bang Pa-in</v>
      </c>
    </row>
    <row r="21" spans="1:21" ht="18.75">
      <c r="A21" s="44">
        <v>46076</v>
      </c>
      <c r="B21" s="34">
        <f>SUMIFS('OEE AHV'!J:J,'OEE AHV'!$B:$B,'AHV-05'!$A21,'OEE AHV'!$D:$D,'AHV-05'!$A$1)</f>
        <v>111.24674479166666</v>
      </c>
      <c r="C21" s="35">
        <f t="shared" si="0"/>
        <v>103.1047634548611</v>
      </c>
      <c r="D21" s="34">
        <f t="shared" si="1"/>
        <v>36</v>
      </c>
      <c r="E21" s="36">
        <f t="shared" si="2"/>
        <v>32.541666666666664</v>
      </c>
      <c r="F21" s="34">
        <f>SUMIFS('OEE AHV'!M:M,'OEE AHV'!$B:$B,'AHV-05'!$A21,'OEE AHV'!$D:$D,'AHV-05'!$A$1)</f>
        <v>1328.7532552083333</v>
      </c>
      <c r="G21" s="37">
        <f t="shared" si="3"/>
        <v>65</v>
      </c>
      <c r="H21" s="38">
        <f t="shared" si="4"/>
        <v>0.96636600378787874</v>
      </c>
      <c r="I21" s="38">
        <f t="shared" si="9"/>
        <v>0.95</v>
      </c>
      <c r="J21" s="39"/>
      <c r="K21" s="40">
        <f>SUMIFS('OEE AHV'!Q:Q,'OEE AHV'!$B:$B,'AHV-05'!$A21,'OEE AHV'!$D:$D,'AHV-05'!$A$1)</f>
        <v>18925</v>
      </c>
      <c r="L21" s="38">
        <f t="shared" si="5"/>
        <v>1</v>
      </c>
      <c r="M21" s="38">
        <f t="shared" si="10"/>
        <v>0.99</v>
      </c>
      <c r="N21" s="41" t="s">
        <v>118</v>
      </c>
      <c r="O21" s="38">
        <f t="shared" si="6"/>
        <v>1</v>
      </c>
      <c r="P21" s="38">
        <f t="shared" si="11"/>
        <v>1</v>
      </c>
      <c r="Q21" s="38">
        <f t="shared" si="13"/>
        <v>0.96636600378787874</v>
      </c>
      <c r="R21" s="38">
        <f t="shared" si="13"/>
        <v>0.9405</v>
      </c>
      <c r="S21" s="42">
        <f>ROUNDUP((('AHV-05'!$F21/480)/3),"0")</f>
        <v>1</v>
      </c>
      <c r="T21" s="43">
        <f t="shared" si="8"/>
        <v>18925</v>
      </c>
      <c r="U21" s="33" t="str">
        <f t="shared" si="12"/>
        <v>FY2025_MLS_Spindle Motor_Spindle Motor(FDB UNIT)_Bang Pa-in</v>
      </c>
    </row>
    <row r="22" spans="1:21" ht="18.75">
      <c r="A22" s="44">
        <v>46077</v>
      </c>
      <c r="B22" s="34">
        <f>SUMIFS('OEE AHV'!J:J,'OEE AHV'!$B:$B,'AHV-05'!$A22,'OEE AHV'!$D:$D,'AHV-05'!$A$1)</f>
        <v>101.93619791666667</v>
      </c>
      <c r="C22" s="35">
        <f t="shared" si="0"/>
        <v>103.1047634548611</v>
      </c>
      <c r="D22" s="34">
        <f t="shared" si="1"/>
        <v>33</v>
      </c>
      <c r="E22" s="36">
        <f t="shared" si="2"/>
        <v>32.541666666666664</v>
      </c>
      <c r="F22" s="34">
        <f>SUMIFS('OEE AHV'!M:M,'OEE AHV'!$B:$B,'AHV-05'!$A22,'OEE AHV'!$D:$D,'AHV-05'!$A$1)</f>
        <v>1338.0638020833333</v>
      </c>
      <c r="G22" s="37">
        <f t="shared" si="3"/>
        <v>56</v>
      </c>
      <c r="H22" s="38">
        <f t="shared" si="4"/>
        <v>0.96680910555154143</v>
      </c>
      <c r="I22" s="38">
        <f t="shared" si="9"/>
        <v>0.95</v>
      </c>
      <c r="J22" s="39"/>
      <c r="K22" s="40">
        <f>SUMIFS('OEE AHV'!Q:Q,'OEE AHV'!$B:$B,'AHV-05'!$A22,'OEE AHV'!$D:$D,'AHV-05'!$A$1)</f>
        <v>16882</v>
      </c>
      <c r="L22" s="38">
        <f t="shared" si="5"/>
        <v>1</v>
      </c>
      <c r="M22" s="38">
        <f t="shared" si="10"/>
        <v>0.99</v>
      </c>
      <c r="N22" s="41" t="s">
        <v>118</v>
      </c>
      <c r="O22" s="38">
        <f t="shared" si="6"/>
        <v>1</v>
      </c>
      <c r="P22" s="38">
        <f t="shared" si="11"/>
        <v>1</v>
      </c>
      <c r="Q22" s="38">
        <f t="shared" si="13"/>
        <v>0.96680910555154143</v>
      </c>
      <c r="R22" s="38">
        <f t="shared" si="13"/>
        <v>0.9405</v>
      </c>
      <c r="S22" s="42">
        <f>ROUNDUP((('AHV-05'!$F22/480)/3),"0")</f>
        <v>1</v>
      </c>
      <c r="T22" s="43">
        <f t="shared" si="8"/>
        <v>16882</v>
      </c>
      <c r="U22" s="33" t="str">
        <f t="shared" si="12"/>
        <v>FY2025_MLS_Spindle Motor_Spindle Motor(FDB UNIT)_Bang Pa-in</v>
      </c>
    </row>
    <row r="23" spans="1:21" ht="18.75">
      <c r="A23" s="44">
        <v>46078</v>
      </c>
      <c r="B23" s="34">
        <f>SUMIFS('OEE AHV'!J:J,'OEE AHV'!$B:$B,'AHV-05'!$A23,'OEE AHV'!$D:$D,'AHV-05'!$A$1)</f>
        <v>113.61197916666667</v>
      </c>
      <c r="C23" s="35">
        <f t="shared" si="0"/>
        <v>103.1047634548611</v>
      </c>
      <c r="D23" s="34">
        <f t="shared" si="1"/>
        <v>36</v>
      </c>
      <c r="E23" s="36">
        <f t="shared" si="2"/>
        <v>32.541666666666664</v>
      </c>
      <c r="F23" s="34">
        <f>SUMIFS('OEE AHV'!M:M,'OEE AHV'!$B:$B,'AHV-05'!$A23,'OEE AHV'!$D:$D,'AHV-05'!$A$1)</f>
        <v>1326.3880208333333</v>
      </c>
      <c r="G23" s="37">
        <f t="shared" si="3"/>
        <v>67</v>
      </c>
      <c r="H23" s="38">
        <f t="shared" si="4"/>
        <v>0.96605099842194697</v>
      </c>
      <c r="I23" s="38">
        <f t="shared" si="9"/>
        <v>0.95</v>
      </c>
      <c r="J23" s="39"/>
      <c r="K23" s="40">
        <f>SUMIFS('OEE AHV'!Q:Q,'OEE AHV'!$B:$B,'AHV-05'!$A23,'OEE AHV'!$D:$D,'AHV-05'!$A$1)</f>
        <v>19444</v>
      </c>
      <c r="L23" s="38">
        <f t="shared" si="5"/>
        <v>1</v>
      </c>
      <c r="M23" s="38">
        <f t="shared" si="10"/>
        <v>0.99</v>
      </c>
      <c r="N23" s="41" t="s">
        <v>118</v>
      </c>
      <c r="O23" s="38">
        <f t="shared" si="6"/>
        <v>1</v>
      </c>
      <c r="P23" s="38">
        <f t="shared" si="11"/>
        <v>1</v>
      </c>
      <c r="Q23" s="38">
        <f t="shared" si="13"/>
        <v>0.96605099842194697</v>
      </c>
      <c r="R23" s="38">
        <f t="shared" si="13"/>
        <v>0.9405</v>
      </c>
      <c r="S23" s="42">
        <f>ROUNDUP((('AHV-05'!$F23/480)/3),"0")</f>
        <v>1</v>
      </c>
      <c r="T23" s="43">
        <f t="shared" si="8"/>
        <v>19444</v>
      </c>
      <c r="U23" s="33" t="str">
        <f t="shared" si="12"/>
        <v>FY2025_MLS_Spindle Motor_Spindle Motor(FDB UNIT)_Bang Pa-in</v>
      </c>
    </row>
    <row r="24" spans="1:21" ht="18.75">
      <c r="A24" s="44">
        <v>46079</v>
      </c>
      <c r="B24" s="34">
        <f>SUMIFS('OEE AHV'!J:J,'OEE AHV'!$B:$B,'AHV-05'!$A24,'OEE AHV'!$D:$D,'AHV-05'!$A$1)</f>
        <v>97.26953125</v>
      </c>
      <c r="C24" s="35">
        <f t="shared" si="0"/>
        <v>103.1047634548611</v>
      </c>
      <c r="D24" s="34">
        <f t="shared" si="1"/>
        <v>32</v>
      </c>
      <c r="E24" s="36">
        <f t="shared" si="2"/>
        <v>32.541666666666664</v>
      </c>
      <c r="F24" s="34">
        <f>SUMIFS('OEE AHV'!M:M,'OEE AHV'!$B:$B,'AHV-05'!$A24,'OEE AHV'!$D:$D,'AHV-05'!$A$1)</f>
        <v>1342.73046875</v>
      </c>
      <c r="G24" s="37">
        <f t="shared" si="3"/>
        <v>51</v>
      </c>
      <c r="H24" s="38">
        <f t="shared" si="4"/>
        <v>0.9666886024118071</v>
      </c>
      <c r="I24" s="38">
        <f t="shared" si="9"/>
        <v>0.95</v>
      </c>
      <c r="J24" s="39"/>
      <c r="K24" s="40">
        <f>SUMIFS('OEE AHV'!Q:Q,'OEE AHV'!$B:$B,'AHV-05'!$A24,'OEE AHV'!$D:$D,'AHV-05'!$A$1)</f>
        <v>15858</v>
      </c>
      <c r="L24" s="38">
        <f t="shared" si="5"/>
        <v>1</v>
      </c>
      <c r="M24" s="38">
        <f t="shared" si="10"/>
        <v>0.99</v>
      </c>
      <c r="N24" s="41" t="s">
        <v>118</v>
      </c>
      <c r="O24" s="38">
        <f t="shared" si="6"/>
        <v>1</v>
      </c>
      <c r="P24" s="38">
        <f t="shared" si="11"/>
        <v>1</v>
      </c>
      <c r="Q24" s="38">
        <f t="shared" si="13"/>
        <v>0.9666886024118071</v>
      </c>
      <c r="R24" s="38">
        <f t="shared" si="13"/>
        <v>0.9405</v>
      </c>
      <c r="S24" s="42">
        <f>ROUNDUP((('AHV-05'!$F24/480)/3),"0")</f>
        <v>1</v>
      </c>
      <c r="T24" s="43">
        <f t="shared" si="8"/>
        <v>15858</v>
      </c>
      <c r="U24" s="33" t="str">
        <f t="shared" si="12"/>
        <v>FY2025_MLS_Spindle Motor_Spindle Motor(FDB UNIT)_Bang Pa-in</v>
      </c>
    </row>
    <row r="25" spans="1:21" ht="18.75">
      <c r="A25" s="44">
        <v>46080</v>
      </c>
      <c r="B25" s="34">
        <f>SUMIFS('OEE AHV'!J:J,'OEE AHV'!$B:$B,'AHV-05'!$A25,'OEE AHV'!$D:$D,'AHV-05'!$A$1)</f>
        <v>106.57096354166667</v>
      </c>
      <c r="C25" s="35">
        <f t="shared" si="0"/>
        <v>103.1047634548611</v>
      </c>
      <c r="D25" s="34">
        <f t="shared" si="1"/>
        <v>34</v>
      </c>
      <c r="E25" s="36">
        <f t="shared" si="2"/>
        <v>32.541666666666664</v>
      </c>
      <c r="F25" s="34">
        <f>SUMIFS('OEE AHV'!M:M,'OEE AHV'!$B:$B,'AHV-05'!$A25,'OEE AHV'!$D:$D,'AHV-05'!$A$1)</f>
        <v>1333.4290364583333</v>
      </c>
      <c r="G25" s="37">
        <f t="shared" si="3"/>
        <v>60</v>
      </c>
      <c r="H25" s="38">
        <f t="shared" si="4"/>
        <v>0.96625292496980675</v>
      </c>
      <c r="I25" s="38">
        <f t="shared" si="9"/>
        <v>0.95</v>
      </c>
      <c r="J25" s="39"/>
      <c r="K25" s="40">
        <f>SUMIFS('OEE AHV'!Q:Q,'OEE AHV'!$B:$B,'AHV-05'!$A25,'OEE AHV'!$D:$D,'AHV-05'!$A$1)</f>
        <v>17899</v>
      </c>
      <c r="L25" s="38">
        <f t="shared" si="5"/>
        <v>1</v>
      </c>
      <c r="M25" s="38">
        <f t="shared" si="10"/>
        <v>0.99</v>
      </c>
      <c r="N25" s="41" t="s">
        <v>118</v>
      </c>
      <c r="O25" s="38">
        <f t="shared" si="6"/>
        <v>1</v>
      </c>
      <c r="P25" s="38">
        <f t="shared" si="11"/>
        <v>1</v>
      </c>
      <c r="Q25" s="38">
        <f t="shared" si="13"/>
        <v>0.96625292496980675</v>
      </c>
      <c r="R25" s="38">
        <f t="shared" si="13"/>
        <v>0.9405</v>
      </c>
      <c r="S25" s="42">
        <f>ROUNDUP((('AHV-05'!$F25/480)/3),"0")</f>
        <v>1</v>
      </c>
      <c r="T25" s="43">
        <f t="shared" si="8"/>
        <v>17899</v>
      </c>
      <c r="U25" s="33" t="str">
        <f t="shared" si="12"/>
        <v>FY2025_MLS_Spindle Motor_Spindle Motor(FDB UNIT)_Bang Pa-in</v>
      </c>
    </row>
    <row r="26" spans="1:21" ht="18.7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8"/>
      <c r="T26" s="45"/>
      <c r="U26" s="45"/>
    </row>
    <row r="27" spans="1:21" ht="18.7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8"/>
      <c r="T27" s="45"/>
      <c r="U27" s="45"/>
    </row>
    <row r="28" spans="1:21" ht="18.7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8"/>
      <c r="T28" s="45"/>
      <c r="U28" s="45"/>
    </row>
    <row r="29" spans="1:21" ht="18.7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8"/>
      <c r="T29" s="45"/>
      <c r="U29" s="45"/>
    </row>
    <row r="30" spans="1:21" ht="18.7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8"/>
      <c r="T30" s="45"/>
      <c r="U30" s="45"/>
    </row>
    <row r="31" spans="1:21" ht="18.7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8"/>
      <c r="T31" s="45"/>
      <c r="U31" s="45"/>
    </row>
    <row r="32" spans="1:21" ht="18.7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8"/>
      <c r="T32" s="45"/>
      <c r="U32" s="45"/>
    </row>
    <row r="33" spans="1:21" ht="18.7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8"/>
      <c r="T33" s="45"/>
      <c r="U33" s="45"/>
    </row>
    <row r="34" spans="1:21" ht="18.7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8"/>
      <c r="T34" s="45"/>
      <c r="U34" s="45"/>
    </row>
    <row r="35" spans="1:21" ht="18.7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8"/>
      <c r="T35" s="45"/>
      <c r="U35" s="45"/>
    </row>
    <row r="36" spans="1:21" ht="18.7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8"/>
      <c r="T36" s="45"/>
      <c r="U36" s="45"/>
    </row>
    <row r="37" spans="1:21" ht="18.7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8"/>
      <c r="T37" s="45"/>
      <c r="U37" s="45"/>
    </row>
    <row r="38" spans="1:21" ht="18.7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8"/>
      <c r="T38" s="45"/>
      <c r="U38" s="45"/>
    </row>
    <row r="39" spans="1:21" ht="18.7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8"/>
      <c r="T39" s="45"/>
      <c r="U39" s="45"/>
    </row>
    <row r="40" spans="1:21" ht="18.7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8"/>
      <c r="T40" s="45"/>
      <c r="U40" s="45"/>
    </row>
    <row r="41" spans="1:21" ht="18.7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8"/>
      <c r="T41" s="45"/>
      <c r="U41" s="45"/>
    </row>
    <row r="42" spans="1:21" ht="18.7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8"/>
      <c r="T42" s="45"/>
      <c r="U42" s="45"/>
    </row>
    <row r="43" spans="1:21" ht="18.7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8"/>
      <c r="T43" s="45"/>
      <c r="U43" s="45"/>
    </row>
    <row r="44" spans="1:21" ht="18.7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8"/>
      <c r="T44" s="45"/>
      <c r="U44" s="45"/>
    </row>
    <row r="45" spans="1:21" ht="18.7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8"/>
      <c r="T45" s="45"/>
      <c r="U45" s="45"/>
    </row>
    <row r="46" spans="1:21" ht="18.7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8"/>
      <c r="T46" s="45"/>
      <c r="U46" s="45"/>
    </row>
    <row r="47" spans="1:21" ht="18.7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8"/>
      <c r="T47" s="45"/>
      <c r="U47" s="45"/>
    </row>
    <row r="48" spans="1:21" ht="18.7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8"/>
      <c r="T48" s="45"/>
      <c r="U48" s="45"/>
    </row>
    <row r="49" spans="1:21" ht="18.7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8"/>
      <c r="T49" s="45"/>
      <c r="U49" s="45"/>
    </row>
    <row r="50" spans="1:21" ht="18.7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8"/>
      <c r="T50" s="45"/>
      <c r="U50" s="45"/>
    </row>
    <row r="51" spans="1:21" ht="18.7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8"/>
      <c r="T51" s="45"/>
      <c r="U51" s="45"/>
    </row>
    <row r="52" spans="1:21" ht="18.7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8"/>
      <c r="T52" s="45"/>
      <c r="U52" s="45"/>
    </row>
    <row r="53" spans="1:21" ht="18.7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8"/>
      <c r="T53" s="45"/>
      <c r="U53" s="45"/>
    </row>
    <row r="54" spans="1:21" ht="18.7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8"/>
      <c r="T54" s="45"/>
      <c r="U54" s="45"/>
    </row>
    <row r="55" spans="1:21" ht="18.7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8"/>
      <c r="T55" s="45"/>
      <c r="U55" s="45"/>
    </row>
    <row r="56" spans="1:21" ht="18.7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8"/>
      <c r="T56" s="45"/>
      <c r="U56" s="45"/>
    </row>
    <row r="57" spans="1:21" ht="18.7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8"/>
      <c r="T57" s="45"/>
      <c r="U57" s="45"/>
    </row>
    <row r="58" spans="1:21" ht="18.7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8"/>
      <c r="T58" s="45"/>
      <c r="U58" s="45"/>
    </row>
    <row r="59" spans="1:21" ht="18.7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8"/>
      <c r="T59" s="45"/>
      <c r="U59" s="45"/>
    </row>
    <row r="60" spans="1:21" ht="18.7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8"/>
      <c r="T60" s="45"/>
      <c r="U60" s="45"/>
    </row>
    <row r="61" spans="1:21" ht="18.7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8"/>
      <c r="T61" s="45"/>
      <c r="U61" s="45"/>
    </row>
    <row r="62" spans="1:21" ht="18.7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8"/>
      <c r="T62" s="45"/>
      <c r="U62" s="45"/>
    </row>
    <row r="63" spans="1:21" ht="18.7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8"/>
      <c r="T63" s="45"/>
      <c r="U63" s="45"/>
    </row>
    <row r="64" spans="1:21" ht="18.7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8"/>
      <c r="T64" s="45"/>
      <c r="U64" s="45"/>
    </row>
    <row r="65" spans="1:21" ht="18.7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8"/>
      <c r="T65" s="45"/>
      <c r="U65" s="45"/>
    </row>
    <row r="66" spans="1:21" ht="18.7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8"/>
      <c r="T66" s="45"/>
      <c r="U66" s="45"/>
    </row>
    <row r="67" spans="1:21" ht="18.7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8"/>
      <c r="T67" s="45"/>
      <c r="U67" s="45"/>
    </row>
    <row r="68" spans="1:21" ht="18.7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8"/>
      <c r="T68" s="45"/>
      <c r="U68" s="45"/>
    </row>
    <row r="69" spans="1:21" ht="18.7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8"/>
      <c r="T69" s="45"/>
      <c r="U69" s="45"/>
    </row>
    <row r="70" spans="1:21" ht="18.7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8"/>
      <c r="T70" s="45"/>
      <c r="U70" s="45"/>
    </row>
    <row r="71" spans="1:21" ht="18.7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8"/>
      <c r="T71" s="45"/>
      <c r="U71" s="45"/>
    </row>
    <row r="72" spans="1:21" ht="18.7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8"/>
      <c r="T72" s="45"/>
      <c r="U72" s="45"/>
    </row>
    <row r="73" spans="1:21" ht="18.7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8"/>
      <c r="T73" s="45"/>
      <c r="U73" s="45"/>
    </row>
    <row r="74" spans="1:21" ht="18.7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8"/>
      <c r="T74" s="45"/>
      <c r="U74" s="45"/>
    </row>
    <row r="75" spans="1:21" ht="18.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8"/>
      <c r="T75" s="45"/>
      <c r="U75" s="45"/>
    </row>
    <row r="76" spans="1:21" ht="18.7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8"/>
      <c r="T76" s="45"/>
      <c r="U76" s="45"/>
    </row>
    <row r="77" spans="1:21" ht="18.7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8"/>
      <c r="T77" s="45"/>
      <c r="U77" s="45"/>
    </row>
    <row r="78" spans="1:21" ht="18.7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8"/>
      <c r="T78" s="45"/>
      <c r="U78" s="45"/>
    </row>
    <row r="79" spans="1:21" ht="18.7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8"/>
      <c r="T79" s="45"/>
      <c r="U79" s="45"/>
    </row>
    <row r="80" spans="1:21" ht="18.7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8"/>
      <c r="T80" s="45"/>
      <c r="U80" s="45"/>
    </row>
    <row r="81" spans="1:21" ht="18.7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8"/>
      <c r="T81" s="45"/>
      <c r="U81" s="45"/>
    </row>
    <row r="82" spans="1:21" ht="18.7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8"/>
      <c r="T82" s="45"/>
      <c r="U82" s="45"/>
    </row>
    <row r="83" spans="1:21" ht="18.7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8"/>
      <c r="T83" s="45"/>
      <c r="U83" s="45"/>
    </row>
    <row r="84" spans="1:21" ht="18.7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8"/>
      <c r="T84" s="45"/>
      <c r="U84" s="45"/>
    </row>
    <row r="85" spans="1:21" ht="18.7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8"/>
      <c r="T85" s="45"/>
      <c r="U85" s="45"/>
    </row>
    <row r="86" spans="1:21" ht="18.7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8"/>
      <c r="T86" s="45"/>
      <c r="U86" s="45"/>
    </row>
    <row r="87" spans="1:21" ht="18.7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8"/>
      <c r="T87" s="45"/>
      <c r="U87" s="45"/>
    </row>
    <row r="88" spans="1:21" ht="18.7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8"/>
      <c r="T88" s="45"/>
      <c r="U88" s="45"/>
    </row>
    <row r="89" spans="1:21" ht="18.7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8"/>
      <c r="T89" s="45"/>
      <c r="U89" s="45"/>
    </row>
    <row r="90" spans="1:21" ht="18.7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8"/>
      <c r="T90" s="45"/>
      <c r="U90" s="45"/>
    </row>
    <row r="91" spans="1:21" ht="18.7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8"/>
      <c r="T91" s="45"/>
      <c r="U91" s="45"/>
    </row>
    <row r="92" spans="1:21" ht="18.7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8"/>
      <c r="T92" s="45"/>
      <c r="U92" s="45"/>
    </row>
    <row r="93" spans="1:21" ht="18.7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8"/>
      <c r="T93" s="45"/>
      <c r="U93" s="45"/>
    </row>
    <row r="94" spans="1:21" ht="18.7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8"/>
      <c r="T94" s="45"/>
      <c r="U94" s="45"/>
    </row>
    <row r="95" spans="1:21" ht="18.7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8"/>
      <c r="T95" s="45"/>
      <c r="U95" s="45"/>
    </row>
    <row r="96" spans="1:21" ht="18.7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8"/>
      <c r="T96" s="45"/>
      <c r="U96" s="45"/>
    </row>
    <row r="97" spans="1:21" ht="18.7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8"/>
      <c r="T97" s="45"/>
      <c r="U97" s="45"/>
    </row>
    <row r="98" spans="1:21" ht="18.7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8"/>
      <c r="T98" s="45"/>
      <c r="U98" s="45"/>
    </row>
    <row r="99" spans="1:21" ht="18.7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8"/>
      <c r="T99" s="45"/>
      <c r="U99" s="45"/>
    </row>
    <row r="100" spans="1:21" ht="18.7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8"/>
      <c r="T100" s="45"/>
      <c r="U100" s="45"/>
    </row>
    <row r="101" spans="1:21" ht="18.7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8"/>
      <c r="T101" s="45"/>
      <c r="U101" s="45"/>
    </row>
    <row r="102" spans="1:21" ht="18.7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8"/>
      <c r="T102" s="45"/>
      <c r="U102" s="45"/>
    </row>
    <row r="103" spans="1:21" ht="18.7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8"/>
      <c r="T103" s="45"/>
      <c r="U103" s="45"/>
    </row>
    <row r="104" spans="1:21" ht="18.7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8"/>
      <c r="T104" s="45"/>
      <c r="U104" s="45"/>
    </row>
    <row r="105" spans="1:21" ht="18.7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8"/>
      <c r="T105" s="45"/>
      <c r="U105" s="45"/>
    </row>
    <row r="106" spans="1:21" ht="18.7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8"/>
      <c r="T106" s="45"/>
      <c r="U106" s="45"/>
    </row>
    <row r="107" spans="1:21" ht="18.7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8"/>
      <c r="T107" s="45"/>
      <c r="U107" s="45"/>
    </row>
    <row r="108" spans="1:21" ht="18.7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8"/>
      <c r="T108" s="45"/>
      <c r="U108" s="45"/>
    </row>
    <row r="109" spans="1:21" ht="18.7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8"/>
      <c r="T109" s="45"/>
      <c r="U109" s="45"/>
    </row>
    <row r="110" spans="1:21" ht="18.7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8"/>
      <c r="T110" s="45"/>
      <c r="U110" s="45"/>
    </row>
    <row r="111" spans="1:21" ht="18.7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8"/>
      <c r="T111" s="45"/>
      <c r="U111" s="45"/>
    </row>
    <row r="112" spans="1:21" ht="18.7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8"/>
      <c r="T112" s="45"/>
      <c r="U112" s="45"/>
    </row>
    <row r="113" spans="1:21" ht="18.7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8"/>
      <c r="T113" s="45"/>
      <c r="U113" s="45"/>
    </row>
    <row r="114" spans="1:21" ht="18.7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8"/>
      <c r="T114" s="45"/>
      <c r="U114" s="45"/>
    </row>
    <row r="115" spans="1:21" ht="18.7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8"/>
      <c r="T115" s="45"/>
      <c r="U115" s="45"/>
    </row>
    <row r="116" spans="1:21" ht="18.7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8"/>
      <c r="T116" s="45"/>
      <c r="U116" s="45"/>
    </row>
    <row r="117" spans="1:21" ht="18.7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8"/>
      <c r="T117" s="45"/>
      <c r="U117" s="45"/>
    </row>
    <row r="118" spans="1:21" ht="18.7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8"/>
      <c r="T118" s="45"/>
      <c r="U118" s="45"/>
    </row>
    <row r="119" spans="1:21" ht="18.7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8"/>
      <c r="T119" s="45"/>
      <c r="U119" s="45"/>
    </row>
    <row r="120" spans="1:21" ht="18.7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8"/>
      <c r="T120" s="45"/>
      <c r="U120" s="45"/>
    </row>
    <row r="121" spans="1:21" ht="18.7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8"/>
      <c r="T121" s="45"/>
      <c r="U121" s="45"/>
    </row>
    <row r="122" spans="1:21" ht="18.7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8"/>
      <c r="T122" s="45"/>
      <c r="U122" s="45"/>
    </row>
    <row r="123" spans="1:21" ht="18.7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8"/>
      <c r="T123" s="45"/>
      <c r="U123" s="45"/>
    </row>
    <row r="124" spans="1:21" ht="18.7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8"/>
      <c r="T124" s="45"/>
      <c r="U124" s="45"/>
    </row>
    <row r="125" spans="1:21" ht="18.7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8"/>
      <c r="T125" s="45"/>
      <c r="U125" s="45"/>
    </row>
    <row r="126" spans="1:21" ht="18.7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8"/>
      <c r="T126" s="45"/>
      <c r="U126" s="45"/>
    </row>
    <row r="127" spans="1:21" ht="18.7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8"/>
      <c r="T127" s="45"/>
      <c r="U127" s="45"/>
    </row>
    <row r="128" spans="1:21" ht="18.7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8"/>
      <c r="T128" s="45"/>
      <c r="U128" s="45"/>
    </row>
    <row r="129" spans="1:21" ht="18.7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8"/>
      <c r="T129" s="45"/>
      <c r="U129" s="45"/>
    </row>
    <row r="130" spans="1:21" ht="18.7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8"/>
      <c r="T130" s="45"/>
      <c r="U130" s="45"/>
    </row>
    <row r="131" spans="1:21" ht="18.7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8"/>
      <c r="T131" s="45"/>
      <c r="U131" s="45"/>
    </row>
    <row r="132" spans="1:21" ht="18.7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8"/>
      <c r="T132" s="45"/>
      <c r="U132" s="45"/>
    </row>
    <row r="133" spans="1:21" ht="18.7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8"/>
      <c r="T133" s="45"/>
      <c r="U133" s="45"/>
    </row>
    <row r="134" spans="1:21" ht="18.7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8"/>
      <c r="T134" s="45"/>
      <c r="U134" s="45"/>
    </row>
    <row r="135" spans="1:21" ht="18.7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8"/>
      <c r="T135" s="45"/>
      <c r="U135" s="45"/>
    </row>
    <row r="136" spans="1:21" ht="18.7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8"/>
      <c r="T136" s="45"/>
      <c r="U136" s="45"/>
    </row>
    <row r="137" spans="1:21" ht="18.7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8"/>
      <c r="T137" s="45"/>
      <c r="U137" s="45"/>
    </row>
    <row r="138" spans="1:21" ht="18.7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8"/>
      <c r="T138" s="45"/>
      <c r="U138" s="45"/>
    </row>
    <row r="139" spans="1:21" ht="18.7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8"/>
      <c r="T139" s="45"/>
      <c r="U139" s="45"/>
    </row>
    <row r="140" spans="1:21" ht="18.7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8"/>
      <c r="T140" s="45"/>
      <c r="U140" s="45"/>
    </row>
    <row r="141" spans="1:21" ht="18.7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8"/>
      <c r="T141" s="45"/>
      <c r="U141" s="45"/>
    </row>
    <row r="142" spans="1:21" ht="18.7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8"/>
      <c r="T142" s="45"/>
      <c r="U142" s="45"/>
    </row>
    <row r="143" spans="1:21" ht="18.7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8"/>
      <c r="T143" s="45"/>
      <c r="U143" s="45"/>
    </row>
    <row r="144" spans="1:21" ht="18.7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8"/>
      <c r="T144" s="45"/>
      <c r="U144" s="45"/>
    </row>
    <row r="145" spans="1:21" ht="18.7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8"/>
      <c r="T145" s="45"/>
      <c r="U145" s="45"/>
    </row>
    <row r="146" spans="1:21" ht="18.7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8"/>
      <c r="T146" s="45"/>
      <c r="U146" s="45"/>
    </row>
    <row r="147" spans="1:21" ht="18.7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8"/>
      <c r="T147" s="45"/>
      <c r="U147" s="45"/>
    </row>
    <row r="148" spans="1:21" ht="18.7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8"/>
      <c r="T148" s="45"/>
      <c r="U148" s="45"/>
    </row>
    <row r="149" spans="1:21" ht="18.7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8"/>
      <c r="T149" s="45"/>
      <c r="U149" s="45"/>
    </row>
    <row r="150" spans="1:21" ht="18.7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8"/>
      <c r="T150" s="45"/>
      <c r="U150" s="45"/>
    </row>
    <row r="151" spans="1:21" ht="18.7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8"/>
      <c r="T151" s="45"/>
      <c r="U151" s="45"/>
    </row>
    <row r="152" spans="1:21" ht="18.7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8"/>
      <c r="T152" s="45"/>
      <c r="U152" s="45"/>
    </row>
    <row r="153" spans="1:21" ht="18.7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8"/>
      <c r="T153" s="45"/>
      <c r="U153" s="45"/>
    </row>
    <row r="154" spans="1:21" ht="18.7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8"/>
      <c r="T154" s="45"/>
      <c r="U154" s="45"/>
    </row>
    <row r="155" spans="1:21" ht="18.7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8"/>
      <c r="T155" s="45"/>
      <c r="U155" s="45"/>
    </row>
    <row r="156" spans="1:21" ht="18.7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8"/>
      <c r="T156" s="45"/>
      <c r="U156" s="45"/>
    </row>
    <row r="157" spans="1:21" ht="18.7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8"/>
      <c r="T157" s="45"/>
      <c r="U157" s="45"/>
    </row>
    <row r="158" spans="1:21" ht="18.7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8"/>
      <c r="T158" s="45"/>
      <c r="U158" s="45"/>
    </row>
    <row r="159" spans="1:21" ht="18.7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8"/>
      <c r="T159" s="45"/>
      <c r="U159" s="45"/>
    </row>
    <row r="160" spans="1:21" ht="18.7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8"/>
      <c r="T160" s="45"/>
      <c r="U160" s="45"/>
    </row>
    <row r="161" spans="1:21" ht="18.7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8"/>
      <c r="T161" s="45"/>
      <c r="U161" s="45"/>
    </row>
    <row r="162" spans="1:21" ht="18.7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8"/>
      <c r="T162" s="45"/>
      <c r="U162" s="45"/>
    </row>
    <row r="163" spans="1:21" ht="18.7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8"/>
      <c r="T163" s="45"/>
      <c r="U163" s="45"/>
    </row>
    <row r="164" spans="1:21" ht="18.7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8"/>
      <c r="T164" s="45"/>
      <c r="U164" s="45"/>
    </row>
    <row r="165" spans="1:21" ht="18.7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8"/>
      <c r="T165" s="45"/>
      <c r="U165" s="45"/>
    </row>
    <row r="166" spans="1:21" ht="18.7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8"/>
      <c r="T166" s="45"/>
      <c r="U166" s="45"/>
    </row>
    <row r="167" spans="1:21" ht="18.7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8"/>
      <c r="T167" s="45"/>
      <c r="U167" s="45"/>
    </row>
    <row r="168" spans="1:21" ht="18.7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8"/>
      <c r="T168" s="45"/>
      <c r="U168" s="45"/>
    </row>
    <row r="169" spans="1:21" ht="18.7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8"/>
      <c r="T169" s="45"/>
      <c r="U169" s="45"/>
    </row>
    <row r="170" spans="1:21" ht="18.7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8"/>
      <c r="T170" s="45"/>
      <c r="U170" s="45"/>
    </row>
    <row r="171" spans="1:21" ht="18.7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8"/>
      <c r="T171" s="45"/>
      <c r="U171" s="45"/>
    </row>
    <row r="172" spans="1:21" ht="18.7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8"/>
      <c r="T172" s="45"/>
      <c r="U172" s="45"/>
    </row>
    <row r="173" spans="1:21" ht="18.7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8"/>
      <c r="T173" s="45"/>
      <c r="U173" s="45"/>
    </row>
    <row r="174" spans="1:21" ht="18.7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8"/>
      <c r="T174" s="45"/>
      <c r="U174" s="45"/>
    </row>
    <row r="175" spans="1:21" ht="18.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8"/>
      <c r="T175" s="45"/>
      <c r="U175" s="45"/>
    </row>
    <row r="176" spans="1:21" ht="18.7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8"/>
      <c r="T176" s="45"/>
      <c r="U176" s="45"/>
    </row>
    <row r="177" spans="1:21" ht="18.7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8"/>
      <c r="T177" s="45"/>
      <c r="U177" s="45"/>
    </row>
    <row r="178" spans="1:21" ht="18.7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8"/>
      <c r="T178" s="45"/>
      <c r="U178" s="45"/>
    </row>
    <row r="179" spans="1:21" ht="18.7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8"/>
      <c r="T179" s="45"/>
      <c r="U179" s="45"/>
    </row>
    <row r="180" spans="1:21" ht="18.7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8"/>
      <c r="T180" s="45"/>
      <c r="U180" s="45"/>
    </row>
    <row r="181" spans="1:21" ht="18.7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8"/>
      <c r="T181" s="45"/>
      <c r="U181" s="45"/>
    </row>
    <row r="182" spans="1:21" ht="18.7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8"/>
      <c r="T182" s="45"/>
      <c r="U182" s="45"/>
    </row>
    <row r="183" spans="1:21" ht="18.7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8"/>
      <c r="T183" s="45"/>
      <c r="U183" s="45"/>
    </row>
    <row r="184" spans="1:21" ht="18.7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8"/>
      <c r="T184" s="45"/>
      <c r="U184" s="45"/>
    </row>
    <row r="185" spans="1:21" ht="18.7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8"/>
      <c r="T185" s="45"/>
      <c r="U185" s="45"/>
    </row>
    <row r="186" spans="1:21" ht="18.7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8"/>
      <c r="T186" s="45"/>
      <c r="U186" s="45"/>
    </row>
    <row r="187" spans="1:21" ht="18.7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8"/>
      <c r="T187" s="45"/>
      <c r="U187" s="45"/>
    </row>
    <row r="188" spans="1:21" ht="18.7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8"/>
      <c r="T188" s="45"/>
      <c r="U188" s="45"/>
    </row>
    <row r="189" spans="1:21" ht="18.7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8"/>
      <c r="T189" s="45"/>
      <c r="U189" s="45"/>
    </row>
    <row r="190" spans="1:21" ht="18.7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8"/>
      <c r="T190" s="45"/>
      <c r="U190" s="45"/>
    </row>
    <row r="191" spans="1:21" ht="18.7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8"/>
      <c r="T191" s="45"/>
      <c r="U191" s="45"/>
    </row>
    <row r="192" spans="1:21" ht="18.7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8"/>
      <c r="T192" s="45"/>
      <c r="U192" s="45"/>
    </row>
    <row r="193" spans="1:21" ht="18.7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8"/>
      <c r="T193" s="45"/>
      <c r="U193" s="45"/>
    </row>
    <row r="194" spans="1:21" ht="18.7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8"/>
      <c r="T194" s="45"/>
      <c r="U194" s="45"/>
    </row>
    <row r="195" spans="1:21" ht="18.7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8"/>
      <c r="T195" s="45"/>
      <c r="U195" s="45"/>
    </row>
    <row r="196" spans="1:21" ht="18.7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8"/>
      <c r="T196" s="45"/>
      <c r="U196" s="45"/>
    </row>
    <row r="197" spans="1:21" ht="18.7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8"/>
      <c r="T197" s="45"/>
      <c r="U197" s="45"/>
    </row>
    <row r="198" spans="1:21" ht="18.7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8"/>
      <c r="T198" s="45"/>
      <c r="U198" s="45"/>
    </row>
    <row r="199" spans="1:21" ht="18.7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8"/>
      <c r="T199" s="45"/>
      <c r="U199" s="45"/>
    </row>
    <row r="200" spans="1:21" ht="18.7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8"/>
      <c r="T200" s="45"/>
      <c r="U200" s="45"/>
    </row>
    <row r="201" spans="1:21" ht="18.7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8"/>
      <c r="T201" s="45"/>
      <c r="U201" s="45"/>
    </row>
    <row r="202" spans="1:21" ht="18.7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8"/>
      <c r="T202" s="45"/>
      <c r="U202" s="45"/>
    </row>
    <row r="203" spans="1:21" ht="18.7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8"/>
      <c r="T203" s="45"/>
      <c r="U203" s="45"/>
    </row>
    <row r="204" spans="1:21" ht="18.7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8"/>
      <c r="T204" s="45"/>
      <c r="U204" s="45"/>
    </row>
    <row r="205" spans="1:21" ht="18.7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8"/>
      <c r="T205" s="45"/>
      <c r="U205" s="45"/>
    </row>
    <row r="206" spans="1:21" ht="18.7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8"/>
      <c r="T206" s="45"/>
      <c r="U206" s="45"/>
    </row>
    <row r="207" spans="1:21" ht="18.7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8"/>
      <c r="T207" s="45"/>
      <c r="U207" s="45"/>
    </row>
    <row r="208" spans="1:21" ht="18.7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8"/>
      <c r="T208" s="45"/>
      <c r="U208" s="45"/>
    </row>
    <row r="209" spans="1:21" ht="18.7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8"/>
      <c r="T209" s="45"/>
      <c r="U209" s="45"/>
    </row>
    <row r="210" spans="1:21" ht="18.7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8"/>
      <c r="T210" s="45"/>
      <c r="U210" s="45"/>
    </row>
    <row r="211" spans="1:21" ht="18.7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8"/>
      <c r="T211" s="45"/>
      <c r="U211" s="45"/>
    </row>
    <row r="212" spans="1:21" ht="18.7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8"/>
      <c r="T212" s="45"/>
      <c r="U212" s="45"/>
    </row>
    <row r="213" spans="1:21" ht="18.7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8"/>
      <c r="T213" s="45"/>
      <c r="U213" s="45"/>
    </row>
    <row r="214" spans="1:21" ht="18.7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8"/>
      <c r="T214" s="45"/>
      <c r="U214" s="45"/>
    </row>
    <row r="215" spans="1:21" ht="18.7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8"/>
      <c r="T215" s="45"/>
      <c r="U215" s="45"/>
    </row>
    <row r="216" spans="1:21" ht="18.7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8"/>
      <c r="T216" s="45"/>
      <c r="U216" s="45"/>
    </row>
    <row r="217" spans="1:21" ht="18.7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8"/>
      <c r="T217" s="45"/>
      <c r="U217" s="45"/>
    </row>
    <row r="218" spans="1:21" ht="18.7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8"/>
      <c r="T218" s="45"/>
      <c r="U218" s="45"/>
    </row>
    <row r="219" spans="1:21" ht="18.7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8"/>
      <c r="T219" s="45"/>
      <c r="U219" s="45"/>
    </row>
    <row r="220" spans="1:21" ht="18.7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8"/>
      <c r="T220" s="45"/>
      <c r="U220" s="45"/>
    </row>
    <row r="221" spans="1:21" ht="18.7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8"/>
      <c r="T221" s="45"/>
      <c r="U221" s="45"/>
    </row>
    <row r="222" spans="1:21" ht="18.7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8"/>
      <c r="T222" s="45"/>
      <c r="U222" s="45"/>
    </row>
    <row r="223" spans="1:21" ht="18.7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8"/>
      <c r="T223" s="45"/>
      <c r="U223" s="45"/>
    </row>
    <row r="224" spans="1:21" ht="18.7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8"/>
      <c r="T224" s="45"/>
      <c r="U224" s="45"/>
    </row>
    <row r="225" spans="1:21" ht="18.7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8"/>
      <c r="T225" s="45"/>
      <c r="U225" s="45"/>
    </row>
    <row r="226" spans="1:21" ht="18.7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8"/>
      <c r="T226" s="45"/>
      <c r="U226" s="45"/>
    </row>
    <row r="227" spans="1:21" ht="18.7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8"/>
      <c r="T227" s="45"/>
      <c r="U227" s="45"/>
    </row>
    <row r="228" spans="1:21" ht="18.7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8"/>
      <c r="T228" s="45"/>
      <c r="U228" s="45"/>
    </row>
    <row r="229" spans="1:21" ht="18.7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8"/>
      <c r="T229" s="45"/>
      <c r="U229" s="45"/>
    </row>
    <row r="230" spans="1:21" ht="18.7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8"/>
      <c r="T230" s="45"/>
      <c r="U230" s="45"/>
    </row>
    <row r="231" spans="1:21" ht="18.7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8"/>
      <c r="T231" s="45"/>
      <c r="U231" s="45"/>
    </row>
    <row r="232" spans="1:21" ht="18.7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8"/>
      <c r="T232" s="45"/>
      <c r="U232" s="45"/>
    </row>
    <row r="233" spans="1:21" ht="18.7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8"/>
      <c r="T233" s="45"/>
      <c r="U233" s="45"/>
    </row>
    <row r="234" spans="1:21" ht="18.7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8"/>
      <c r="T234" s="45"/>
      <c r="U234" s="45"/>
    </row>
    <row r="235" spans="1:21" ht="18.7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8"/>
      <c r="T235" s="45"/>
      <c r="U235" s="45"/>
    </row>
    <row r="236" spans="1:21" ht="18.7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8"/>
      <c r="T236" s="45"/>
      <c r="U236" s="45"/>
    </row>
    <row r="237" spans="1:21" ht="18.7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8"/>
      <c r="T237" s="45"/>
      <c r="U237" s="45"/>
    </row>
    <row r="238" spans="1:21" ht="18.7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8"/>
      <c r="T238" s="45"/>
      <c r="U238" s="45"/>
    </row>
    <row r="239" spans="1:21" ht="18.7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8"/>
      <c r="T239" s="45"/>
      <c r="U239" s="45"/>
    </row>
    <row r="240" spans="1:21" ht="18.7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8"/>
      <c r="T240" s="45"/>
      <c r="U240" s="45"/>
    </row>
    <row r="241" spans="1:21" ht="18.7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8"/>
      <c r="T241" s="45"/>
      <c r="U241" s="45"/>
    </row>
    <row r="242" spans="1:21" ht="18.7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8"/>
      <c r="T242" s="45"/>
      <c r="U242" s="45"/>
    </row>
    <row r="243" spans="1:21" ht="18.7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8"/>
      <c r="T243" s="45"/>
      <c r="U243" s="45"/>
    </row>
    <row r="244" spans="1:21" ht="18.7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8"/>
      <c r="T244" s="45"/>
      <c r="U244" s="45"/>
    </row>
    <row r="245" spans="1:21" ht="18.7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8"/>
      <c r="T245" s="45"/>
      <c r="U245" s="45"/>
    </row>
    <row r="246" spans="1:21" ht="18.7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8"/>
      <c r="T246" s="45"/>
      <c r="U246" s="45"/>
    </row>
    <row r="247" spans="1:21" ht="18.7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8"/>
      <c r="T247" s="45"/>
      <c r="U247" s="45"/>
    </row>
    <row r="248" spans="1:21" ht="18.7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8"/>
      <c r="T248" s="45"/>
      <c r="U248" s="45"/>
    </row>
    <row r="249" spans="1:21" ht="18.7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8"/>
      <c r="T249" s="45"/>
      <c r="U249" s="45"/>
    </row>
    <row r="250" spans="1:21" ht="18.7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8"/>
      <c r="T250" s="45"/>
      <c r="U250" s="45"/>
    </row>
    <row r="251" spans="1:21" ht="18.7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8"/>
      <c r="T251" s="45"/>
      <c r="U251" s="45"/>
    </row>
    <row r="252" spans="1:21" ht="18.7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8"/>
      <c r="T252" s="45"/>
      <c r="U252" s="45"/>
    </row>
    <row r="253" spans="1:21" ht="18.7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8"/>
      <c r="T253" s="45"/>
      <c r="U253" s="45"/>
    </row>
    <row r="254" spans="1:21" ht="18.7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8"/>
      <c r="T254" s="45"/>
      <c r="U254" s="45"/>
    </row>
    <row r="255" spans="1:21" ht="18.7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8"/>
      <c r="T255" s="45"/>
      <c r="U255" s="45"/>
    </row>
    <row r="256" spans="1:21" ht="18.7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8"/>
      <c r="T256" s="45"/>
      <c r="U256" s="45"/>
    </row>
    <row r="257" spans="1:21" ht="18.7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8"/>
      <c r="T257" s="45"/>
      <c r="U257" s="45"/>
    </row>
    <row r="258" spans="1:21" ht="18.7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8"/>
      <c r="T258" s="45"/>
      <c r="U258" s="45"/>
    </row>
    <row r="259" spans="1:21" ht="18.7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8"/>
      <c r="T259" s="45"/>
      <c r="U259" s="45"/>
    </row>
    <row r="260" spans="1:21" ht="18.7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8"/>
      <c r="T260" s="45"/>
      <c r="U260" s="45"/>
    </row>
    <row r="261" spans="1:21" ht="18.7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8"/>
      <c r="T261" s="45"/>
      <c r="U261" s="45"/>
    </row>
    <row r="262" spans="1:21" ht="18.7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8"/>
      <c r="T262" s="45"/>
      <c r="U262" s="45"/>
    </row>
    <row r="263" spans="1:21" ht="18.7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8"/>
      <c r="T263" s="45"/>
      <c r="U263" s="45"/>
    </row>
    <row r="264" spans="1:21" ht="18.7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8"/>
      <c r="T264" s="45"/>
      <c r="U264" s="45"/>
    </row>
    <row r="265" spans="1:21" ht="18.7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8"/>
      <c r="T265" s="45"/>
      <c r="U265" s="45"/>
    </row>
    <row r="266" spans="1:21" ht="18.7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8"/>
      <c r="T266" s="45"/>
      <c r="U266" s="45"/>
    </row>
    <row r="267" spans="1:21" ht="18.7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8"/>
      <c r="T267" s="45"/>
      <c r="U267" s="45"/>
    </row>
    <row r="268" spans="1:21" ht="18.7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8"/>
      <c r="T268" s="45"/>
      <c r="U268" s="45"/>
    </row>
    <row r="269" spans="1:21" ht="18.7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8"/>
      <c r="T269" s="45"/>
      <c r="U269" s="45"/>
    </row>
    <row r="270" spans="1:21" ht="18.7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8"/>
      <c r="T270" s="45"/>
      <c r="U270" s="45"/>
    </row>
    <row r="271" spans="1:21" ht="18.7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8"/>
      <c r="T271" s="45"/>
      <c r="U271" s="45"/>
    </row>
    <row r="272" spans="1:21" ht="18.7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8"/>
      <c r="T272" s="45"/>
      <c r="U272" s="45"/>
    </row>
    <row r="273" spans="1:21" ht="18.7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8"/>
      <c r="T273" s="45"/>
      <c r="U273" s="45"/>
    </row>
    <row r="274" spans="1:21" ht="18.7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8"/>
      <c r="T274" s="45"/>
      <c r="U274" s="45"/>
    </row>
    <row r="275" spans="1:21" ht="18.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8"/>
      <c r="T275" s="45"/>
      <c r="U275" s="45"/>
    </row>
    <row r="276" spans="1:21" ht="18.7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8"/>
      <c r="T276" s="45"/>
      <c r="U276" s="45"/>
    </row>
    <row r="277" spans="1:21" ht="18.7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8"/>
      <c r="T277" s="45"/>
      <c r="U277" s="45"/>
    </row>
    <row r="278" spans="1:21" ht="18.7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8"/>
      <c r="T278" s="45"/>
      <c r="U278" s="45"/>
    </row>
    <row r="279" spans="1:21" ht="18.7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8"/>
      <c r="T279" s="45"/>
      <c r="U279" s="45"/>
    </row>
    <row r="280" spans="1:21" ht="18.7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8"/>
      <c r="T280" s="45"/>
      <c r="U280" s="45"/>
    </row>
    <row r="281" spans="1:21" ht="18.7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8"/>
      <c r="T281" s="45"/>
      <c r="U281" s="45"/>
    </row>
    <row r="282" spans="1:21" ht="18.7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8"/>
      <c r="T282" s="45"/>
      <c r="U282" s="45"/>
    </row>
    <row r="283" spans="1:21" ht="18.7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8"/>
      <c r="T283" s="45"/>
      <c r="U283" s="45"/>
    </row>
    <row r="284" spans="1:21" ht="18.7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8"/>
      <c r="T284" s="45"/>
      <c r="U284" s="45"/>
    </row>
    <row r="285" spans="1:21" ht="18.7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8"/>
      <c r="T285" s="45"/>
      <c r="U285" s="45"/>
    </row>
    <row r="286" spans="1:21" ht="18.7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8"/>
      <c r="T286" s="45"/>
      <c r="U286" s="45"/>
    </row>
    <row r="287" spans="1:21" ht="18.7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8"/>
      <c r="T287" s="45"/>
      <c r="U287" s="45"/>
    </row>
    <row r="288" spans="1:21" ht="18.7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8"/>
      <c r="T288" s="45"/>
      <c r="U288" s="45"/>
    </row>
    <row r="289" spans="1:21" ht="18.7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8"/>
      <c r="T289" s="45"/>
      <c r="U289" s="45"/>
    </row>
    <row r="290" spans="1:21" ht="18.7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8"/>
      <c r="T290" s="45"/>
      <c r="U290" s="45"/>
    </row>
    <row r="291" spans="1:21" ht="18.7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8"/>
      <c r="T291" s="45"/>
      <c r="U291" s="45"/>
    </row>
    <row r="292" spans="1:21" ht="18.7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8"/>
      <c r="T292" s="45"/>
      <c r="U292" s="45"/>
    </row>
    <row r="293" spans="1:21" ht="18.7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8"/>
      <c r="T293" s="45"/>
      <c r="U293" s="45"/>
    </row>
    <row r="294" spans="1:21" ht="18.7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8"/>
      <c r="T294" s="45"/>
      <c r="U294" s="45"/>
    </row>
    <row r="295" spans="1:21" ht="18.7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8"/>
      <c r="T295" s="45"/>
      <c r="U295" s="45"/>
    </row>
    <row r="296" spans="1:21" ht="18.7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8"/>
      <c r="T296" s="45"/>
      <c r="U296" s="45"/>
    </row>
    <row r="297" spans="1:21" ht="18.7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8"/>
      <c r="T297" s="45"/>
      <c r="U297" s="45"/>
    </row>
    <row r="298" spans="1:21" ht="18.7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8"/>
      <c r="T298" s="45"/>
      <c r="U298" s="45"/>
    </row>
    <row r="299" spans="1:21" ht="18.7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8"/>
      <c r="T299" s="45"/>
      <c r="U299" s="45"/>
    </row>
    <row r="300" spans="1:21" ht="18.7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8"/>
      <c r="T300" s="45"/>
      <c r="U300" s="45"/>
    </row>
    <row r="301" spans="1:21" ht="18.7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8"/>
      <c r="T301" s="45"/>
      <c r="U301" s="45"/>
    </row>
    <row r="302" spans="1:21" ht="18.7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8"/>
      <c r="T302" s="45"/>
      <c r="U302" s="45"/>
    </row>
    <row r="303" spans="1:21" ht="18.7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8"/>
      <c r="T303" s="45"/>
      <c r="U303" s="45"/>
    </row>
    <row r="304" spans="1:21" ht="18.7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8"/>
      <c r="T304" s="45"/>
      <c r="U304" s="45"/>
    </row>
    <row r="305" spans="1:21" ht="18.7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8"/>
      <c r="T305" s="45"/>
      <c r="U305" s="45"/>
    </row>
    <row r="306" spans="1:21" ht="18.7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8"/>
      <c r="T306" s="45"/>
      <c r="U306" s="45"/>
    </row>
    <row r="307" spans="1:21" ht="18.7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8"/>
      <c r="T307" s="45"/>
      <c r="U307" s="45"/>
    </row>
    <row r="308" spans="1:21" ht="18.7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8"/>
      <c r="T308" s="45"/>
      <c r="U308" s="45"/>
    </row>
    <row r="309" spans="1:21" ht="18.7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8"/>
      <c r="T309" s="45"/>
      <c r="U309" s="45"/>
    </row>
    <row r="310" spans="1:21" ht="18.7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8"/>
      <c r="T310" s="45"/>
      <c r="U310" s="45"/>
    </row>
    <row r="311" spans="1:21" ht="18.7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8"/>
      <c r="T311" s="45"/>
      <c r="U311" s="45"/>
    </row>
    <row r="312" spans="1:21" ht="18.7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8"/>
      <c r="T312" s="45"/>
      <c r="U312" s="45"/>
    </row>
    <row r="313" spans="1:21" ht="18.7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8"/>
      <c r="T313" s="45"/>
      <c r="U313" s="45"/>
    </row>
    <row r="314" spans="1:21" ht="18.7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8"/>
      <c r="T314" s="45"/>
      <c r="U314" s="45"/>
    </row>
    <row r="315" spans="1:21" ht="18.7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8"/>
      <c r="T315" s="45"/>
      <c r="U315" s="45"/>
    </row>
    <row r="316" spans="1:21" ht="18.7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8"/>
      <c r="T316" s="45"/>
      <c r="U316" s="45"/>
    </row>
    <row r="317" spans="1:21" ht="18.7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8"/>
      <c r="T317" s="45"/>
      <c r="U317" s="45"/>
    </row>
    <row r="318" spans="1:21" ht="18.7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8"/>
      <c r="T318" s="45"/>
      <c r="U318" s="45"/>
    </row>
    <row r="319" spans="1:21" ht="18.7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8"/>
      <c r="T319" s="45"/>
      <c r="U319" s="45"/>
    </row>
    <row r="320" spans="1:21" ht="18.7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8"/>
      <c r="T320" s="45"/>
      <c r="U320" s="45"/>
    </row>
    <row r="321" spans="1:21" ht="18.7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8"/>
      <c r="T321" s="45"/>
      <c r="U321" s="45"/>
    </row>
    <row r="322" spans="1:21" ht="18.7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8"/>
      <c r="T322" s="45"/>
      <c r="U322" s="45"/>
    </row>
    <row r="323" spans="1:21" ht="18.7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8"/>
      <c r="T323" s="45"/>
      <c r="U323" s="45"/>
    </row>
    <row r="324" spans="1:21" ht="18.7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8"/>
      <c r="T325" s="45"/>
      <c r="U325" s="45"/>
    </row>
    <row r="326" spans="1:21" ht="18.7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8"/>
      <c r="T326" s="45"/>
      <c r="U326" s="45"/>
    </row>
    <row r="327" spans="1:21" ht="18.7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8"/>
      <c r="T327" s="45"/>
      <c r="U327" s="45"/>
    </row>
    <row r="328" spans="1:21" ht="18.7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8"/>
      <c r="T328" s="45"/>
      <c r="U328" s="45"/>
    </row>
    <row r="329" spans="1:21" ht="18.7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8"/>
      <c r="T329" s="45"/>
      <c r="U329" s="45"/>
    </row>
    <row r="330" spans="1:21" ht="18.7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8"/>
      <c r="T330" s="45"/>
      <c r="U330" s="45"/>
    </row>
    <row r="331" spans="1:21" ht="18.7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8"/>
      <c r="T331" s="45"/>
      <c r="U331" s="45"/>
    </row>
    <row r="332" spans="1:21" ht="18.7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8"/>
      <c r="T332" s="45"/>
      <c r="U332" s="45"/>
    </row>
    <row r="333" spans="1:21" ht="18.7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8"/>
      <c r="T333" s="45"/>
      <c r="U333" s="45"/>
    </row>
    <row r="334" spans="1:21" ht="18.7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8"/>
      <c r="T334" s="45"/>
      <c r="U334" s="45"/>
    </row>
    <row r="335" spans="1:21" ht="18.7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8"/>
      <c r="T335" s="45"/>
      <c r="U335" s="45"/>
    </row>
    <row r="336" spans="1:21" ht="18.7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8"/>
      <c r="T336" s="45"/>
      <c r="U336" s="45"/>
    </row>
    <row r="337" spans="1:21" ht="18.7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8"/>
      <c r="T337" s="45"/>
      <c r="U337" s="45"/>
    </row>
    <row r="338" spans="1:21" ht="18.7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8"/>
      <c r="T338" s="45"/>
      <c r="U338" s="45"/>
    </row>
    <row r="339" spans="1:21" ht="18.7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8"/>
      <c r="T339" s="45"/>
      <c r="U339" s="45"/>
    </row>
    <row r="340" spans="1:21" ht="18.7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8"/>
      <c r="T340" s="45"/>
      <c r="U340" s="45"/>
    </row>
    <row r="341" spans="1:21" ht="18.7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8"/>
      <c r="T341" s="45"/>
      <c r="U341" s="45"/>
    </row>
    <row r="342" spans="1:21" ht="18.7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8"/>
      <c r="T342" s="45"/>
      <c r="U342" s="45"/>
    </row>
    <row r="343" spans="1:21" ht="18.7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8"/>
      <c r="T343" s="45"/>
      <c r="U343" s="45"/>
    </row>
    <row r="344" spans="1:21" ht="18.7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8"/>
      <c r="T344" s="45"/>
      <c r="U344" s="45"/>
    </row>
    <row r="345" spans="1:21" ht="18.7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8"/>
      <c r="T345" s="45"/>
      <c r="U345" s="45"/>
    </row>
    <row r="346" spans="1:21" ht="18.7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8"/>
      <c r="T346" s="45"/>
      <c r="U346" s="45"/>
    </row>
    <row r="347" spans="1:21" ht="18.7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8"/>
      <c r="T347" s="45"/>
      <c r="U347" s="45"/>
    </row>
    <row r="348" spans="1:21" ht="18.7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8"/>
      <c r="T348" s="45"/>
      <c r="U348" s="45"/>
    </row>
    <row r="349" spans="1:21" ht="18.7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8"/>
      <c r="T349" s="45"/>
      <c r="U349" s="45"/>
    </row>
    <row r="350" spans="1:21" ht="18.7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8"/>
      <c r="T350" s="45"/>
      <c r="U350" s="45"/>
    </row>
    <row r="351" spans="1:21" ht="18.7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8"/>
      <c r="T351" s="45"/>
      <c r="U351" s="45"/>
    </row>
    <row r="352" spans="1:21" ht="18.7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8"/>
      <c r="T352" s="45"/>
      <c r="U352" s="45"/>
    </row>
    <row r="353" spans="1:21" ht="18.7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8"/>
      <c r="T353" s="45"/>
      <c r="U353" s="45"/>
    </row>
    <row r="354" spans="1:21" ht="18.7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8"/>
      <c r="T354" s="45"/>
      <c r="U354" s="45"/>
    </row>
    <row r="355" spans="1:21" ht="18.7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8"/>
      <c r="T355" s="45"/>
      <c r="U355" s="45"/>
    </row>
    <row r="356" spans="1:21" ht="18.7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8"/>
      <c r="T356" s="45"/>
      <c r="U356" s="45"/>
    </row>
    <row r="357" spans="1:21" ht="18.7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8"/>
      <c r="T357" s="45"/>
      <c r="U357" s="45"/>
    </row>
    <row r="358" spans="1:21" ht="18.7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8"/>
      <c r="T358" s="45"/>
      <c r="U358" s="45"/>
    </row>
    <row r="359" spans="1:21" ht="18.7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8"/>
      <c r="T359" s="45"/>
      <c r="U359" s="45"/>
    </row>
    <row r="360" spans="1:21" ht="18.7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8"/>
      <c r="T360" s="45"/>
      <c r="U360" s="45"/>
    </row>
    <row r="361" spans="1:21" ht="18.7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8"/>
      <c r="T361" s="45"/>
      <c r="U361" s="45"/>
    </row>
    <row r="362" spans="1:21" ht="18.7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8"/>
      <c r="T362" s="45"/>
      <c r="U362" s="45"/>
    </row>
    <row r="363" spans="1:21" ht="18.7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8"/>
      <c r="T363" s="45"/>
      <c r="U363" s="45"/>
    </row>
    <row r="364" spans="1:21" ht="18.7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8"/>
      <c r="T364" s="45"/>
      <c r="U364" s="45"/>
    </row>
    <row r="365" spans="1:21" ht="18.7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8"/>
      <c r="T365" s="45"/>
      <c r="U365" s="45"/>
    </row>
    <row r="366" spans="1:21" ht="18.7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8"/>
      <c r="T366" s="45"/>
      <c r="U366" s="45"/>
    </row>
    <row r="367" spans="1:21" ht="18.7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8"/>
      <c r="T367" s="45"/>
      <c r="U367" s="45"/>
    </row>
    <row r="368" spans="1:21" ht="18.7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8"/>
      <c r="T368" s="45"/>
      <c r="U368" s="45"/>
    </row>
    <row r="369" spans="1:21" ht="18.7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8"/>
      <c r="T369" s="45"/>
      <c r="U369" s="45"/>
    </row>
    <row r="370" spans="1:21" ht="18.7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8"/>
      <c r="T370" s="45"/>
      <c r="U370" s="45"/>
    </row>
    <row r="371" spans="1:21" ht="18.7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8"/>
      <c r="T371" s="45"/>
      <c r="U371" s="45"/>
    </row>
    <row r="372" spans="1:21" ht="18.7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8"/>
      <c r="T372" s="45"/>
      <c r="U372" s="45"/>
    </row>
    <row r="373" spans="1:21" ht="18.7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8"/>
      <c r="T373" s="45"/>
      <c r="U373" s="45"/>
    </row>
    <row r="374" spans="1:21" ht="18.7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8"/>
      <c r="T374" s="45"/>
      <c r="U374" s="45"/>
    </row>
    <row r="375" spans="1:21" ht="18.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8"/>
      <c r="T375" s="45"/>
      <c r="U375" s="45"/>
    </row>
    <row r="376" spans="1:21" ht="18.7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8"/>
      <c r="T376" s="45"/>
      <c r="U376" s="45"/>
    </row>
    <row r="377" spans="1:21" ht="18.7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8"/>
      <c r="T377" s="45"/>
      <c r="U377" s="45"/>
    </row>
    <row r="378" spans="1:21" ht="18.7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8"/>
      <c r="T378" s="45"/>
      <c r="U378" s="45"/>
    </row>
    <row r="379" spans="1:21" ht="18.7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8"/>
      <c r="T379" s="45"/>
      <c r="U379" s="45"/>
    </row>
    <row r="380" spans="1:21" ht="18.7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8"/>
      <c r="T380" s="45"/>
      <c r="U380" s="45"/>
    </row>
    <row r="381" spans="1:21" ht="18.7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8"/>
      <c r="T381" s="45"/>
      <c r="U381" s="45"/>
    </row>
    <row r="382" spans="1:21" ht="18.7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8"/>
      <c r="T382" s="45"/>
      <c r="U382" s="45"/>
    </row>
    <row r="383" spans="1:21" ht="18.7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8"/>
      <c r="T383" s="45"/>
      <c r="U383" s="45"/>
    </row>
    <row r="384" spans="1:21" ht="18.7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8"/>
      <c r="T384" s="45"/>
      <c r="U384" s="45"/>
    </row>
    <row r="385" spans="1:21" ht="18.7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8"/>
      <c r="T385" s="45"/>
      <c r="U385" s="45"/>
    </row>
    <row r="386" spans="1:21" ht="18.7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8"/>
      <c r="T386" s="45"/>
      <c r="U386" s="45"/>
    </row>
    <row r="387" spans="1:21" ht="18.7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8"/>
      <c r="T387" s="45"/>
      <c r="U387" s="45"/>
    </row>
    <row r="388" spans="1:21" ht="18.7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8"/>
      <c r="T388" s="45"/>
      <c r="U388" s="45"/>
    </row>
    <row r="389" spans="1:21" ht="18.7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8"/>
      <c r="T389" s="45"/>
      <c r="U389" s="45"/>
    </row>
    <row r="390" spans="1:21" ht="18.7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8"/>
      <c r="T390" s="45"/>
      <c r="U390" s="45"/>
    </row>
    <row r="391" spans="1:21" ht="18.7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8"/>
      <c r="T391" s="45"/>
      <c r="U391" s="45"/>
    </row>
    <row r="392" spans="1:21" ht="18.7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8"/>
      <c r="T392" s="45"/>
      <c r="U392" s="45"/>
    </row>
    <row r="393" spans="1:21" ht="18.7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8"/>
      <c r="T393" s="45"/>
      <c r="U393" s="45"/>
    </row>
    <row r="394" spans="1:21" ht="18.7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8"/>
      <c r="T394" s="45"/>
      <c r="U394" s="45"/>
    </row>
    <row r="395" spans="1:21" ht="18.7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8"/>
      <c r="T395" s="45"/>
      <c r="U395" s="45"/>
    </row>
    <row r="396" spans="1:21" ht="18.7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8"/>
      <c r="T396" s="45"/>
      <c r="U396" s="45"/>
    </row>
    <row r="397" spans="1:21" ht="18.7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8"/>
      <c r="T397" s="45"/>
      <c r="U397" s="45"/>
    </row>
    <row r="398" spans="1:21" ht="18.7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8"/>
      <c r="T398" s="45"/>
      <c r="U398" s="45"/>
    </row>
    <row r="399" spans="1:21" ht="18.7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8"/>
      <c r="T399" s="45"/>
      <c r="U399" s="45"/>
    </row>
    <row r="400" spans="1:21" ht="18.7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8"/>
      <c r="T400" s="45"/>
      <c r="U400" s="45"/>
    </row>
    <row r="401" spans="1:21" ht="18.7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8"/>
      <c r="T401" s="45"/>
      <c r="U401" s="45"/>
    </row>
    <row r="402" spans="1:21" ht="18.7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8"/>
      <c r="T402" s="45"/>
      <c r="U402" s="45"/>
    </row>
    <row r="403" spans="1:21" ht="18.7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8"/>
      <c r="T403" s="45"/>
      <c r="U403" s="45"/>
    </row>
    <row r="404" spans="1:21" ht="18.7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8"/>
      <c r="T404" s="45"/>
      <c r="U404" s="45"/>
    </row>
    <row r="405" spans="1:21" ht="18.7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8"/>
      <c r="T405" s="45"/>
      <c r="U405" s="45"/>
    </row>
    <row r="406" spans="1:21" ht="18.7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8"/>
      <c r="T406" s="45"/>
      <c r="U406" s="45"/>
    </row>
    <row r="407" spans="1:21" ht="18.7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8"/>
      <c r="T407" s="45"/>
      <c r="U407" s="45"/>
    </row>
    <row r="408" spans="1:21" ht="18.7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8"/>
      <c r="T408" s="45"/>
      <c r="U408" s="45"/>
    </row>
    <row r="409" spans="1:21" ht="18.7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8"/>
      <c r="T409" s="45"/>
      <c r="U409" s="45"/>
    </row>
    <row r="410" spans="1:21" ht="18.7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8"/>
      <c r="T410" s="45"/>
      <c r="U410" s="45"/>
    </row>
    <row r="411" spans="1:21" ht="18.7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8"/>
      <c r="T411" s="45"/>
      <c r="U411" s="45"/>
    </row>
    <row r="412" spans="1:21" ht="18.7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8"/>
      <c r="T412" s="45"/>
      <c r="U412" s="45"/>
    </row>
    <row r="413" spans="1:21" ht="18.7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8"/>
      <c r="T413" s="45"/>
      <c r="U413" s="45"/>
    </row>
    <row r="414" spans="1:21" ht="18.7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8"/>
      <c r="T414" s="45"/>
      <c r="U414" s="45"/>
    </row>
    <row r="415" spans="1:21" ht="18.7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8"/>
      <c r="T415" s="45"/>
      <c r="U415" s="45"/>
    </row>
    <row r="416" spans="1:21" ht="18.7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8"/>
      <c r="T416" s="45"/>
      <c r="U416" s="45"/>
    </row>
    <row r="417" spans="1:21" ht="18.7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8"/>
      <c r="T417" s="45"/>
      <c r="U417" s="45"/>
    </row>
    <row r="418" spans="1:21" ht="18.7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8"/>
      <c r="T418" s="45"/>
      <c r="U418" s="45"/>
    </row>
    <row r="419" spans="1:21" ht="18.7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8"/>
      <c r="T419" s="45"/>
      <c r="U419" s="45"/>
    </row>
    <row r="420" spans="1:21" ht="18.7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8"/>
      <c r="T420" s="45"/>
      <c r="U420" s="45"/>
    </row>
    <row r="421" spans="1:21" ht="18.7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8"/>
      <c r="T421" s="45"/>
      <c r="U421" s="45"/>
    </row>
    <row r="422" spans="1:21" ht="18.7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8"/>
      <c r="T422" s="45"/>
      <c r="U422" s="45"/>
    </row>
    <row r="423" spans="1:21" ht="18.7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8"/>
      <c r="T423" s="45"/>
      <c r="U423" s="45"/>
    </row>
    <row r="424" spans="1:21" ht="18.7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8"/>
      <c r="T424" s="45"/>
      <c r="U424" s="45"/>
    </row>
    <row r="425" spans="1:21" ht="18.7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8"/>
      <c r="T425" s="45"/>
      <c r="U425" s="45"/>
    </row>
    <row r="426" spans="1:21" ht="18.7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8"/>
      <c r="T426" s="45"/>
      <c r="U426" s="45"/>
    </row>
    <row r="427" spans="1:21" ht="18.7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8"/>
      <c r="T427" s="45"/>
      <c r="U427" s="45"/>
    </row>
    <row r="428" spans="1:21" ht="18.7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8"/>
      <c r="T428" s="45"/>
      <c r="U428" s="45"/>
    </row>
    <row r="429" spans="1:21" ht="18.7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8"/>
      <c r="T429" s="45"/>
      <c r="U429" s="45"/>
    </row>
    <row r="430" spans="1:21" ht="18.7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8"/>
      <c r="T430" s="45"/>
      <c r="U430" s="45"/>
    </row>
    <row r="431" spans="1:21" ht="18.7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8"/>
      <c r="T431" s="45"/>
      <c r="U431" s="45"/>
    </row>
    <row r="432" spans="1:21" ht="18.7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8"/>
      <c r="T432" s="45"/>
      <c r="U432" s="45"/>
    </row>
    <row r="433" spans="1:21" ht="18.7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8"/>
      <c r="T433" s="45"/>
      <c r="U433" s="45"/>
    </row>
    <row r="434" spans="1:21" ht="18.7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8"/>
      <c r="T434" s="45"/>
      <c r="U434" s="45"/>
    </row>
    <row r="435" spans="1:21" ht="18.7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8"/>
      <c r="T435" s="45"/>
      <c r="U435" s="45"/>
    </row>
    <row r="436" spans="1:21" ht="18.7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8"/>
      <c r="T436" s="45"/>
      <c r="U436" s="45"/>
    </row>
    <row r="437" spans="1:21" ht="18.7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8"/>
      <c r="T437" s="45"/>
      <c r="U437" s="45"/>
    </row>
    <row r="438" spans="1:21" ht="18.7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8"/>
      <c r="T438" s="45"/>
      <c r="U438" s="45"/>
    </row>
    <row r="439" spans="1:21" ht="18.7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8"/>
      <c r="T439" s="45"/>
      <c r="U439" s="45"/>
    </row>
    <row r="440" spans="1:21" ht="18.7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8"/>
      <c r="T440" s="45"/>
      <c r="U440" s="45"/>
    </row>
    <row r="441" spans="1:21" ht="18.7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8"/>
      <c r="T441" s="45"/>
      <c r="U441" s="45"/>
    </row>
    <row r="442" spans="1:21" ht="18.7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8"/>
      <c r="T442" s="45"/>
      <c r="U442" s="45"/>
    </row>
    <row r="443" spans="1:21" ht="18.7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8"/>
      <c r="T443" s="45"/>
      <c r="U443" s="45"/>
    </row>
    <row r="444" spans="1:21" ht="18.7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8"/>
      <c r="T444" s="45"/>
      <c r="U444" s="45"/>
    </row>
    <row r="445" spans="1:21" ht="18.7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8"/>
      <c r="T445" s="45"/>
      <c r="U445" s="45"/>
    </row>
    <row r="446" spans="1:21" ht="18.7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8"/>
      <c r="T446" s="45"/>
      <c r="U446" s="45"/>
    </row>
    <row r="447" spans="1:21" ht="18.7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8"/>
      <c r="T447" s="45"/>
      <c r="U447" s="45"/>
    </row>
    <row r="448" spans="1:21" ht="18.7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8"/>
      <c r="T448" s="45"/>
      <c r="U448" s="45"/>
    </row>
    <row r="449" spans="1:21" ht="18.7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8"/>
      <c r="T449" s="45"/>
      <c r="U449" s="45"/>
    </row>
    <row r="450" spans="1:21" ht="18.7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8"/>
      <c r="T450" s="45"/>
      <c r="U450" s="45"/>
    </row>
    <row r="451" spans="1:21" ht="18.7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8"/>
      <c r="T451" s="45"/>
      <c r="U451" s="45"/>
    </row>
    <row r="452" spans="1:21" ht="18.7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8"/>
      <c r="T452" s="45"/>
      <c r="U452" s="45"/>
    </row>
    <row r="453" spans="1:21" ht="18.7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8"/>
      <c r="T453" s="45"/>
      <c r="U453" s="45"/>
    </row>
    <row r="454" spans="1:21" ht="18.7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8"/>
      <c r="T454" s="45"/>
      <c r="U454" s="45"/>
    </row>
    <row r="455" spans="1:21" ht="18.7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8"/>
      <c r="T455" s="45"/>
      <c r="U455" s="45"/>
    </row>
    <row r="456" spans="1:21" ht="18.7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8"/>
      <c r="T456" s="45"/>
      <c r="U456" s="45"/>
    </row>
    <row r="457" spans="1:21" ht="18.7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8"/>
      <c r="T457" s="45"/>
      <c r="U457" s="45"/>
    </row>
    <row r="458" spans="1:21" ht="18.7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8"/>
      <c r="T458" s="45"/>
      <c r="U458" s="45"/>
    </row>
    <row r="459" spans="1:21" ht="18.7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8"/>
      <c r="T459" s="45"/>
      <c r="U459" s="45"/>
    </row>
    <row r="460" spans="1:21" ht="18.7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8"/>
      <c r="T460" s="45"/>
      <c r="U460" s="45"/>
    </row>
    <row r="461" spans="1:21" ht="18.7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8"/>
      <c r="T461" s="45"/>
      <c r="U461" s="45"/>
    </row>
    <row r="462" spans="1:21" ht="18.7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8"/>
      <c r="T462" s="45"/>
      <c r="U462" s="45"/>
    </row>
    <row r="463" spans="1:21" ht="18.7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8"/>
      <c r="T463" s="45"/>
      <c r="U463" s="45"/>
    </row>
    <row r="464" spans="1:21" ht="18.7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8"/>
      <c r="T464" s="45"/>
      <c r="U464" s="45"/>
    </row>
    <row r="465" spans="1:21" ht="18.7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8"/>
      <c r="T465" s="45"/>
      <c r="U465" s="45"/>
    </row>
    <row r="466" spans="1:21" ht="18.7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8"/>
      <c r="T466" s="45"/>
      <c r="U466" s="45"/>
    </row>
    <row r="467" spans="1:21" ht="18.7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8"/>
      <c r="T467" s="45"/>
      <c r="U467" s="45"/>
    </row>
    <row r="468" spans="1:21" ht="18.7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8"/>
      <c r="T468" s="45"/>
      <c r="U468" s="45"/>
    </row>
    <row r="469" spans="1:21" ht="18.7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8"/>
      <c r="T469" s="45"/>
      <c r="U469" s="45"/>
    </row>
    <row r="470" spans="1:21" ht="18.7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8"/>
      <c r="T470" s="45"/>
      <c r="U470" s="45"/>
    </row>
    <row r="471" spans="1:21" ht="18.7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8"/>
      <c r="T471" s="45"/>
      <c r="U471" s="45"/>
    </row>
    <row r="472" spans="1:21" ht="18.7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8"/>
      <c r="T472" s="45"/>
      <c r="U472" s="45"/>
    </row>
    <row r="473" spans="1:21" ht="18.7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8"/>
      <c r="T473" s="45"/>
      <c r="U473" s="45"/>
    </row>
    <row r="474" spans="1:21" ht="18.7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8"/>
      <c r="T474" s="45"/>
      <c r="U474" s="45"/>
    </row>
    <row r="475" spans="1:21" ht="18.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8"/>
      <c r="T475" s="45"/>
      <c r="U475" s="45"/>
    </row>
    <row r="476" spans="1:21" ht="18.7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8"/>
      <c r="T476" s="45"/>
      <c r="U476" s="45"/>
    </row>
    <row r="477" spans="1:21" ht="18.7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8"/>
      <c r="T477" s="45"/>
      <c r="U477" s="45"/>
    </row>
    <row r="478" spans="1:21" ht="18.7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8"/>
      <c r="T478" s="45"/>
      <c r="U478" s="45"/>
    </row>
    <row r="479" spans="1:21" ht="18.7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8"/>
      <c r="T479" s="45"/>
      <c r="U479" s="45"/>
    </row>
    <row r="480" spans="1:21" ht="18.7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8"/>
      <c r="T480" s="45"/>
      <c r="U480" s="45"/>
    </row>
    <row r="481" spans="1:21" ht="18.7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8"/>
      <c r="T481" s="45"/>
      <c r="U481" s="45"/>
    </row>
    <row r="482" spans="1:21" ht="18.7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8"/>
      <c r="T482" s="45"/>
      <c r="U482" s="45"/>
    </row>
    <row r="483" spans="1:21" ht="18.7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8"/>
      <c r="T483" s="45"/>
      <c r="U483" s="45"/>
    </row>
    <row r="484" spans="1:21" ht="18.7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8"/>
      <c r="T484" s="45"/>
      <c r="U484" s="45"/>
    </row>
    <row r="485" spans="1:21" ht="18.7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8"/>
      <c r="T485" s="45"/>
      <c r="U485" s="45"/>
    </row>
    <row r="486" spans="1:21" ht="18.7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8"/>
      <c r="T486" s="45"/>
      <c r="U486" s="45"/>
    </row>
    <row r="487" spans="1:21" ht="18.7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8"/>
      <c r="T487" s="45"/>
      <c r="U487" s="45"/>
    </row>
    <row r="488" spans="1:21" ht="18.7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8"/>
      <c r="T488" s="45"/>
      <c r="U488" s="45"/>
    </row>
    <row r="489" spans="1:21" ht="18.7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8"/>
      <c r="T489" s="45"/>
      <c r="U489" s="45"/>
    </row>
    <row r="490" spans="1:21" ht="18.7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8"/>
      <c r="T490" s="45"/>
      <c r="U490" s="45"/>
    </row>
    <row r="491" spans="1:21" ht="18.7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8"/>
      <c r="T491" s="45"/>
      <c r="U491" s="45"/>
    </row>
    <row r="492" spans="1:21" ht="18.7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8"/>
      <c r="T492" s="45"/>
      <c r="U492" s="45"/>
    </row>
    <row r="493" spans="1:21" ht="18.7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8"/>
      <c r="T493" s="45"/>
      <c r="U493" s="45"/>
    </row>
    <row r="494" spans="1:21" ht="18.7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8"/>
      <c r="T494" s="45"/>
      <c r="U494" s="45"/>
    </row>
    <row r="495" spans="1:21" ht="18.7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8"/>
      <c r="T495" s="45"/>
      <c r="U495" s="45"/>
    </row>
    <row r="496" spans="1:21" ht="18.7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8"/>
      <c r="T496" s="45"/>
      <c r="U496" s="45"/>
    </row>
    <row r="497" spans="1:21" ht="18.7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8"/>
      <c r="T497" s="45"/>
      <c r="U497" s="45"/>
    </row>
    <row r="498" spans="1:21" ht="18.7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8"/>
      <c r="T498" s="45"/>
      <c r="U498" s="45"/>
    </row>
    <row r="499" spans="1:21" ht="18.7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8"/>
      <c r="T499" s="45"/>
      <c r="U499" s="45"/>
    </row>
    <row r="500" spans="1:21" ht="18.7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8"/>
      <c r="T500" s="45"/>
      <c r="U500" s="45"/>
    </row>
    <row r="501" spans="1:21" ht="18.7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8"/>
      <c r="T501" s="45"/>
      <c r="U501" s="45"/>
    </row>
    <row r="502" spans="1:21" ht="18.7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8"/>
      <c r="T502" s="45"/>
      <c r="U502" s="45"/>
    </row>
    <row r="503" spans="1:21" ht="18.7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8"/>
      <c r="T503" s="45"/>
      <c r="U503" s="45"/>
    </row>
    <row r="504" spans="1:21" ht="18.7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8"/>
      <c r="T504" s="45"/>
      <c r="U504" s="45"/>
    </row>
    <row r="505" spans="1:21" ht="18.7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8"/>
      <c r="T505" s="45"/>
      <c r="U505" s="45"/>
    </row>
    <row r="506" spans="1:21" ht="18.7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8"/>
      <c r="T506" s="45"/>
      <c r="U506" s="45"/>
    </row>
    <row r="507" spans="1:21" ht="18.7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8"/>
      <c r="T507" s="45"/>
      <c r="U507" s="45"/>
    </row>
    <row r="508" spans="1:21" ht="18.7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8"/>
      <c r="T508" s="45"/>
      <c r="U508" s="45"/>
    </row>
    <row r="509" spans="1:21" ht="18.7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8"/>
      <c r="T509" s="45"/>
      <c r="U509" s="45"/>
    </row>
    <row r="510" spans="1:21" ht="18.7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8"/>
      <c r="T510" s="45"/>
      <c r="U510" s="45"/>
    </row>
    <row r="511" spans="1:21" ht="18.7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8"/>
      <c r="T511" s="45"/>
      <c r="U511" s="45"/>
    </row>
    <row r="512" spans="1:21" ht="18.7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8"/>
      <c r="T512" s="45"/>
      <c r="U512" s="45"/>
    </row>
    <row r="513" spans="1:21" ht="18.7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8"/>
      <c r="T513" s="45"/>
      <c r="U513" s="45"/>
    </row>
    <row r="514" spans="1:21" ht="18.7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8"/>
      <c r="T514" s="45"/>
      <c r="U514" s="45"/>
    </row>
    <row r="515" spans="1:21" ht="18.7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8"/>
      <c r="T515" s="45"/>
      <c r="U515" s="45"/>
    </row>
    <row r="516" spans="1:21" ht="18.7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8"/>
      <c r="T516" s="45"/>
      <c r="U516" s="45"/>
    </row>
    <row r="517" spans="1:21" ht="18.7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8"/>
      <c r="T517" s="45"/>
      <c r="U517" s="45"/>
    </row>
    <row r="518" spans="1:21" ht="18.7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8"/>
      <c r="T518" s="45"/>
      <c r="U518" s="45"/>
    </row>
    <row r="519" spans="1:21" ht="18.7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8"/>
      <c r="T519" s="45"/>
      <c r="U519" s="45"/>
    </row>
    <row r="520" spans="1:21" ht="18.7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8"/>
      <c r="T520" s="45"/>
      <c r="U520" s="45"/>
    </row>
    <row r="521" spans="1:21" ht="18.7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8"/>
      <c r="T521" s="45"/>
      <c r="U521" s="45"/>
    </row>
    <row r="522" spans="1:21" ht="18.7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8"/>
      <c r="T522" s="45"/>
      <c r="U522" s="45"/>
    </row>
    <row r="523" spans="1:21" ht="18.7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8"/>
      <c r="T523" s="45"/>
      <c r="U523" s="45"/>
    </row>
    <row r="524" spans="1:21" ht="18.7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8"/>
      <c r="T524" s="45"/>
      <c r="U524" s="45"/>
    </row>
    <row r="525" spans="1:21" ht="18.7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8"/>
      <c r="T525" s="45"/>
      <c r="U525" s="45"/>
    </row>
    <row r="526" spans="1:21" ht="18.7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8"/>
      <c r="T526" s="45"/>
      <c r="U526" s="45"/>
    </row>
    <row r="527" spans="1:21" ht="18.7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8"/>
      <c r="T527" s="45"/>
      <c r="U527" s="45"/>
    </row>
    <row r="528" spans="1:21" ht="18.7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8"/>
      <c r="T528" s="45"/>
      <c r="U528" s="45"/>
    </row>
    <row r="529" spans="1:21" ht="18.7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8"/>
      <c r="T529" s="45"/>
      <c r="U529" s="45"/>
    </row>
    <row r="530" spans="1:21" ht="18.7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8"/>
      <c r="T530" s="45"/>
      <c r="U530" s="45"/>
    </row>
    <row r="531" spans="1:21" ht="18.7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8"/>
      <c r="T531" s="45"/>
      <c r="U531" s="45"/>
    </row>
    <row r="532" spans="1:21" ht="18.7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8"/>
      <c r="T532" s="45"/>
      <c r="U532" s="45"/>
    </row>
    <row r="533" spans="1:21" ht="18.7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8"/>
      <c r="T533" s="45"/>
      <c r="U533" s="45"/>
    </row>
    <row r="534" spans="1:21" ht="18.7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8"/>
      <c r="T534" s="45"/>
      <c r="U534" s="45"/>
    </row>
    <row r="535" spans="1:21" ht="18.7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8"/>
      <c r="T535" s="45"/>
      <c r="U535" s="45"/>
    </row>
    <row r="536" spans="1:21" ht="18.7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8"/>
      <c r="T536" s="45"/>
      <c r="U536" s="45"/>
    </row>
    <row r="537" spans="1:21" ht="18.7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8"/>
      <c r="T537" s="45"/>
      <c r="U537" s="45"/>
    </row>
    <row r="538" spans="1:21" ht="18.7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8"/>
      <c r="T538" s="45"/>
      <c r="U538" s="45"/>
    </row>
    <row r="539" spans="1:21" ht="18.7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8"/>
      <c r="T539" s="45"/>
      <c r="U539" s="45"/>
    </row>
    <row r="540" spans="1:21" ht="18.7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8"/>
      <c r="T540" s="45"/>
      <c r="U540" s="45"/>
    </row>
    <row r="541" spans="1:21" ht="18.7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8"/>
      <c r="T541" s="45"/>
      <c r="U541" s="45"/>
    </row>
    <row r="542" spans="1:21" ht="18.7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8"/>
      <c r="T542" s="45"/>
      <c r="U542" s="45"/>
    </row>
    <row r="543" spans="1:21" ht="18.7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8"/>
      <c r="T543" s="45"/>
      <c r="U543" s="45"/>
    </row>
    <row r="544" spans="1:21" ht="18.7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8"/>
      <c r="T544" s="45"/>
      <c r="U544" s="45"/>
    </row>
    <row r="545" spans="1:21" ht="18.7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8"/>
      <c r="T545" s="45"/>
      <c r="U545" s="45"/>
    </row>
    <row r="546" spans="1:21" ht="18.7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8"/>
      <c r="T546" s="45"/>
      <c r="U546" s="45"/>
    </row>
    <row r="547" spans="1:21" ht="18.7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8"/>
      <c r="T547" s="45"/>
      <c r="U547" s="45"/>
    </row>
    <row r="548" spans="1:21" ht="18.7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8"/>
      <c r="T548" s="45"/>
      <c r="U548" s="45"/>
    </row>
    <row r="549" spans="1:21" ht="18.7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8"/>
      <c r="T549" s="45"/>
      <c r="U549" s="45"/>
    </row>
    <row r="550" spans="1:21" ht="18.7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8"/>
      <c r="T550" s="45"/>
      <c r="U550" s="45"/>
    </row>
    <row r="551" spans="1:21" ht="18.7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8"/>
      <c r="T551" s="45"/>
      <c r="U551" s="45"/>
    </row>
    <row r="552" spans="1:21" ht="18.7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8"/>
      <c r="T552" s="45"/>
      <c r="U552" s="45"/>
    </row>
    <row r="553" spans="1:21" ht="18.7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8"/>
      <c r="T553" s="45"/>
      <c r="U553" s="45"/>
    </row>
    <row r="554" spans="1:21" ht="18.7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8"/>
      <c r="T554" s="45"/>
      <c r="U554" s="45"/>
    </row>
    <row r="555" spans="1:21" ht="18.7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8"/>
      <c r="T555" s="45"/>
      <c r="U555" s="45"/>
    </row>
    <row r="556" spans="1:21" ht="18.7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8"/>
      <c r="T556" s="45"/>
      <c r="U556" s="45"/>
    </row>
    <row r="557" spans="1:21" ht="18.7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8"/>
      <c r="T557" s="45"/>
      <c r="U557" s="45"/>
    </row>
    <row r="558" spans="1:21" ht="18.7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8"/>
      <c r="T558" s="45"/>
      <c r="U558" s="45"/>
    </row>
    <row r="559" spans="1:21" ht="18.7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8"/>
      <c r="T559" s="45"/>
      <c r="U559" s="45"/>
    </row>
    <row r="560" spans="1:21" ht="18.7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8"/>
      <c r="T560" s="45"/>
      <c r="U560" s="45"/>
    </row>
    <row r="561" spans="1:21" ht="18.7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8"/>
      <c r="T561" s="45"/>
      <c r="U561" s="45"/>
    </row>
    <row r="562" spans="1:21" ht="18.7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8"/>
      <c r="T562" s="45"/>
      <c r="U562" s="45"/>
    </row>
    <row r="563" spans="1:21" ht="18.7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8"/>
      <c r="T563" s="45"/>
      <c r="U563" s="45"/>
    </row>
    <row r="564" spans="1:21" ht="18.7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8"/>
      <c r="T564" s="45"/>
      <c r="U564" s="45"/>
    </row>
    <row r="565" spans="1:21" ht="18.7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8"/>
      <c r="T565" s="45"/>
      <c r="U565" s="45"/>
    </row>
    <row r="566" spans="1:21" ht="18.7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8"/>
      <c r="T566" s="45"/>
      <c r="U566" s="45"/>
    </row>
    <row r="567" spans="1:21" ht="18.7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8"/>
      <c r="T567" s="45"/>
      <c r="U567" s="45"/>
    </row>
    <row r="568" spans="1:21" ht="18.7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8"/>
      <c r="T568" s="45"/>
      <c r="U568" s="45"/>
    </row>
    <row r="569" spans="1:21" ht="18.7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8"/>
      <c r="T569" s="45"/>
      <c r="U569" s="45"/>
    </row>
    <row r="570" spans="1:21" ht="18.7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8"/>
      <c r="T570" s="45"/>
      <c r="U570" s="45"/>
    </row>
    <row r="571" spans="1:21" ht="18.7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8"/>
      <c r="T571" s="45"/>
      <c r="U571" s="45"/>
    </row>
    <row r="572" spans="1:21" ht="18.7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8"/>
      <c r="T572" s="45"/>
      <c r="U572" s="45"/>
    </row>
    <row r="573" spans="1:21" ht="18.7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8"/>
      <c r="T573" s="45"/>
      <c r="U573" s="45"/>
    </row>
    <row r="574" spans="1:21" ht="18.7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8"/>
      <c r="T574" s="45"/>
      <c r="U574" s="45"/>
    </row>
    <row r="575" spans="1:21" ht="18.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8"/>
      <c r="T575" s="45"/>
      <c r="U575" s="45"/>
    </row>
    <row r="576" spans="1:21" ht="18.7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8"/>
      <c r="T576" s="45"/>
      <c r="U576" s="45"/>
    </row>
    <row r="577" spans="1:21" ht="18.7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8"/>
      <c r="T577" s="45"/>
      <c r="U577" s="45"/>
    </row>
    <row r="578" spans="1:21" ht="18.7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8"/>
      <c r="T578" s="45"/>
      <c r="U578" s="45"/>
    </row>
    <row r="579" spans="1:21" ht="18.7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8"/>
      <c r="T579" s="45"/>
      <c r="U579" s="45"/>
    </row>
    <row r="580" spans="1:21" ht="18.7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8"/>
      <c r="T580" s="45"/>
      <c r="U580" s="45"/>
    </row>
    <row r="581" spans="1:21" ht="18.7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8"/>
      <c r="T581" s="45"/>
      <c r="U581" s="45"/>
    </row>
    <row r="582" spans="1:21" ht="18.7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8"/>
      <c r="T582" s="45"/>
      <c r="U582" s="45"/>
    </row>
    <row r="583" spans="1:21" ht="18.7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8"/>
      <c r="T583" s="45"/>
      <c r="U583" s="45"/>
    </row>
    <row r="584" spans="1:21" ht="18.7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8"/>
      <c r="T584" s="45"/>
      <c r="U584" s="45"/>
    </row>
    <row r="585" spans="1:21" ht="18.7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8"/>
      <c r="T585" s="45"/>
      <c r="U585" s="45"/>
    </row>
    <row r="586" spans="1:21" ht="18.7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8"/>
      <c r="T586" s="45"/>
      <c r="U586" s="45"/>
    </row>
    <row r="587" spans="1:21" ht="18.7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8"/>
      <c r="T587" s="45"/>
      <c r="U587" s="45"/>
    </row>
    <row r="588" spans="1:21" ht="18.7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8"/>
      <c r="T588" s="45"/>
      <c r="U588" s="45"/>
    </row>
    <row r="589" spans="1:21" ht="18.7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8"/>
      <c r="T589" s="45"/>
      <c r="U589" s="45"/>
    </row>
    <row r="590" spans="1:21" ht="18.7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8"/>
      <c r="T590" s="45"/>
      <c r="U590" s="45"/>
    </row>
    <row r="591" spans="1:21" ht="18.7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8"/>
      <c r="T591" s="45"/>
      <c r="U591" s="45"/>
    </row>
    <row r="592" spans="1:21" ht="18.7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8"/>
      <c r="T592" s="45"/>
      <c r="U592" s="45"/>
    </row>
    <row r="593" spans="1:21" ht="18.7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8"/>
      <c r="T593" s="45"/>
      <c r="U593" s="45"/>
    </row>
    <row r="594" spans="1:21" ht="18.7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8"/>
      <c r="T594" s="45"/>
      <c r="U594" s="45"/>
    </row>
    <row r="595" spans="1:21" ht="18.7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8"/>
      <c r="T595" s="45"/>
      <c r="U595" s="45"/>
    </row>
    <row r="596" spans="1:21" ht="18.7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8"/>
      <c r="T596" s="45"/>
      <c r="U596" s="45"/>
    </row>
    <row r="597" spans="1:21" ht="18.7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8"/>
      <c r="T597" s="45"/>
      <c r="U597" s="45"/>
    </row>
    <row r="598" spans="1:21" ht="18.7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8"/>
      <c r="T598" s="45"/>
      <c r="U598" s="45"/>
    </row>
    <row r="599" spans="1:21" ht="18.7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8"/>
      <c r="T599" s="45"/>
      <c r="U599" s="45"/>
    </row>
    <row r="600" spans="1:21" ht="18.7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8"/>
      <c r="T600" s="45"/>
      <c r="U600" s="45"/>
    </row>
    <row r="601" spans="1:21" ht="18.7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8"/>
      <c r="T601" s="45"/>
      <c r="U601" s="45"/>
    </row>
    <row r="602" spans="1:21" ht="18.7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8"/>
      <c r="T602" s="45"/>
      <c r="U602" s="45"/>
    </row>
    <row r="603" spans="1:21" ht="18.7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8"/>
      <c r="T603" s="45"/>
      <c r="U603" s="45"/>
    </row>
    <row r="604" spans="1:21" ht="18.7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8"/>
      <c r="T604" s="45"/>
      <c r="U604" s="45"/>
    </row>
    <row r="605" spans="1:21" ht="18.7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8"/>
      <c r="T605" s="45"/>
      <c r="U605" s="45"/>
    </row>
    <row r="606" spans="1:21" ht="18.7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8"/>
      <c r="T606" s="45"/>
      <c r="U606" s="45"/>
    </row>
    <row r="607" spans="1:21" ht="18.7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8"/>
      <c r="T607" s="45"/>
      <c r="U607" s="45"/>
    </row>
    <row r="608" spans="1:21" ht="18.7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8"/>
      <c r="T608" s="45"/>
      <c r="U608" s="45"/>
    </row>
    <row r="609" spans="1:21" ht="18.7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8"/>
      <c r="T609" s="45"/>
      <c r="U609" s="45"/>
    </row>
    <row r="610" spans="1:21" ht="18.7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8"/>
      <c r="T610" s="45"/>
      <c r="U610" s="45"/>
    </row>
    <row r="611" spans="1:21" ht="18.7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8"/>
      <c r="T611" s="45"/>
      <c r="U611" s="45"/>
    </row>
    <row r="612" spans="1:21" ht="18.7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8"/>
      <c r="T612" s="45"/>
      <c r="U612" s="45"/>
    </row>
    <row r="613" spans="1:21" ht="18.7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8"/>
      <c r="T613" s="45"/>
      <c r="U613" s="45"/>
    </row>
    <row r="614" spans="1:21" ht="18.7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8"/>
      <c r="T614" s="45"/>
      <c r="U614" s="45"/>
    </row>
    <row r="615" spans="1:21" ht="18.7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8"/>
      <c r="T615" s="45"/>
      <c r="U615" s="45"/>
    </row>
    <row r="616" spans="1:21" ht="18.7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8"/>
      <c r="T616" s="45"/>
      <c r="U616" s="45"/>
    </row>
    <row r="617" spans="1:21" ht="18.7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8"/>
      <c r="T617" s="45"/>
      <c r="U617" s="45"/>
    </row>
    <row r="618" spans="1:21" ht="18.7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8"/>
      <c r="T618" s="45"/>
      <c r="U618" s="45"/>
    </row>
    <row r="619" spans="1:21" ht="18.7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8"/>
      <c r="T619" s="45"/>
      <c r="U619" s="45"/>
    </row>
    <row r="620" spans="1:21" ht="18.7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8"/>
      <c r="T620" s="45"/>
      <c r="U620" s="45"/>
    </row>
    <row r="621" spans="1:21" ht="18.7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8"/>
      <c r="T621" s="45"/>
      <c r="U621" s="45"/>
    </row>
    <row r="622" spans="1:21" ht="18.7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8"/>
      <c r="T622" s="45"/>
      <c r="U622" s="45"/>
    </row>
    <row r="623" spans="1:21" ht="18.7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8"/>
      <c r="T623" s="45"/>
      <c r="U623" s="45"/>
    </row>
    <row r="624" spans="1:21" ht="18.7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8"/>
      <c r="T624" s="45"/>
      <c r="U624" s="45"/>
    </row>
    <row r="625" spans="1:21" ht="18.7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8"/>
      <c r="T625" s="45"/>
      <c r="U625" s="45"/>
    </row>
    <row r="626" spans="1:21" ht="18.7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8"/>
      <c r="T626" s="45"/>
      <c r="U626" s="45"/>
    </row>
    <row r="627" spans="1:21" ht="18.7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8"/>
      <c r="T627" s="45"/>
      <c r="U627" s="45"/>
    </row>
    <row r="628" spans="1:21" ht="18.7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8"/>
      <c r="T628" s="45"/>
      <c r="U628" s="45"/>
    </row>
    <row r="629" spans="1:21" ht="18.7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8"/>
      <c r="T629" s="45"/>
      <c r="U629" s="45"/>
    </row>
    <row r="630" spans="1:21" ht="18.7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8"/>
      <c r="T630" s="45"/>
      <c r="U630" s="45"/>
    </row>
    <row r="631" spans="1:21" ht="18.7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8"/>
      <c r="T631" s="45"/>
      <c r="U631" s="45"/>
    </row>
    <row r="632" spans="1:21" ht="18.7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8"/>
      <c r="T632" s="45"/>
      <c r="U632" s="45"/>
    </row>
    <row r="633" spans="1:21" ht="18.7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8"/>
      <c r="T633" s="45"/>
      <c r="U633" s="45"/>
    </row>
    <row r="634" spans="1:21" ht="18.7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8"/>
      <c r="T634" s="45"/>
      <c r="U634" s="45"/>
    </row>
    <row r="635" spans="1:21" ht="18.7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8"/>
      <c r="T635" s="45"/>
      <c r="U635" s="45"/>
    </row>
    <row r="636" spans="1:21" ht="18.7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8"/>
      <c r="T636" s="45"/>
      <c r="U636" s="45"/>
    </row>
    <row r="637" spans="1:21" ht="18.7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8"/>
      <c r="T637" s="45"/>
      <c r="U637" s="45"/>
    </row>
    <row r="638" spans="1:21" ht="18.7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8"/>
      <c r="T638" s="45"/>
      <c r="U638" s="45"/>
    </row>
    <row r="639" spans="1:21" ht="18.7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8"/>
      <c r="T639" s="45"/>
      <c r="U639" s="45"/>
    </row>
    <row r="640" spans="1:21" ht="18.7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8"/>
      <c r="T640" s="45"/>
      <c r="U640" s="45"/>
    </row>
    <row r="641" spans="1:21" ht="18.7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8"/>
      <c r="T641" s="45"/>
      <c r="U641" s="45"/>
    </row>
    <row r="642" spans="1:21" ht="18.7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8"/>
      <c r="T642" s="45"/>
      <c r="U642" s="45"/>
    </row>
    <row r="643" spans="1:21" ht="18.7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8"/>
      <c r="T643" s="45"/>
      <c r="U643" s="45"/>
    </row>
    <row r="644" spans="1:21" ht="18.7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8"/>
      <c r="T644" s="45"/>
      <c r="U644" s="45"/>
    </row>
    <row r="645" spans="1:21" ht="18.7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8"/>
      <c r="T645" s="45"/>
      <c r="U645" s="45"/>
    </row>
    <row r="646" spans="1:21" ht="18.7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8"/>
      <c r="T646" s="45"/>
      <c r="U646" s="45"/>
    </row>
    <row r="647" spans="1:21" ht="18.7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8"/>
      <c r="T647" s="45"/>
      <c r="U647" s="45"/>
    </row>
    <row r="648" spans="1:21" ht="18.7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8"/>
      <c r="T648" s="45"/>
      <c r="U648" s="45"/>
    </row>
    <row r="649" spans="1:21" ht="18.7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8"/>
      <c r="T649" s="45"/>
      <c r="U649" s="45"/>
    </row>
    <row r="650" spans="1:21" ht="18.7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8"/>
      <c r="T650" s="45"/>
      <c r="U650" s="45"/>
    </row>
    <row r="651" spans="1:21" ht="18.7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8"/>
      <c r="T651" s="45"/>
      <c r="U651" s="45"/>
    </row>
    <row r="652" spans="1:21" ht="18.7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8"/>
      <c r="T652" s="45"/>
      <c r="U652" s="45"/>
    </row>
    <row r="653" spans="1:21" ht="18.7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8"/>
      <c r="T653" s="45"/>
      <c r="U653" s="45"/>
    </row>
    <row r="654" spans="1:21" ht="18.7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8"/>
      <c r="T654" s="45"/>
      <c r="U654" s="45"/>
    </row>
    <row r="655" spans="1:21" ht="18.7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8"/>
      <c r="T655" s="45"/>
      <c r="U655" s="45"/>
    </row>
    <row r="656" spans="1:21" ht="18.7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8"/>
      <c r="T656" s="45"/>
      <c r="U656" s="45"/>
    </row>
    <row r="657" spans="1:21" ht="18.7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8"/>
      <c r="T657" s="45"/>
      <c r="U657" s="45"/>
    </row>
    <row r="658" spans="1:21" ht="18.7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8"/>
      <c r="T658" s="45"/>
      <c r="U658" s="45"/>
    </row>
  </sheetData>
  <autoFilter ref="A1:U25" xr:uid="{00000000-0009-0000-0000-000005000000}"/>
  <conditionalFormatting sqref="H1:H1048576 L1:L1048576">
    <cfRule type="cellIs" dxfId="11" priority="3" operator="lessThan">
      <formula>0.65</formula>
    </cfRule>
    <cfRule type="cellIs" dxfId="10" priority="4" operator="greaterThan">
      <formula>1</formula>
    </cfRule>
  </conditionalFormatting>
  <conditionalFormatting sqref="O2:R25">
    <cfRule type="cellIs" dxfId="9" priority="5" operator="lessThan">
      <formula>0.65</formula>
    </cfRule>
  </conditionalFormatting>
  <conditionalFormatting sqref="Q1">
    <cfRule type="cellIs" dxfId="8" priority="1" operator="lessThan">
      <formula>0.65</formula>
    </cfRule>
    <cfRule type="cellIs" dxfId="7" priority="2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58"/>
  <sheetViews>
    <sheetView zoomScale="85" zoomScaleNormal="85" workbookViewId="0">
      <pane ySplit="1" topLeftCell="A2" activePane="bottomLeft" state="frozen"/>
      <selection activeCell="K267" sqref="K267"/>
      <selection pane="bottomLeft" activeCell="A26" sqref="A26:XFD32"/>
    </sheetView>
  </sheetViews>
  <sheetFormatPr defaultColWidth="9.140625" defaultRowHeight="15"/>
  <cols>
    <col min="1" max="1" width="14.42578125" style="46" customWidth="1"/>
    <col min="2" max="18" width="12.7109375" style="46" customWidth="1"/>
    <col min="19" max="19" width="12.7109375" style="49" customWidth="1"/>
    <col min="20" max="20" width="12.7109375" style="46" customWidth="1"/>
    <col min="21" max="21" width="14.42578125" style="46" customWidth="1"/>
    <col min="22" max="16384" width="9.140625" style="32"/>
  </cols>
  <sheetData>
    <row r="1" spans="1:21" ht="60">
      <c r="A1" s="27" t="s">
        <v>132</v>
      </c>
      <c r="B1" s="28" t="s">
        <v>98</v>
      </c>
      <c r="C1" s="29" t="s">
        <v>99</v>
      </c>
      <c r="D1" s="30" t="s">
        <v>100</v>
      </c>
      <c r="E1" s="29" t="s">
        <v>101</v>
      </c>
      <c r="F1" s="30" t="s">
        <v>102</v>
      </c>
      <c r="G1" s="30" t="s">
        <v>103</v>
      </c>
      <c r="H1" s="29" t="s">
        <v>104</v>
      </c>
      <c r="I1" s="29" t="s">
        <v>105</v>
      </c>
      <c r="J1" s="30" t="s">
        <v>106</v>
      </c>
      <c r="K1" s="30" t="s">
        <v>107</v>
      </c>
      <c r="L1" s="29" t="s">
        <v>108</v>
      </c>
      <c r="M1" s="29" t="s">
        <v>109</v>
      </c>
      <c r="N1" s="29" t="s">
        <v>110</v>
      </c>
      <c r="O1" s="29" t="s">
        <v>111</v>
      </c>
      <c r="P1" s="29" t="s">
        <v>112</v>
      </c>
      <c r="Q1" s="29" t="s">
        <v>113</v>
      </c>
      <c r="R1" s="29" t="s">
        <v>114</v>
      </c>
      <c r="S1" s="47" t="s">
        <v>115</v>
      </c>
      <c r="T1" s="29" t="s">
        <v>116</v>
      </c>
      <c r="U1" s="31" t="s">
        <v>117</v>
      </c>
    </row>
    <row r="2" spans="1:21" ht="18.75">
      <c r="A2" s="44">
        <v>46055</v>
      </c>
      <c r="B2" s="34">
        <f>SUMIFS('OEE AHV'!J:J,'OEE AHV'!$B:$B,'AHV-06'!$A2,'OEE AHV'!$D:$D,'AHV-06'!$A$1)</f>
        <v>73.954427083333343</v>
      </c>
      <c r="C2" s="35">
        <f t="shared" ref="C2:C25" si="0">AVERAGEIF($B:$B,"&gt;0")</f>
        <v>101.34261067708331</v>
      </c>
      <c r="D2" s="34">
        <f t="shared" ref="D2:D25" si="1">ROUNDDOWN((K2/750)+(F2/240)+(F2/240),"0")</f>
        <v>25</v>
      </c>
      <c r="E2" s="36">
        <f t="shared" ref="E2:E25" si="2">AVERAGEIF($D:$D,"&gt;0")</f>
        <v>32.625</v>
      </c>
      <c r="F2" s="34">
        <f>SUMIFS('OEE AHV'!M:M,'OEE AHV'!$B:$B,'AHV-06'!$A2,'OEE AHV'!$D:$D,'AHV-06'!$A$1)</f>
        <v>1366.0455729166667</v>
      </c>
      <c r="G2" s="37">
        <f t="shared" ref="G2:G25" si="3">ROUNDUP((1400-F2)-(F2*0.5%),"0")</f>
        <v>28</v>
      </c>
      <c r="H2" s="38">
        <f t="shared" ref="H2:H25" si="4">IFERROR(IF(AND(F2="",G2="")=TRUE,"",F2/(1440-G2)),"")</f>
        <v>0.96745437175401328</v>
      </c>
      <c r="I2" s="38">
        <f>95%</f>
        <v>0.95</v>
      </c>
      <c r="J2" s="39"/>
      <c r="K2" s="40">
        <f>SUMIFS('OEE AHV'!Q:Q,'OEE AHV'!$B:$B,'AHV-06'!$A2,'OEE AHV'!$D:$D,'AHV-06'!$A$1)</f>
        <v>10742</v>
      </c>
      <c r="L2" s="38">
        <f t="shared" ref="L2:L25" si="5">IF(AND(J2="",K2="")=TRUE,"",IF(OR(J2="MMS",K2="MMS")=TRUE,"",IFERROR(K2/((F2*60)/J2),1)))</f>
        <v>1</v>
      </c>
      <c r="M2" s="38">
        <f>99%</f>
        <v>0.99</v>
      </c>
      <c r="N2" s="41" t="s">
        <v>118</v>
      </c>
      <c r="O2" s="38">
        <f t="shared" ref="O2:O25" si="6">IF(N2="","",IF(N2="MMS","",IFERROR((K2-N2)/K2,1)))</f>
        <v>1</v>
      </c>
      <c r="P2" s="38">
        <f>100%</f>
        <v>1</v>
      </c>
      <c r="Q2" s="38">
        <f t="shared" ref="Q2:R17" si="7">IFERROR(IF(AND(H2="",L2="",O2="")=TRUE,"",IF(H2="",1,H2)*IF(L2="",1,L2)*IF(O2="",1,O2)),"")</f>
        <v>0.96745437175401328</v>
      </c>
      <c r="R2" s="38">
        <f t="shared" si="7"/>
        <v>0.9405</v>
      </c>
      <c r="S2" s="42">
        <f>ROUNDUP((('AHV-06'!$F2/480)/3),"0")</f>
        <v>1</v>
      </c>
      <c r="T2" s="43">
        <f t="shared" ref="T2:T25" si="8">IFERROR(K2/S2,"")</f>
        <v>10742</v>
      </c>
      <c r="U2" s="33" t="s">
        <v>119</v>
      </c>
    </row>
    <row r="3" spans="1:21" ht="18.75">
      <c r="A3" s="44">
        <v>46056</v>
      </c>
      <c r="B3" s="34">
        <f>SUMIFS('OEE AHV'!J:J,'OEE AHV'!$B:$B,'AHV-06'!$A3,'OEE AHV'!$D:$D,'AHV-06'!$A$1)</f>
        <v>80.881510416666657</v>
      </c>
      <c r="C3" s="35">
        <f t="shared" si="0"/>
        <v>101.34261067708331</v>
      </c>
      <c r="D3" s="34">
        <f t="shared" si="1"/>
        <v>27</v>
      </c>
      <c r="E3" s="36">
        <f t="shared" si="2"/>
        <v>32.625</v>
      </c>
      <c r="F3" s="34">
        <f>SUMIFS('OEE AHV'!M:M,'OEE AHV'!$B:$B,'AHV-06'!$A3,'OEE AHV'!$D:$D,'AHV-06'!$A$1)</f>
        <v>1359.1184895833333</v>
      </c>
      <c r="G3" s="37">
        <f t="shared" si="3"/>
        <v>35</v>
      </c>
      <c r="H3" s="38">
        <f t="shared" si="4"/>
        <v>0.96734412069988129</v>
      </c>
      <c r="I3" s="38">
        <f t="shared" ref="I3:I25" si="9">I2</f>
        <v>0.95</v>
      </c>
      <c r="J3" s="39"/>
      <c r="K3" s="40">
        <f>SUMIFS('OEE AHV'!Q:Q,'OEE AHV'!$B:$B,'AHV-06'!$A3,'OEE AHV'!$D:$D,'AHV-06'!$A$1)</f>
        <v>12262</v>
      </c>
      <c r="L3" s="38">
        <f t="shared" si="5"/>
        <v>1</v>
      </c>
      <c r="M3" s="38">
        <f t="shared" ref="M3:M25" si="10">M2</f>
        <v>0.99</v>
      </c>
      <c r="N3" s="41" t="s">
        <v>118</v>
      </c>
      <c r="O3" s="38">
        <f t="shared" si="6"/>
        <v>1</v>
      </c>
      <c r="P3" s="38">
        <f t="shared" ref="P3:P25" si="11">P2</f>
        <v>1</v>
      </c>
      <c r="Q3" s="38">
        <f t="shared" si="7"/>
        <v>0.96734412069988129</v>
      </c>
      <c r="R3" s="38">
        <f t="shared" si="7"/>
        <v>0.9405</v>
      </c>
      <c r="S3" s="42">
        <f>ROUNDUP((('AHV-06'!$F3/480)/3),"0")</f>
        <v>1</v>
      </c>
      <c r="T3" s="43">
        <f t="shared" si="8"/>
        <v>12262</v>
      </c>
      <c r="U3" s="33" t="str">
        <f t="shared" ref="U3:U25" si="12">U2</f>
        <v>FY2025_MLS_Spindle Motor_Spindle Motor(FDB UNIT)_Bang Pa-in</v>
      </c>
    </row>
    <row r="4" spans="1:21" ht="18.75">
      <c r="A4" s="44">
        <v>46057</v>
      </c>
      <c r="B4" s="34">
        <f>SUMIFS('OEE AHV'!J:J,'OEE AHV'!$B:$B,'AHV-06'!$A4,'OEE AHV'!$D:$D,'AHV-06'!$A$1)</f>
        <v>101.88151041666666</v>
      </c>
      <c r="C4" s="35">
        <f t="shared" si="0"/>
        <v>101.34261067708331</v>
      </c>
      <c r="D4" s="34">
        <f t="shared" si="1"/>
        <v>33</v>
      </c>
      <c r="E4" s="36">
        <f t="shared" si="2"/>
        <v>32.625</v>
      </c>
      <c r="F4" s="34">
        <f>SUMIFS('OEE AHV'!M:M,'OEE AHV'!$B:$B,'AHV-06'!$A4,'OEE AHV'!$D:$D,'AHV-06'!$A$1)</f>
        <v>1338.1184895833333</v>
      </c>
      <c r="G4" s="37">
        <f t="shared" si="3"/>
        <v>56</v>
      </c>
      <c r="H4" s="38">
        <f t="shared" si="4"/>
        <v>0.96684861964113678</v>
      </c>
      <c r="I4" s="38">
        <f t="shared" si="9"/>
        <v>0.95</v>
      </c>
      <c r="J4" s="39"/>
      <c r="K4" s="40">
        <f>SUMIFS('OEE AHV'!Q:Q,'OEE AHV'!$B:$B,'AHV-06'!$A4,'OEE AHV'!$D:$D,'AHV-06'!$A$1)</f>
        <v>16870</v>
      </c>
      <c r="L4" s="38">
        <f t="shared" si="5"/>
        <v>1</v>
      </c>
      <c r="M4" s="38">
        <f t="shared" si="10"/>
        <v>0.99</v>
      </c>
      <c r="N4" s="41" t="s">
        <v>118</v>
      </c>
      <c r="O4" s="38">
        <f t="shared" si="6"/>
        <v>1</v>
      </c>
      <c r="P4" s="38">
        <f t="shared" si="11"/>
        <v>1</v>
      </c>
      <c r="Q4" s="38">
        <f t="shared" si="7"/>
        <v>0.96684861964113678</v>
      </c>
      <c r="R4" s="38">
        <f t="shared" si="7"/>
        <v>0.9405</v>
      </c>
      <c r="S4" s="42">
        <f>ROUNDUP((('AHV-06'!$F4/480)/3),"0")</f>
        <v>1</v>
      </c>
      <c r="T4" s="43">
        <f t="shared" si="8"/>
        <v>16870</v>
      </c>
      <c r="U4" s="33" t="str">
        <f t="shared" si="12"/>
        <v>FY2025_MLS_Spindle Motor_Spindle Motor(FDB UNIT)_Bang Pa-in</v>
      </c>
    </row>
    <row r="5" spans="1:21" ht="18.75">
      <c r="A5" s="44">
        <v>46058</v>
      </c>
      <c r="B5" s="34">
        <f>SUMIFS('OEE AHV'!J:J,'OEE AHV'!$B:$B,'AHV-06'!$A5,'OEE AHV'!$D:$D,'AHV-06'!$A$1)</f>
        <v>106.57096354166667</v>
      </c>
      <c r="C5" s="35">
        <f t="shared" si="0"/>
        <v>101.34261067708331</v>
      </c>
      <c r="D5" s="34">
        <f t="shared" si="1"/>
        <v>34</v>
      </c>
      <c r="E5" s="36">
        <f t="shared" si="2"/>
        <v>32.625</v>
      </c>
      <c r="F5" s="34">
        <f>SUMIFS('OEE AHV'!M:M,'OEE AHV'!$B:$B,'AHV-06'!$A5,'OEE AHV'!$D:$D,'AHV-06'!$A$1)</f>
        <v>1333.4290364583333</v>
      </c>
      <c r="G5" s="37">
        <f t="shared" si="3"/>
        <v>60</v>
      </c>
      <c r="H5" s="38">
        <f t="shared" si="4"/>
        <v>0.96625292496980675</v>
      </c>
      <c r="I5" s="38">
        <f t="shared" si="9"/>
        <v>0.95</v>
      </c>
      <c r="J5" s="39"/>
      <c r="K5" s="40">
        <f>SUMIFS('OEE AHV'!Q:Q,'OEE AHV'!$B:$B,'AHV-06'!$A5,'OEE AHV'!$D:$D,'AHV-06'!$A$1)</f>
        <v>17899</v>
      </c>
      <c r="L5" s="38">
        <f t="shared" si="5"/>
        <v>1</v>
      </c>
      <c r="M5" s="38">
        <f t="shared" si="10"/>
        <v>0.99</v>
      </c>
      <c r="N5" s="41" t="s">
        <v>118</v>
      </c>
      <c r="O5" s="38">
        <f t="shared" si="6"/>
        <v>1</v>
      </c>
      <c r="P5" s="38">
        <f t="shared" si="11"/>
        <v>1</v>
      </c>
      <c r="Q5" s="38">
        <f t="shared" si="7"/>
        <v>0.96625292496980675</v>
      </c>
      <c r="R5" s="38">
        <f t="shared" si="7"/>
        <v>0.9405</v>
      </c>
      <c r="S5" s="42">
        <f>ROUNDUP((('AHV-06'!$F5/480)/3),"0")</f>
        <v>1</v>
      </c>
      <c r="T5" s="43">
        <f t="shared" si="8"/>
        <v>17899</v>
      </c>
      <c r="U5" s="33" t="str">
        <f t="shared" si="12"/>
        <v>FY2025_MLS_Spindle Motor_Spindle Motor(FDB UNIT)_Bang Pa-in</v>
      </c>
    </row>
    <row r="6" spans="1:21" ht="18.75">
      <c r="A6" s="44">
        <v>46059</v>
      </c>
      <c r="B6" s="34">
        <f>SUMIFS('OEE AHV'!J:J,'OEE AHV'!$B:$B,'AHV-06'!$A6,'OEE AHV'!$D:$D,'AHV-06'!$A$1)</f>
        <v>108.90885416666667</v>
      </c>
      <c r="C6" s="35">
        <f t="shared" si="0"/>
        <v>101.34261067708331</v>
      </c>
      <c r="D6" s="34">
        <f t="shared" si="1"/>
        <v>35</v>
      </c>
      <c r="E6" s="36">
        <f t="shared" si="2"/>
        <v>32.625</v>
      </c>
      <c r="F6" s="34">
        <f>SUMIFS('OEE AHV'!M:M,'OEE AHV'!$B:$B,'AHV-06'!$A6,'OEE AHV'!$D:$D,'AHV-06'!$A$1)</f>
        <v>1331.0911458333333</v>
      </c>
      <c r="G6" s="37">
        <f t="shared" si="3"/>
        <v>63</v>
      </c>
      <c r="H6" s="38">
        <f t="shared" si="4"/>
        <v>0.96666023662551437</v>
      </c>
      <c r="I6" s="38">
        <f t="shared" si="9"/>
        <v>0.95</v>
      </c>
      <c r="J6" s="39"/>
      <c r="K6" s="40">
        <f>SUMIFS('OEE AHV'!Q:Q,'OEE AHV'!$B:$B,'AHV-06'!$A6,'OEE AHV'!$D:$D,'AHV-06'!$A$1)</f>
        <v>18412</v>
      </c>
      <c r="L6" s="38">
        <f t="shared" si="5"/>
        <v>1</v>
      </c>
      <c r="M6" s="38">
        <f t="shared" si="10"/>
        <v>0.99</v>
      </c>
      <c r="N6" s="41" t="s">
        <v>118</v>
      </c>
      <c r="O6" s="38">
        <f t="shared" si="6"/>
        <v>1</v>
      </c>
      <c r="P6" s="38">
        <f t="shared" si="11"/>
        <v>1</v>
      </c>
      <c r="Q6" s="38">
        <f t="shared" si="7"/>
        <v>0.96666023662551437</v>
      </c>
      <c r="R6" s="38">
        <f t="shared" si="7"/>
        <v>0.9405</v>
      </c>
      <c r="S6" s="42">
        <f>ROUNDUP((('AHV-06'!$F6/480)/3),"0")</f>
        <v>1</v>
      </c>
      <c r="T6" s="43">
        <f t="shared" si="8"/>
        <v>18412</v>
      </c>
      <c r="U6" s="33" t="str">
        <f t="shared" si="12"/>
        <v>FY2025_MLS_Spindle Motor_Spindle Motor(FDB UNIT)_Bang Pa-in</v>
      </c>
    </row>
    <row r="7" spans="1:21" ht="18.75">
      <c r="A7" s="44">
        <v>46060</v>
      </c>
      <c r="B7" s="34">
        <f>SUMIFS('OEE AHV'!J:J,'OEE AHV'!$B:$B,'AHV-06'!$A7,'OEE AHV'!$D:$D,'AHV-06'!$A$1)</f>
        <v>111.27864583333334</v>
      </c>
      <c r="C7" s="35">
        <f t="shared" si="0"/>
        <v>101.34261067708331</v>
      </c>
      <c r="D7" s="34">
        <f t="shared" si="1"/>
        <v>36</v>
      </c>
      <c r="E7" s="36">
        <f t="shared" si="2"/>
        <v>32.625</v>
      </c>
      <c r="F7" s="34">
        <f>SUMIFS('OEE AHV'!M:M,'OEE AHV'!$B:$B,'AHV-06'!$A7,'OEE AHV'!$D:$D,'AHV-06'!$A$1)</f>
        <v>1328.7213541666667</v>
      </c>
      <c r="G7" s="37">
        <f t="shared" si="3"/>
        <v>65</v>
      </c>
      <c r="H7" s="38">
        <f t="shared" si="4"/>
        <v>0.96634280303030307</v>
      </c>
      <c r="I7" s="38">
        <f t="shared" si="9"/>
        <v>0.95</v>
      </c>
      <c r="J7" s="39"/>
      <c r="K7" s="40">
        <f>SUMIFS('OEE AHV'!Q:Q,'OEE AHV'!$B:$B,'AHV-06'!$A7,'OEE AHV'!$D:$D,'AHV-06'!$A$1)</f>
        <v>18932</v>
      </c>
      <c r="L7" s="38">
        <f t="shared" si="5"/>
        <v>1</v>
      </c>
      <c r="M7" s="38">
        <f t="shared" si="10"/>
        <v>0.99</v>
      </c>
      <c r="N7" s="41" t="s">
        <v>118</v>
      </c>
      <c r="O7" s="38">
        <f t="shared" si="6"/>
        <v>1</v>
      </c>
      <c r="P7" s="38">
        <f t="shared" si="11"/>
        <v>1</v>
      </c>
      <c r="Q7" s="38">
        <f t="shared" si="7"/>
        <v>0.96634280303030307</v>
      </c>
      <c r="R7" s="38">
        <f t="shared" si="7"/>
        <v>0.9405</v>
      </c>
      <c r="S7" s="42">
        <f>ROUNDUP((('AHV-06'!$F7/480)/3),"0")</f>
        <v>1</v>
      </c>
      <c r="T7" s="43">
        <f t="shared" si="8"/>
        <v>18932</v>
      </c>
      <c r="U7" s="33" t="str">
        <f t="shared" si="12"/>
        <v>FY2025_MLS_Spindle Motor_Spindle Motor(FDB UNIT)_Bang Pa-in</v>
      </c>
    </row>
    <row r="8" spans="1:21" ht="18.75">
      <c r="A8" s="44">
        <v>46061</v>
      </c>
      <c r="B8" s="34">
        <f>SUMIFS('OEE AHV'!J:J,'OEE AHV'!$B:$B,'AHV-06'!$A8,'OEE AHV'!$D:$D,'AHV-06'!$A$1)</f>
        <v>48.305989583333329</v>
      </c>
      <c r="C8" s="35">
        <f t="shared" si="0"/>
        <v>101.34261067708331</v>
      </c>
      <c r="D8" s="34">
        <f t="shared" si="1"/>
        <v>12</v>
      </c>
      <c r="E8" s="36">
        <f t="shared" si="2"/>
        <v>32.625</v>
      </c>
      <c r="F8" s="34">
        <f>SUMIFS('OEE AHV'!M:M,'OEE AHV'!$B:$B,'AHV-06'!$A8,'OEE AHV'!$D:$D,'AHV-06'!$A$1)</f>
        <v>671.69401041666663</v>
      </c>
      <c r="G8" s="37">
        <f t="shared" si="3"/>
        <v>725</v>
      </c>
      <c r="H8" s="38">
        <f t="shared" si="4"/>
        <v>0.9394321824009324</v>
      </c>
      <c r="I8" s="38">
        <f t="shared" si="9"/>
        <v>0.95</v>
      </c>
      <c r="J8" s="39"/>
      <c r="K8" s="40">
        <f>SUMIFS('OEE AHV'!Q:Q,'OEE AHV'!$B:$B,'AHV-06'!$A8,'OEE AHV'!$D:$D,'AHV-06'!$A$1)</f>
        <v>5114</v>
      </c>
      <c r="L8" s="38">
        <f t="shared" si="5"/>
        <v>1</v>
      </c>
      <c r="M8" s="38">
        <f t="shared" si="10"/>
        <v>0.99</v>
      </c>
      <c r="N8" s="41" t="s">
        <v>118</v>
      </c>
      <c r="O8" s="38">
        <f t="shared" si="6"/>
        <v>1</v>
      </c>
      <c r="P8" s="38">
        <f t="shared" si="11"/>
        <v>1</v>
      </c>
      <c r="Q8" s="38">
        <f t="shared" si="7"/>
        <v>0.9394321824009324</v>
      </c>
      <c r="R8" s="38">
        <f t="shared" si="7"/>
        <v>0.9405</v>
      </c>
      <c r="S8" s="42">
        <f>ROUNDUP((('AHV-06'!$F8/480)/3),"0")</f>
        <v>1</v>
      </c>
      <c r="T8" s="43">
        <f t="shared" si="8"/>
        <v>5114</v>
      </c>
      <c r="U8" s="33" t="str">
        <f t="shared" si="12"/>
        <v>FY2025_MLS_Spindle Motor_Spindle Motor(FDB UNIT)_Bang Pa-in</v>
      </c>
    </row>
    <row r="9" spans="1:21" ht="18.75">
      <c r="A9" s="44">
        <v>46062</v>
      </c>
      <c r="B9" s="34">
        <f>SUMIFS('OEE AHV'!J:J,'OEE AHV'!$B:$B,'AHV-06'!$A9,'OEE AHV'!$D:$D,'AHV-06'!$A$1)</f>
        <v>101.84049479166667</v>
      </c>
      <c r="C9" s="35">
        <f t="shared" si="0"/>
        <v>101.34261067708331</v>
      </c>
      <c r="D9" s="34">
        <f t="shared" si="1"/>
        <v>33</v>
      </c>
      <c r="E9" s="36">
        <f t="shared" si="2"/>
        <v>32.625</v>
      </c>
      <c r="F9" s="34">
        <f>SUMIFS('OEE AHV'!M:M,'OEE AHV'!$B:$B,'AHV-06'!$A9,'OEE AHV'!$D:$D,'AHV-06'!$A$1)</f>
        <v>1338.1595052083333</v>
      </c>
      <c r="G9" s="37">
        <f t="shared" si="3"/>
        <v>56</v>
      </c>
      <c r="H9" s="38">
        <f t="shared" si="4"/>
        <v>0.96687825520833326</v>
      </c>
      <c r="I9" s="38">
        <f t="shared" si="9"/>
        <v>0.95</v>
      </c>
      <c r="J9" s="39"/>
      <c r="K9" s="40">
        <f>SUMIFS('OEE AHV'!Q:Q,'OEE AHV'!$B:$B,'AHV-06'!$A9,'OEE AHV'!$D:$D,'AHV-06'!$A$1)</f>
        <v>16861</v>
      </c>
      <c r="L9" s="38">
        <f t="shared" si="5"/>
        <v>1</v>
      </c>
      <c r="M9" s="38">
        <f t="shared" si="10"/>
        <v>0.99</v>
      </c>
      <c r="N9" s="41" t="s">
        <v>118</v>
      </c>
      <c r="O9" s="38">
        <f t="shared" si="6"/>
        <v>1</v>
      </c>
      <c r="P9" s="38">
        <f t="shared" si="11"/>
        <v>1</v>
      </c>
      <c r="Q9" s="38">
        <f t="shared" si="7"/>
        <v>0.96687825520833326</v>
      </c>
      <c r="R9" s="38">
        <f t="shared" si="7"/>
        <v>0.9405</v>
      </c>
      <c r="S9" s="42">
        <f>ROUNDUP((('AHV-06'!$F9/480)/3),"0")</f>
        <v>1</v>
      </c>
      <c r="T9" s="43">
        <f t="shared" si="8"/>
        <v>16861</v>
      </c>
      <c r="U9" s="33" t="str">
        <f t="shared" si="12"/>
        <v>FY2025_MLS_Spindle Motor_Spindle Motor(FDB UNIT)_Bang Pa-in</v>
      </c>
    </row>
    <row r="10" spans="1:21" ht="18.75">
      <c r="A10" s="44">
        <v>46063</v>
      </c>
      <c r="B10" s="34">
        <f>SUMIFS('OEE AHV'!J:J,'OEE AHV'!$B:$B,'AHV-06'!$A10,'OEE AHV'!$D:$D,'AHV-06'!$A$1)</f>
        <v>97.278645833333343</v>
      </c>
      <c r="C10" s="35">
        <f t="shared" si="0"/>
        <v>101.34261067708331</v>
      </c>
      <c r="D10" s="34">
        <f t="shared" si="1"/>
        <v>32</v>
      </c>
      <c r="E10" s="36">
        <f t="shared" si="2"/>
        <v>32.625</v>
      </c>
      <c r="F10" s="34">
        <f>SUMIFS('OEE AHV'!M:M,'OEE AHV'!$B:$B,'AHV-06'!$A10,'OEE AHV'!$D:$D,'AHV-06'!$A$1)</f>
        <v>1342.7213541666667</v>
      </c>
      <c r="G10" s="37">
        <f t="shared" si="3"/>
        <v>51</v>
      </c>
      <c r="H10" s="38">
        <f t="shared" si="4"/>
        <v>0.96668204043676509</v>
      </c>
      <c r="I10" s="38">
        <f t="shared" si="9"/>
        <v>0.95</v>
      </c>
      <c r="J10" s="39"/>
      <c r="K10" s="40">
        <f>SUMIFS('OEE AHV'!Q:Q,'OEE AHV'!$B:$B,'AHV-06'!$A10,'OEE AHV'!$D:$D,'AHV-06'!$A$1)</f>
        <v>15860</v>
      </c>
      <c r="L10" s="38">
        <f t="shared" si="5"/>
        <v>1</v>
      </c>
      <c r="M10" s="38">
        <f t="shared" si="10"/>
        <v>0.99</v>
      </c>
      <c r="N10" s="41" t="s">
        <v>118</v>
      </c>
      <c r="O10" s="38">
        <f t="shared" si="6"/>
        <v>1</v>
      </c>
      <c r="P10" s="38">
        <f t="shared" si="11"/>
        <v>1</v>
      </c>
      <c r="Q10" s="38">
        <f t="shared" si="7"/>
        <v>0.96668204043676509</v>
      </c>
      <c r="R10" s="38">
        <f t="shared" si="7"/>
        <v>0.9405</v>
      </c>
      <c r="S10" s="42">
        <f>ROUNDUP((('AHV-06'!$F10/480)/3),"0")</f>
        <v>1</v>
      </c>
      <c r="T10" s="43">
        <f t="shared" si="8"/>
        <v>15860</v>
      </c>
      <c r="U10" s="33" t="str">
        <f t="shared" si="12"/>
        <v>FY2025_MLS_Spindle Motor_Spindle Motor(FDB UNIT)_Bang Pa-in</v>
      </c>
    </row>
    <row r="11" spans="1:21" ht="18.75">
      <c r="A11" s="44">
        <v>46064</v>
      </c>
      <c r="B11" s="34">
        <f>SUMIFS('OEE AHV'!J:J,'OEE AHV'!$B:$B,'AHV-06'!$A11,'OEE AHV'!$D:$D,'AHV-06'!$A$1)</f>
        <v>101.85872395833334</v>
      </c>
      <c r="C11" s="35">
        <f t="shared" si="0"/>
        <v>101.34261067708331</v>
      </c>
      <c r="D11" s="34">
        <f t="shared" si="1"/>
        <v>33</v>
      </c>
      <c r="E11" s="36">
        <f t="shared" si="2"/>
        <v>32.625</v>
      </c>
      <c r="F11" s="34">
        <f>SUMIFS('OEE AHV'!M:M,'OEE AHV'!$B:$B,'AHV-06'!$A11,'OEE AHV'!$D:$D,'AHV-06'!$A$1)</f>
        <v>1338.1412760416667</v>
      </c>
      <c r="G11" s="37">
        <f t="shared" si="3"/>
        <v>56</v>
      </c>
      <c r="H11" s="38">
        <f t="shared" si="4"/>
        <v>0.96686508384513492</v>
      </c>
      <c r="I11" s="38">
        <f t="shared" si="9"/>
        <v>0.95</v>
      </c>
      <c r="J11" s="39"/>
      <c r="K11" s="40">
        <f>SUMIFS('OEE AHV'!Q:Q,'OEE AHV'!$B:$B,'AHV-06'!$A11,'OEE AHV'!$D:$D,'AHV-06'!$A$1)</f>
        <v>16865</v>
      </c>
      <c r="L11" s="38">
        <f t="shared" si="5"/>
        <v>1</v>
      </c>
      <c r="M11" s="38">
        <f t="shared" si="10"/>
        <v>0.99</v>
      </c>
      <c r="N11" s="41" t="s">
        <v>118</v>
      </c>
      <c r="O11" s="38">
        <f t="shared" si="6"/>
        <v>1</v>
      </c>
      <c r="P11" s="38">
        <f t="shared" si="11"/>
        <v>1</v>
      </c>
      <c r="Q11" s="38">
        <f t="shared" si="7"/>
        <v>0.96686508384513492</v>
      </c>
      <c r="R11" s="38">
        <f t="shared" si="7"/>
        <v>0.9405</v>
      </c>
      <c r="S11" s="42">
        <f>ROUNDUP((('AHV-06'!$F11/480)/3),"0")</f>
        <v>1</v>
      </c>
      <c r="T11" s="43">
        <f t="shared" si="8"/>
        <v>16865</v>
      </c>
      <c r="U11" s="33" t="str">
        <f t="shared" si="12"/>
        <v>FY2025_MLS_Spindle Motor_Spindle Motor(FDB UNIT)_Bang Pa-in</v>
      </c>
    </row>
    <row r="12" spans="1:21" ht="18.75">
      <c r="A12" s="44">
        <v>46065</v>
      </c>
      <c r="B12" s="34">
        <f>SUMIFS('OEE AHV'!J:J,'OEE AHV'!$B:$B,'AHV-06'!$A12,'OEE AHV'!$D:$D,'AHV-06'!$A$1)</f>
        <v>111.27408854166667</v>
      </c>
      <c r="C12" s="35">
        <f t="shared" si="0"/>
        <v>101.34261067708331</v>
      </c>
      <c r="D12" s="34">
        <f t="shared" si="1"/>
        <v>36</v>
      </c>
      <c r="E12" s="36">
        <f t="shared" si="2"/>
        <v>32.625</v>
      </c>
      <c r="F12" s="34">
        <f>SUMIFS('OEE AHV'!M:M,'OEE AHV'!$B:$B,'AHV-06'!$A12,'OEE AHV'!$D:$D,'AHV-06'!$A$1)</f>
        <v>1328.7259114583333</v>
      </c>
      <c r="G12" s="37">
        <f t="shared" si="3"/>
        <v>65</v>
      </c>
      <c r="H12" s="38">
        <f t="shared" si="4"/>
        <v>0.96634611742424237</v>
      </c>
      <c r="I12" s="38">
        <f t="shared" si="9"/>
        <v>0.95</v>
      </c>
      <c r="J12" s="39"/>
      <c r="K12" s="40">
        <f>SUMIFS('OEE AHV'!Q:Q,'OEE AHV'!$B:$B,'AHV-06'!$A12,'OEE AHV'!$D:$D,'AHV-06'!$A$1)</f>
        <v>18931</v>
      </c>
      <c r="L12" s="38">
        <f t="shared" si="5"/>
        <v>1</v>
      </c>
      <c r="M12" s="38">
        <f t="shared" si="10"/>
        <v>0.99</v>
      </c>
      <c r="N12" s="41" t="s">
        <v>118</v>
      </c>
      <c r="O12" s="38">
        <f t="shared" si="6"/>
        <v>1</v>
      </c>
      <c r="P12" s="38">
        <f t="shared" si="11"/>
        <v>1</v>
      </c>
      <c r="Q12" s="38">
        <f t="shared" si="7"/>
        <v>0.96634611742424237</v>
      </c>
      <c r="R12" s="38">
        <f t="shared" si="7"/>
        <v>0.9405</v>
      </c>
      <c r="S12" s="42">
        <f>ROUNDUP((('AHV-06'!$F12/480)/3),"0")</f>
        <v>1</v>
      </c>
      <c r="T12" s="43">
        <f t="shared" si="8"/>
        <v>18931</v>
      </c>
      <c r="U12" s="33" t="str">
        <f t="shared" si="12"/>
        <v>FY2025_MLS_Spindle Motor_Spindle Motor(FDB UNIT)_Bang Pa-in</v>
      </c>
    </row>
    <row r="13" spans="1:21" ht="18.75">
      <c r="A13" s="44">
        <v>46066</v>
      </c>
      <c r="B13" s="34">
        <f>SUMIFS('OEE AHV'!J:J,'OEE AHV'!$B:$B,'AHV-06'!$A13,'OEE AHV'!$D:$D,'AHV-06'!$A$1)</f>
        <v>111.21484375</v>
      </c>
      <c r="C13" s="35">
        <f t="shared" si="0"/>
        <v>101.34261067708331</v>
      </c>
      <c r="D13" s="34">
        <f t="shared" si="1"/>
        <v>36</v>
      </c>
      <c r="E13" s="36">
        <f t="shared" si="2"/>
        <v>32.625</v>
      </c>
      <c r="F13" s="34">
        <f>SUMIFS('OEE AHV'!M:M,'OEE AHV'!$B:$B,'AHV-06'!$A13,'OEE AHV'!$D:$D,'AHV-06'!$A$1)</f>
        <v>1328.78515625</v>
      </c>
      <c r="G13" s="37">
        <f t="shared" si="3"/>
        <v>65</v>
      </c>
      <c r="H13" s="38">
        <f t="shared" si="4"/>
        <v>0.96638920454545452</v>
      </c>
      <c r="I13" s="38">
        <f t="shared" si="9"/>
        <v>0.95</v>
      </c>
      <c r="J13" s="39"/>
      <c r="K13" s="40">
        <f>SUMIFS('OEE AHV'!Q:Q,'OEE AHV'!$B:$B,'AHV-06'!$A13,'OEE AHV'!$D:$D,'AHV-06'!$A$1)</f>
        <v>18918</v>
      </c>
      <c r="L13" s="38">
        <f t="shared" si="5"/>
        <v>1</v>
      </c>
      <c r="M13" s="38">
        <f t="shared" si="10"/>
        <v>0.99</v>
      </c>
      <c r="N13" s="41" t="s">
        <v>118</v>
      </c>
      <c r="O13" s="38">
        <f t="shared" si="6"/>
        <v>1</v>
      </c>
      <c r="P13" s="38">
        <f t="shared" si="11"/>
        <v>1</v>
      </c>
      <c r="Q13" s="38">
        <f t="shared" si="7"/>
        <v>0.96638920454545452</v>
      </c>
      <c r="R13" s="38">
        <f t="shared" si="7"/>
        <v>0.9405</v>
      </c>
      <c r="S13" s="42">
        <f>ROUNDUP((('AHV-06'!$F13/480)/3),"0")</f>
        <v>1</v>
      </c>
      <c r="T13" s="43">
        <f t="shared" si="8"/>
        <v>18918</v>
      </c>
      <c r="U13" s="33" t="str">
        <f t="shared" si="12"/>
        <v>FY2025_MLS_Spindle Motor_Spindle Motor(FDB UNIT)_Bang Pa-in</v>
      </c>
    </row>
    <row r="14" spans="1:21" ht="18.75">
      <c r="A14" s="44">
        <v>46067</v>
      </c>
      <c r="B14" s="34">
        <f>SUMIFS('OEE AHV'!J:J,'OEE AHV'!$B:$B,'AHV-06'!$A14,'OEE AHV'!$D:$D,'AHV-06'!$A$1)</f>
        <v>111.255859375</v>
      </c>
      <c r="C14" s="35">
        <f t="shared" si="0"/>
        <v>101.34261067708331</v>
      </c>
      <c r="D14" s="34">
        <f t="shared" si="1"/>
        <v>36</v>
      </c>
      <c r="E14" s="36">
        <f t="shared" si="2"/>
        <v>32.625</v>
      </c>
      <c r="F14" s="34">
        <f>SUMIFS('OEE AHV'!M:M,'OEE AHV'!$B:$B,'AHV-06'!$A14,'OEE AHV'!$D:$D,'AHV-06'!$A$1)</f>
        <v>1328.744140625</v>
      </c>
      <c r="G14" s="37">
        <f t="shared" si="3"/>
        <v>65</v>
      </c>
      <c r="H14" s="38">
        <f t="shared" si="4"/>
        <v>0.96635937500000002</v>
      </c>
      <c r="I14" s="38">
        <f t="shared" si="9"/>
        <v>0.95</v>
      </c>
      <c r="J14" s="39"/>
      <c r="K14" s="40">
        <f>SUMIFS('OEE AHV'!Q:Q,'OEE AHV'!$B:$B,'AHV-06'!$A14,'OEE AHV'!$D:$D,'AHV-06'!$A$1)</f>
        <v>18927</v>
      </c>
      <c r="L14" s="38">
        <f t="shared" si="5"/>
        <v>1</v>
      </c>
      <c r="M14" s="38">
        <f t="shared" si="10"/>
        <v>0.99</v>
      </c>
      <c r="N14" s="41" t="s">
        <v>118</v>
      </c>
      <c r="O14" s="38">
        <f t="shared" si="6"/>
        <v>1</v>
      </c>
      <c r="P14" s="38">
        <f t="shared" si="11"/>
        <v>1</v>
      </c>
      <c r="Q14" s="38">
        <f t="shared" si="7"/>
        <v>0.96635937500000002</v>
      </c>
      <c r="R14" s="38">
        <f t="shared" si="7"/>
        <v>0.9405</v>
      </c>
      <c r="S14" s="42">
        <f>ROUNDUP((('AHV-06'!$F14/480)/3),"0")</f>
        <v>1</v>
      </c>
      <c r="T14" s="43">
        <f t="shared" si="8"/>
        <v>18927</v>
      </c>
      <c r="U14" s="33" t="str">
        <f t="shared" si="12"/>
        <v>FY2025_MLS_Spindle Motor_Spindle Motor(FDB UNIT)_Bang Pa-in</v>
      </c>
    </row>
    <row r="15" spans="1:21" ht="18.75">
      <c r="A15" s="44">
        <v>46069</v>
      </c>
      <c r="B15" s="34">
        <f>SUMIFS('OEE AHV'!J:J,'OEE AHV'!$B:$B,'AHV-06'!$A15,'OEE AHV'!$D:$D,'AHV-06'!$A$1)</f>
        <v>90.296875</v>
      </c>
      <c r="C15" s="35">
        <f t="shared" si="0"/>
        <v>101.34261067708331</v>
      </c>
      <c r="D15" s="34">
        <f t="shared" si="1"/>
        <v>30</v>
      </c>
      <c r="E15" s="36">
        <f t="shared" si="2"/>
        <v>32.625</v>
      </c>
      <c r="F15" s="34">
        <f>SUMIFS('OEE AHV'!M:M,'OEE AHV'!$B:$B,'AHV-06'!$A15,'OEE AHV'!$D:$D,'AHV-06'!$A$1)</f>
        <v>1349.703125</v>
      </c>
      <c r="G15" s="37">
        <f t="shared" si="3"/>
        <v>44</v>
      </c>
      <c r="H15" s="38">
        <f t="shared" si="4"/>
        <v>0.96683604942693413</v>
      </c>
      <c r="I15" s="38">
        <f t="shared" si="9"/>
        <v>0.95</v>
      </c>
      <c r="J15" s="39"/>
      <c r="K15" s="40">
        <f>SUMIFS('OEE AHV'!Q:Q,'OEE AHV'!$B:$B,'AHV-06'!$A15,'OEE AHV'!$D:$D,'AHV-06'!$A$1)</f>
        <v>14328</v>
      </c>
      <c r="L15" s="38">
        <f t="shared" si="5"/>
        <v>1</v>
      </c>
      <c r="M15" s="38">
        <f t="shared" si="10"/>
        <v>0.99</v>
      </c>
      <c r="N15" s="41" t="s">
        <v>118</v>
      </c>
      <c r="O15" s="38">
        <f t="shared" si="6"/>
        <v>1</v>
      </c>
      <c r="P15" s="38">
        <f t="shared" si="11"/>
        <v>1</v>
      </c>
      <c r="Q15" s="38">
        <f t="shared" si="7"/>
        <v>0.96683604942693413</v>
      </c>
      <c r="R15" s="38">
        <f t="shared" si="7"/>
        <v>0.9405</v>
      </c>
      <c r="S15" s="42">
        <f>ROUNDUP((('AHV-06'!$F15/480)/3),"0")</f>
        <v>1</v>
      </c>
      <c r="T15" s="43">
        <f t="shared" si="8"/>
        <v>14328</v>
      </c>
      <c r="U15" s="33" t="str">
        <f t="shared" si="12"/>
        <v>FY2025_MLS_Spindle Motor_Spindle Motor(FDB UNIT)_Bang Pa-in</v>
      </c>
    </row>
    <row r="16" spans="1:21" ht="18.75">
      <c r="A16" s="44">
        <v>46070</v>
      </c>
      <c r="B16" s="34">
        <f>SUMIFS('OEE AHV'!J:J,'OEE AHV'!$B:$B,'AHV-06'!$A16,'OEE AHV'!$D:$D,'AHV-06'!$A$1)</f>
        <v>87.9453125</v>
      </c>
      <c r="C16" s="35">
        <f t="shared" si="0"/>
        <v>101.34261067708331</v>
      </c>
      <c r="D16" s="34">
        <f t="shared" si="1"/>
        <v>29</v>
      </c>
      <c r="E16" s="36">
        <f t="shared" si="2"/>
        <v>32.625</v>
      </c>
      <c r="F16" s="34">
        <f>SUMIFS('OEE AHV'!M:M,'OEE AHV'!$B:$B,'AHV-06'!$A16,'OEE AHV'!$D:$D,'AHV-06'!$A$1)</f>
        <v>1352.0546875</v>
      </c>
      <c r="G16" s="37">
        <f t="shared" si="3"/>
        <v>42</v>
      </c>
      <c r="H16" s="38">
        <f t="shared" si="4"/>
        <v>0.9671349695994278</v>
      </c>
      <c r="I16" s="38">
        <f t="shared" si="9"/>
        <v>0.95</v>
      </c>
      <c r="J16" s="39"/>
      <c r="K16" s="40">
        <f>SUMIFS('OEE AHV'!Q:Q,'OEE AHV'!$B:$B,'AHV-06'!$A16,'OEE AHV'!$D:$D,'AHV-06'!$A$1)</f>
        <v>13812</v>
      </c>
      <c r="L16" s="38">
        <f t="shared" si="5"/>
        <v>1</v>
      </c>
      <c r="M16" s="38">
        <f t="shared" si="10"/>
        <v>0.99</v>
      </c>
      <c r="N16" s="41" t="s">
        <v>118</v>
      </c>
      <c r="O16" s="38">
        <f t="shared" si="6"/>
        <v>1</v>
      </c>
      <c r="P16" s="38">
        <f t="shared" si="11"/>
        <v>1</v>
      </c>
      <c r="Q16" s="38">
        <f t="shared" si="7"/>
        <v>0.9671349695994278</v>
      </c>
      <c r="R16" s="38">
        <f t="shared" si="7"/>
        <v>0.9405</v>
      </c>
      <c r="S16" s="42">
        <f>ROUNDUP((('AHV-06'!$F16/480)/3),"0")</f>
        <v>1</v>
      </c>
      <c r="T16" s="43">
        <f t="shared" si="8"/>
        <v>13812</v>
      </c>
      <c r="U16" s="33" t="str">
        <f t="shared" si="12"/>
        <v>FY2025_MLS_Spindle Motor_Spindle Motor(FDB UNIT)_Bang Pa-in</v>
      </c>
    </row>
    <row r="17" spans="1:21" ht="18.75">
      <c r="A17" s="44">
        <v>46071</v>
      </c>
      <c r="B17" s="34">
        <f>SUMIFS('OEE AHV'!J:J,'OEE AHV'!$B:$B,'AHV-06'!$A17,'OEE AHV'!$D:$D,'AHV-06'!$A$1)</f>
        <v>113.58919270833333</v>
      </c>
      <c r="C17" s="35">
        <f t="shared" si="0"/>
        <v>101.34261067708331</v>
      </c>
      <c r="D17" s="34">
        <f t="shared" si="1"/>
        <v>36</v>
      </c>
      <c r="E17" s="36">
        <f t="shared" si="2"/>
        <v>32.625</v>
      </c>
      <c r="F17" s="34">
        <f>SUMIFS('OEE AHV'!M:M,'OEE AHV'!$B:$B,'AHV-06'!$A17,'OEE AHV'!$D:$D,'AHV-06'!$A$1)</f>
        <v>1326.4108072916667</v>
      </c>
      <c r="G17" s="37">
        <f t="shared" si="3"/>
        <v>67</v>
      </c>
      <c r="H17" s="38">
        <f t="shared" si="4"/>
        <v>0.96606759453143976</v>
      </c>
      <c r="I17" s="38">
        <f t="shared" si="9"/>
        <v>0.95</v>
      </c>
      <c r="J17" s="39"/>
      <c r="K17" s="40">
        <f>SUMIFS('OEE AHV'!Q:Q,'OEE AHV'!$B:$B,'AHV-06'!$A17,'OEE AHV'!$D:$D,'AHV-06'!$A$1)</f>
        <v>19439</v>
      </c>
      <c r="L17" s="38">
        <f t="shared" si="5"/>
        <v>1</v>
      </c>
      <c r="M17" s="38">
        <f t="shared" si="10"/>
        <v>0.99</v>
      </c>
      <c r="N17" s="41" t="s">
        <v>118</v>
      </c>
      <c r="O17" s="38">
        <f t="shared" si="6"/>
        <v>1</v>
      </c>
      <c r="P17" s="38">
        <f t="shared" si="11"/>
        <v>1</v>
      </c>
      <c r="Q17" s="38">
        <f t="shared" si="7"/>
        <v>0.96606759453143976</v>
      </c>
      <c r="R17" s="38">
        <f t="shared" si="7"/>
        <v>0.9405</v>
      </c>
      <c r="S17" s="42">
        <f>ROUNDUP((('AHV-06'!$F17/480)/3),"0")</f>
        <v>1</v>
      </c>
      <c r="T17" s="43">
        <f t="shared" si="8"/>
        <v>19439</v>
      </c>
      <c r="U17" s="33" t="str">
        <f t="shared" si="12"/>
        <v>FY2025_MLS_Spindle Motor_Spindle Motor(FDB UNIT)_Bang Pa-in</v>
      </c>
    </row>
    <row r="18" spans="1:21" ht="18.75">
      <c r="A18" s="44">
        <v>46072</v>
      </c>
      <c r="B18" s="34">
        <f>SUMIFS('OEE AHV'!J:J,'OEE AHV'!$B:$B,'AHV-06'!$A18,'OEE AHV'!$D:$D,'AHV-06'!$A$1)</f>
        <v>113.607421875</v>
      </c>
      <c r="C18" s="35">
        <f t="shared" si="0"/>
        <v>101.34261067708331</v>
      </c>
      <c r="D18" s="34">
        <f t="shared" si="1"/>
        <v>36</v>
      </c>
      <c r="E18" s="36">
        <f t="shared" si="2"/>
        <v>32.625</v>
      </c>
      <c r="F18" s="34">
        <f>SUMIFS('OEE AHV'!M:M,'OEE AHV'!$B:$B,'AHV-06'!$A18,'OEE AHV'!$D:$D,'AHV-06'!$A$1)</f>
        <v>1326.392578125</v>
      </c>
      <c r="G18" s="37">
        <f t="shared" si="3"/>
        <v>67</v>
      </c>
      <c r="H18" s="38">
        <f t="shared" si="4"/>
        <v>0.96605431764384564</v>
      </c>
      <c r="I18" s="38">
        <f t="shared" si="9"/>
        <v>0.95</v>
      </c>
      <c r="J18" s="39"/>
      <c r="K18" s="40">
        <f>SUMIFS('OEE AHV'!Q:Q,'OEE AHV'!$B:$B,'AHV-06'!$A18,'OEE AHV'!$D:$D,'AHV-06'!$A$1)</f>
        <v>19443</v>
      </c>
      <c r="L18" s="38">
        <f t="shared" si="5"/>
        <v>1</v>
      </c>
      <c r="M18" s="38">
        <f t="shared" si="10"/>
        <v>0.99</v>
      </c>
      <c r="N18" s="41" t="s">
        <v>118</v>
      </c>
      <c r="O18" s="38">
        <f t="shared" si="6"/>
        <v>1</v>
      </c>
      <c r="P18" s="38">
        <f t="shared" si="11"/>
        <v>1</v>
      </c>
      <c r="Q18" s="38">
        <f t="shared" ref="Q18:R25" si="13">IFERROR(IF(AND(H18="",L18="",O18="")=TRUE,"",IF(H18="",1,H18)*IF(L18="",1,L18)*IF(O18="",1,O18)),"")</f>
        <v>0.96605431764384564</v>
      </c>
      <c r="R18" s="38">
        <f t="shared" si="13"/>
        <v>0.9405</v>
      </c>
      <c r="S18" s="42">
        <f>ROUNDUP((('AHV-06'!$F18/480)/3),"0")</f>
        <v>1</v>
      </c>
      <c r="T18" s="43">
        <f t="shared" si="8"/>
        <v>19443</v>
      </c>
      <c r="U18" s="33" t="str">
        <f t="shared" si="12"/>
        <v>FY2025_MLS_Spindle Motor_Spindle Motor(FDB UNIT)_Bang Pa-in</v>
      </c>
    </row>
    <row r="19" spans="1:21" ht="18.75">
      <c r="A19" s="44">
        <v>46073</v>
      </c>
      <c r="B19" s="34">
        <f>SUMIFS('OEE AHV'!J:J,'OEE AHV'!$B:$B,'AHV-06'!$A19,'OEE AHV'!$D:$D,'AHV-06'!$A$1)</f>
        <v>108.91341145833333</v>
      </c>
      <c r="C19" s="35">
        <f t="shared" si="0"/>
        <v>101.34261067708331</v>
      </c>
      <c r="D19" s="34">
        <f t="shared" si="1"/>
        <v>35</v>
      </c>
      <c r="E19" s="36">
        <f t="shared" si="2"/>
        <v>32.625</v>
      </c>
      <c r="F19" s="34">
        <f>SUMIFS('OEE AHV'!M:M,'OEE AHV'!$B:$B,'AHV-06'!$A19,'OEE AHV'!$D:$D,'AHV-06'!$A$1)</f>
        <v>1331.0865885416667</v>
      </c>
      <c r="G19" s="37">
        <f t="shared" si="3"/>
        <v>63</v>
      </c>
      <c r="H19" s="38">
        <f t="shared" si="4"/>
        <v>0.96665692704550965</v>
      </c>
      <c r="I19" s="38">
        <f t="shared" si="9"/>
        <v>0.95</v>
      </c>
      <c r="J19" s="39"/>
      <c r="K19" s="40">
        <f>SUMIFS('OEE AHV'!Q:Q,'OEE AHV'!$B:$B,'AHV-06'!$A19,'OEE AHV'!$D:$D,'AHV-06'!$A$1)</f>
        <v>18413</v>
      </c>
      <c r="L19" s="38">
        <f t="shared" si="5"/>
        <v>1</v>
      </c>
      <c r="M19" s="38">
        <f t="shared" si="10"/>
        <v>0.99</v>
      </c>
      <c r="N19" s="41" t="s">
        <v>118</v>
      </c>
      <c r="O19" s="38">
        <f t="shared" si="6"/>
        <v>1</v>
      </c>
      <c r="P19" s="38">
        <f t="shared" si="11"/>
        <v>1</v>
      </c>
      <c r="Q19" s="38">
        <f t="shared" si="13"/>
        <v>0.96665692704550965</v>
      </c>
      <c r="R19" s="38">
        <f t="shared" si="13"/>
        <v>0.9405</v>
      </c>
      <c r="S19" s="42">
        <f>ROUNDUP((('AHV-06'!$F19/480)/3),"0")</f>
        <v>1</v>
      </c>
      <c r="T19" s="43">
        <f t="shared" si="8"/>
        <v>18413</v>
      </c>
      <c r="U19" s="33" t="str">
        <f t="shared" si="12"/>
        <v>FY2025_MLS_Spindle Motor_Spindle Motor(FDB UNIT)_Bang Pa-in</v>
      </c>
    </row>
    <row r="20" spans="1:21" ht="18.75">
      <c r="A20" s="44">
        <v>46074</v>
      </c>
      <c r="B20" s="34">
        <f>SUMIFS('OEE AHV'!J:J,'OEE AHV'!$B:$B,'AHV-06'!$A20,'OEE AHV'!$D:$D,'AHV-06'!$A$1)</f>
        <v>111.29231770833334</v>
      </c>
      <c r="C20" s="35">
        <f t="shared" si="0"/>
        <v>101.34261067708331</v>
      </c>
      <c r="D20" s="34">
        <f t="shared" si="1"/>
        <v>36</v>
      </c>
      <c r="E20" s="36">
        <f t="shared" si="2"/>
        <v>32.625</v>
      </c>
      <c r="F20" s="34">
        <f>SUMIFS('OEE AHV'!M:M,'OEE AHV'!$B:$B,'AHV-06'!$A20,'OEE AHV'!$D:$D,'AHV-06'!$A$1)</f>
        <v>1328.7076822916667</v>
      </c>
      <c r="G20" s="37">
        <f t="shared" si="3"/>
        <v>65</v>
      </c>
      <c r="H20" s="38">
        <f t="shared" si="4"/>
        <v>0.96633285984848494</v>
      </c>
      <c r="I20" s="38">
        <f t="shared" si="9"/>
        <v>0.95</v>
      </c>
      <c r="J20" s="39"/>
      <c r="K20" s="40">
        <f>SUMIFS('OEE AHV'!Q:Q,'OEE AHV'!$B:$B,'AHV-06'!$A20,'OEE AHV'!$D:$D,'AHV-06'!$A$1)</f>
        <v>18935</v>
      </c>
      <c r="L20" s="38">
        <f t="shared" si="5"/>
        <v>1</v>
      </c>
      <c r="M20" s="38">
        <f t="shared" si="10"/>
        <v>0.99</v>
      </c>
      <c r="N20" s="41" t="s">
        <v>118</v>
      </c>
      <c r="O20" s="38">
        <f t="shared" si="6"/>
        <v>1</v>
      </c>
      <c r="P20" s="38">
        <f t="shared" si="11"/>
        <v>1</v>
      </c>
      <c r="Q20" s="38">
        <f t="shared" si="13"/>
        <v>0.96633285984848494</v>
      </c>
      <c r="R20" s="38">
        <f t="shared" si="13"/>
        <v>0.9405</v>
      </c>
      <c r="S20" s="42">
        <f>ROUNDUP((('AHV-06'!$F20/480)/3),"0")</f>
        <v>1</v>
      </c>
      <c r="T20" s="43">
        <f t="shared" si="8"/>
        <v>18935</v>
      </c>
      <c r="U20" s="33" t="str">
        <f t="shared" si="12"/>
        <v>FY2025_MLS_Spindle Motor_Spindle Motor(FDB UNIT)_Bang Pa-in</v>
      </c>
    </row>
    <row r="21" spans="1:21" ht="18.75">
      <c r="A21" s="44">
        <v>46076</v>
      </c>
      <c r="B21" s="34">
        <f>SUMIFS('OEE AHV'!J:J,'OEE AHV'!$B:$B,'AHV-06'!$A21,'OEE AHV'!$D:$D,'AHV-06'!$A$1)</f>
        <v>111.26041666666666</v>
      </c>
      <c r="C21" s="35">
        <f t="shared" si="0"/>
        <v>101.34261067708331</v>
      </c>
      <c r="D21" s="34">
        <f t="shared" si="1"/>
        <v>36</v>
      </c>
      <c r="E21" s="36">
        <f t="shared" si="2"/>
        <v>32.625</v>
      </c>
      <c r="F21" s="34">
        <f>SUMIFS('OEE AHV'!M:M,'OEE AHV'!$B:$B,'AHV-06'!$A21,'OEE AHV'!$D:$D,'AHV-06'!$A$1)</f>
        <v>1328.7395833333333</v>
      </c>
      <c r="G21" s="37">
        <f t="shared" si="3"/>
        <v>65</v>
      </c>
      <c r="H21" s="38">
        <f t="shared" si="4"/>
        <v>0.9663560606060605</v>
      </c>
      <c r="I21" s="38">
        <f t="shared" si="9"/>
        <v>0.95</v>
      </c>
      <c r="J21" s="39"/>
      <c r="K21" s="40">
        <f>SUMIFS('OEE AHV'!Q:Q,'OEE AHV'!$B:$B,'AHV-06'!$A21,'OEE AHV'!$D:$D,'AHV-06'!$A$1)</f>
        <v>18928</v>
      </c>
      <c r="L21" s="38">
        <f t="shared" si="5"/>
        <v>1</v>
      </c>
      <c r="M21" s="38">
        <f t="shared" si="10"/>
        <v>0.99</v>
      </c>
      <c r="N21" s="41" t="s">
        <v>118</v>
      </c>
      <c r="O21" s="38">
        <f t="shared" si="6"/>
        <v>1</v>
      </c>
      <c r="P21" s="38">
        <f t="shared" si="11"/>
        <v>1</v>
      </c>
      <c r="Q21" s="38">
        <f t="shared" si="13"/>
        <v>0.9663560606060605</v>
      </c>
      <c r="R21" s="38">
        <f t="shared" si="13"/>
        <v>0.9405</v>
      </c>
      <c r="S21" s="42">
        <f>ROUNDUP((('AHV-06'!$F21/480)/3),"0")</f>
        <v>1</v>
      </c>
      <c r="T21" s="43">
        <f t="shared" si="8"/>
        <v>18928</v>
      </c>
      <c r="U21" s="33" t="str">
        <f t="shared" si="12"/>
        <v>FY2025_MLS_Spindle Motor_Spindle Motor(FDB UNIT)_Bang Pa-in</v>
      </c>
    </row>
    <row r="22" spans="1:21" ht="18.75">
      <c r="A22" s="44">
        <v>46077</v>
      </c>
      <c r="B22" s="34">
        <f>SUMIFS('OEE AHV'!J:J,'OEE AHV'!$B:$B,'AHV-06'!$A22,'OEE AHV'!$D:$D,'AHV-06'!$A$1)</f>
        <v>106.63020833333334</v>
      </c>
      <c r="C22" s="35">
        <f t="shared" si="0"/>
        <v>101.34261067708331</v>
      </c>
      <c r="D22" s="34">
        <f t="shared" si="1"/>
        <v>34</v>
      </c>
      <c r="E22" s="36">
        <f t="shared" si="2"/>
        <v>32.625</v>
      </c>
      <c r="F22" s="34">
        <f>SUMIFS('OEE AHV'!M:M,'OEE AHV'!$B:$B,'AHV-06'!$A22,'OEE AHV'!$D:$D,'AHV-06'!$A$1)</f>
        <v>1333.3697916666667</v>
      </c>
      <c r="G22" s="37">
        <f t="shared" si="3"/>
        <v>60</v>
      </c>
      <c r="H22" s="38">
        <f t="shared" si="4"/>
        <v>0.96620999396135276</v>
      </c>
      <c r="I22" s="38">
        <f t="shared" si="9"/>
        <v>0.95</v>
      </c>
      <c r="J22" s="39"/>
      <c r="K22" s="40">
        <f>SUMIFS('OEE AHV'!Q:Q,'OEE AHV'!$B:$B,'AHV-06'!$A22,'OEE AHV'!$D:$D,'AHV-06'!$A$1)</f>
        <v>17912</v>
      </c>
      <c r="L22" s="38">
        <f t="shared" si="5"/>
        <v>1</v>
      </c>
      <c r="M22" s="38">
        <f t="shared" si="10"/>
        <v>0.99</v>
      </c>
      <c r="N22" s="41" t="s">
        <v>118</v>
      </c>
      <c r="O22" s="38">
        <f t="shared" si="6"/>
        <v>1</v>
      </c>
      <c r="P22" s="38">
        <f t="shared" si="11"/>
        <v>1</v>
      </c>
      <c r="Q22" s="38">
        <f t="shared" si="13"/>
        <v>0.96620999396135276</v>
      </c>
      <c r="R22" s="38">
        <f t="shared" si="13"/>
        <v>0.9405</v>
      </c>
      <c r="S22" s="42">
        <f>ROUNDUP((('AHV-06'!$F22/480)/3),"0")</f>
        <v>1</v>
      </c>
      <c r="T22" s="43">
        <f t="shared" si="8"/>
        <v>17912</v>
      </c>
      <c r="U22" s="33" t="str">
        <f t="shared" si="12"/>
        <v>FY2025_MLS_Spindle Motor_Spindle Motor(FDB UNIT)_Bang Pa-in</v>
      </c>
    </row>
    <row r="23" spans="1:21" ht="18.75">
      <c r="A23" s="44">
        <v>46078</v>
      </c>
      <c r="B23" s="34">
        <f>SUMIFS('OEE AHV'!J:J,'OEE AHV'!$B:$B,'AHV-06'!$A23,'OEE AHV'!$D:$D,'AHV-06'!$A$1)</f>
        <v>111.28776041666667</v>
      </c>
      <c r="C23" s="35">
        <f t="shared" si="0"/>
        <v>101.34261067708331</v>
      </c>
      <c r="D23" s="34">
        <f t="shared" si="1"/>
        <v>36</v>
      </c>
      <c r="E23" s="36">
        <f t="shared" si="2"/>
        <v>32.625</v>
      </c>
      <c r="F23" s="34">
        <f>SUMIFS('OEE AHV'!M:M,'OEE AHV'!$B:$B,'AHV-06'!$A23,'OEE AHV'!$D:$D,'AHV-06'!$A$1)</f>
        <v>1328.7122395833333</v>
      </c>
      <c r="G23" s="37">
        <f t="shared" si="3"/>
        <v>65</v>
      </c>
      <c r="H23" s="38">
        <f t="shared" si="4"/>
        <v>0.96633617424242424</v>
      </c>
      <c r="I23" s="38">
        <f t="shared" si="9"/>
        <v>0.95</v>
      </c>
      <c r="J23" s="39"/>
      <c r="K23" s="40">
        <f>SUMIFS('OEE AHV'!Q:Q,'OEE AHV'!$B:$B,'AHV-06'!$A23,'OEE AHV'!$D:$D,'AHV-06'!$A$1)</f>
        <v>18934</v>
      </c>
      <c r="L23" s="38">
        <f t="shared" si="5"/>
        <v>1</v>
      </c>
      <c r="M23" s="38">
        <f t="shared" si="10"/>
        <v>0.99</v>
      </c>
      <c r="N23" s="41" t="s">
        <v>118</v>
      </c>
      <c r="O23" s="38">
        <f t="shared" si="6"/>
        <v>1</v>
      </c>
      <c r="P23" s="38">
        <f t="shared" si="11"/>
        <v>1</v>
      </c>
      <c r="Q23" s="38">
        <f t="shared" si="13"/>
        <v>0.96633617424242424</v>
      </c>
      <c r="R23" s="38">
        <f t="shared" si="13"/>
        <v>0.9405</v>
      </c>
      <c r="S23" s="42">
        <f>ROUNDUP((('AHV-06'!$F23/480)/3),"0")</f>
        <v>1</v>
      </c>
      <c r="T23" s="43">
        <f t="shared" si="8"/>
        <v>18934</v>
      </c>
      <c r="U23" s="33" t="str">
        <f t="shared" si="12"/>
        <v>FY2025_MLS_Spindle Motor_Spindle Motor(FDB UNIT)_Bang Pa-in</v>
      </c>
    </row>
    <row r="24" spans="1:21" ht="18.75">
      <c r="A24" s="44">
        <v>46079</v>
      </c>
      <c r="B24" s="34">
        <f>SUMIFS('OEE AHV'!J:J,'OEE AHV'!$B:$B,'AHV-06'!$A24,'OEE AHV'!$D:$D,'AHV-06'!$A$1)</f>
        <v>106.61197916666666</v>
      </c>
      <c r="C24" s="35">
        <f t="shared" si="0"/>
        <v>101.34261067708331</v>
      </c>
      <c r="D24" s="34">
        <f t="shared" si="1"/>
        <v>34</v>
      </c>
      <c r="E24" s="36">
        <f t="shared" si="2"/>
        <v>32.625</v>
      </c>
      <c r="F24" s="34">
        <f>SUMIFS('OEE AHV'!M:M,'OEE AHV'!$B:$B,'AHV-06'!$A24,'OEE AHV'!$D:$D,'AHV-06'!$A$1)</f>
        <v>1333.3880208333333</v>
      </c>
      <c r="G24" s="37">
        <f t="shared" si="3"/>
        <v>60</v>
      </c>
      <c r="H24" s="38">
        <f t="shared" si="4"/>
        <v>0.96622320350241542</v>
      </c>
      <c r="I24" s="38">
        <f t="shared" si="9"/>
        <v>0.95</v>
      </c>
      <c r="J24" s="39"/>
      <c r="K24" s="40">
        <f>SUMIFS('OEE AHV'!Q:Q,'OEE AHV'!$B:$B,'AHV-06'!$A24,'OEE AHV'!$D:$D,'AHV-06'!$A$1)</f>
        <v>17908</v>
      </c>
      <c r="L24" s="38">
        <f t="shared" si="5"/>
        <v>1</v>
      </c>
      <c r="M24" s="38">
        <f t="shared" si="10"/>
        <v>0.99</v>
      </c>
      <c r="N24" s="41" t="s">
        <v>118</v>
      </c>
      <c r="O24" s="38">
        <f t="shared" si="6"/>
        <v>1</v>
      </c>
      <c r="P24" s="38">
        <f t="shared" si="11"/>
        <v>1</v>
      </c>
      <c r="Q24" s="38">
        <f t="shared" si="13"/>
        <v>0.96622320350241542</v>
      </c>
      <c r="R24" s="38">
        <f t="shared" si="13"/>
        <v>0.9405</v>
      </c>
      <c r="S24" s="42">
        <f>ROUNDUP((('AHV-06'!$F24/480)/3),"0")</f>
        <v>1</v>
      </c>
      <c r="T24" s="43">
        <f t="shared" si="8"/>
        <v>17908</v>
      </c>
      <c r="U24" s="33" t="str">
        <f t="shared" si="12"/>
        <v>FY2025_MLS_Spindle Motor_Spindle Motor(FDB UNIT)_Bang Pa-in</v>
      </c>
    </row>
    <row r="25" spans="1:21" ht="18.75">
      <c r="A25" s="44">
        <v>46080</v>
      </c>
      <c r="B25" s="34">
        <f>SUMIFS('OEE AHV'!J:J,'OEE AHV'!$B:$B,'AHV-06'!$A25,'OEE AHV'!$D:$D,'AHV-06'!$A$1)</f>
        <v>104.283203125</v>
      </c>
      <c r="C25" s="35">
        <f t="shared" si="0"/>
        <v>101.34261067708331</v>
      </c>
      <c r="D25" s="34">
        <f t="shared" si="1"/>
        <v>33</v>
      </c>
      <c r="E25" s="36">
        <f t="shared" si="2"/>
        <v>32.625</v>
      </c>
      <c r="F25" s="34">
        <f>SUMIFS('OEE AHV'!M:M,'OEE AHV'!$B:$B,'AHV-06'!$A25,'OEE AHV'!$D:$D,'AHV-06'!$A$1)</f>
        <v>1215.716796875</v>
      </c>
      <c r="G25" s="37">
        <f t="shared" si="3"/>
        <v>179</v>
      </c>
      <c r="H25" s="38">
        <f t="shared" si="4"/>
        <v>0.96408945033703408</v>
      </c>
      <c r="I25" s="38">
        <f t="shared" si="9"/>
        <v>0.95</v>
      </c>
      <c r="J25" s="39"/>
      <c r="K25" s="40">
        <f>SUMIFS('OEE AHV'!Q:Q,'OEE AHV'!$B:$B,'AHV-06'!$A25,'OEE AHV'!$D:$D,'AHV-06'!$A$1)</f>
        <v>17397</v>
      </c>
      <c r="L25" s="38">
        <f t="shared" si="5"/>
        <v>1</v>
      </c>
      <c r="M25" s="38">
        <f t="shared" si="10"/>
        <v>0.99</v>
      </c>
      <c r="N25" s="41" t="s">
        <v>118</v>
      </c>
      <c r="O25" s="38">
        <f t="shared" si="6"/>
        <v>1</v>
      </c>
      <c r="P25" s="38">
        <f t="shared" si="11"/>
        <v>1</v>
      </c>
      <c r="Q25" s="38">
        <f t="shared" si="13"/>
        <v>0.96408945033703408</v>
      </c>
      <c r="R25" s="38">
        <f t="shared" si="13"/>
        <v>0.9405</v>
      </c>
      <c r="S25" s="42">
        <f>ROUNDUP((('AHV-06'!$F25/480)/3),"0")</f>
        <v>1</v>
      </c>
      <c r="T25" s="43">
        <f t="shared" si="8"/>
        <v>17397</v>
      </c>
      <c r="U25" s="33" t="str">
        <f t="shared" si="12"/>
        <v>FY2025_MLS_Spindle Motor_Spindle Motor(FDB UNIT)_Bang Pa-in</v>
      </c>
    </row>
    <row r="26" spans="1:21" ht="18.7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8"/>
      <c r="T26" s="45"/>
      <c r="U26" s="45"/>
    </row>
    <row r="27" spans="1:21" ht="18.7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8"/>
      <c r="T27" s="45"/>
      <c r="U27" s="45"/>
    </row>
    <row r="28" spans="1:21" ht="18.7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8"/>
      <c r="T28" s="45"/>
      <c r="U28" s="45"/>
    </row>
    <row r="29" spans="1:21" ht="18.7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8"/>
      <c r="T29" s="45"/>
      <c r="U29" s="45"/>
    </row>
    <row r="30" spans="1:21" ht="18.7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8"/>
      <c r="T30" s="45"/>
      <c r="U30" s="45"/>
    </row>
    <row r="31" spans="1:21" ht="18.7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8"/>
      <c r="T31" s="45"/>
      <c r="U31" s="45"/>
    </row>
    <row r="32" spans="1:21" ht="18.7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8"/>
      <c r="T32" s="45"/>
      <c r="U32" s="45"/>
    </row>
    <row r="33" spans="1:21" ht="18.7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8"/>
      <c r="T33" s="45"/>
      <c r="U33" s="45"/>
    </row>
    <row r="34" spans="1:21" ht="18.7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8"/>
      <c r="T34" s="45"/>
      <c r="U34" s="45"/>
    </row>
    <row r="35" spans="1:21" ht="18.7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8"/>
      <c r="T35" s="45"/>
      <c r="U35" s="45"/>
    </row>
    <row r="36" spans="1:21" ht="18.7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8"/>
      <c r="T36" s="45"/>
      <c r="U36" s="45"/>
    </row>
    <row r="37" spans="1:21" ht="18.7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8"/>
      <c r="T37" s="45"/>
      <c r="U37" s="45"/>
    </row>
    <row r="38" spans="1:21" ht="18.7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8"/>
      <c r="T38" s="45"/>
      <c r="U38" s="45"/>
    </row>
    <row r="39" spans="1:21" ht="18.7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8"/>
      <c r="T39" s="45"/>
      <c r="U39" s="45"/>
    </row>
    <row r="40" spans="1:21" ht="18.7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8"/>
      <c r="T40" s="45"/>
      <c r="U40" s="45"/>
    </row>
    <row r="41" spans="1:21" ht="18.7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8"/>
      <c r="T41" s="45"/>
      <c r="U41" s="45"/>
    </row>
    <row r="42" spans="1:21" ht="18.7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8"/>
      <c r="T42" s="45"/>
      <c r="U42" s="45"/>
    </row>
    <row r="43" spans="1:21" ht="18.7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8"/>
      <c r="T43" s="45"/>
      <c r="U43" s="45"/>
    </row>
    <row r="44" spans="1:21" ht="18.7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8"/>
      <c r="T44" s="45"/>
      <c r="U44" s="45"/>
    </row>
    <row r="45" spans="1:21" ht="18.7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8"/>
      <c r="T45" s="45"/>
      <c r="U45" s="45"/>
    </row>
    <row r="46" spans="1:21" ht="18.7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8"/>
      <c r="T46" s="45"/>
      <c r="U46" s="45"/>
    </row>
    <row r="47" spans="1:21" ht="18.7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8"/>
      <c r="T47" s="45"/>
      <c r="U47" s="45"/>
    </row>
    <row r="48" spans="1:21" ht="18.7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8"/>
      <c r="T48" s="45"/>
      <c r="U48" s="45"/>
    </row>
    <row r="49" spans="1:21" ht="18.7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8"/>
      <c r="T49" s="45"/>
      <c r="U49" s="45"/>
    </row>
    <row r="50" spans="1:21" ht="18.7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8"/>
      <c r="T50" s="45"/>
      <c r="U50" s="45"/>
    </row>
    <row r="51" spans="1:21" ht="18.7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8"/>
      <c r="T51" s="45"/>
      <c r="U51" s="45"/>
    </row>
    <row r="52" spans="1:21" ht="18.7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8"/>
      <c r="T52" s="45"/>
      <c r="U52" s="45"/>
    </row>
    <row r="53" spans="1:21" ht="18.7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8"/>
      <c r="T53" s="45"/>
      <c r="U53" s="45"/>
    </row>
    <row r="54" spans="1:21" ht="18.7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8"/>
      <c r="T54" s="45"/>
      <c r="U54" s="45"/>
    </row>
    <row r="55" spans="1:21" ht="18.7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8"/>
      <c r="T55" s="45"/>
      <c r="U55" s="45"/>
    </row>
    <row r="56" spans="1:21" ht="18.7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8"/>
      <c r="T56" s="45"/>
      <c r="U56" s="45"/>
    </row>
    <row r="57" spans="1:21" ht="18.7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8"/>
      <c r="T57" s="45"/>
      <c r="U57" s="45"/>
    </row>
    <row r="58" spans="1:21" ht="18.7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8"/>
      <c r="T58" s="45"/>
      <c r="U58" s="45"/>
    </row>
    <row r="59" spans="1:21" ht="18.7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8"/>
      <c r="T59" s="45"/>
      <c r="U59" s="45"/>
    </row>
    <row r="60" spans="1:21" ht="18.7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8"/>
      <c r="T60" s="45"/>
      <c r="U60" s="45"/>
    </row>
    <row r="61" spans="1:21" ht="18.7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8"/>
      <c r="T61" s="45"/>
      <c r="U61" s="45"/>
    </row>
    <row r="62" spans="1:21" ht="18.7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8"/>
      <c r="T62" s="45"/>
      <c r="U62" s="45"/>
    </row>
    <row r="63" spans="1:21" ht="18.7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8"/>
      <c r="T63" s="45"/>
      <c r="U63" s="45"/>
    </row>
    <row r="64" spans="1:21" ht="18.7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8"/>
      <c r="T64" s="45"/>
      <c r="U64" s="45"/>
    </row>
    <row r="65" spans="1:21" ht="18.7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8"/>
      <c r="T65" s="45"/>
      <c r="U65" s="45"/>
    </row>
    <row r="66" spans="1:21" ht="18.7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8"/>
      <c r="T66" s="45"/>
      <c r="U66" s="45"/>
    </row>
    <row r="67" spans="1:21" ht="18.7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8"/>
      <c r="T67" s="45"/>
      <c r="U67" s="45"/>
    </row>
    <row r="68" spans="1:21" ht="18.7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8"/>
      <c r="T68" s="45"/>
      <c r="U68" s="45"/>
    </row>
    <row r="69" spans="1:21" ht="18.7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8"/>
      <c r="T69" s="45"/>
      <c r="U69" s="45"/>
    </row>
    <row r="70" spans="1:21" ht="18.7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8"/>
      <c r="T70" s="45"/>
      <c r="U70" s="45"/>
    </row>
    <row r="71" spans="1:21" ht="18.7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8"/>
      <c r="T71" s="45"/>
      <c r="U71" s="45"/>
    </row>
    <row r="72" spans="1:21" ht="18.7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8"/>
      <c r="T72" s="45"/>
      <c r="U72" s="45"/>
    </row>
    <row r="73" spans="1:21" ht="18.7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8"/>
      <c r="T73" s="45"/>
      <c r="U73" s="45"/>
    </row>
    <row r="74" spans="1:21" ht="18.7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8"/>
      <c r="T74" s="45"/>
      <c r="U74" s="45"/>
    </row>
    <row r="75" spans="1:21" ht="18.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8"/>
      <c r="T75" s="45"/>
      <c r="U75" s="45"/>
    </row>
    <row r="76" spans="1:21" ht="18.7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8"/>
      <c r="T76" s="45"/>
      <c r="U76" s="45"/>
    </row>
    <row r="77" spans="1:21" ht="18.7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8"/>
      <c r="T77" s="45"/>
      <c r="U77" s="45"/>
    </row>
    <row r="78" spans="1:21" ht="18.7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8"/>
      <c r="T78" s="45"/>
      <c r="U78" s="45"/>
    </row>
    <row r="79" spans="1:21" ht="18.7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8"/>
      <c r="T79" s="45"/>
      <c r="U79" s="45"/>
    </row>
    <row r="80" spans="1:21" ht="18.7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8"/>
      <c r="T80" s="45"/>
      <c r="U80" s="45"/>
    </row>
    <row r="81" spans="1:21" ht="18.7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8"/>
      <c r="T81" s="45"/>
      <c r="U81" s="45"/>
    </row>
    <row r="82" spans="1:21" ht="18.7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8"/>
      <c r="T82" s="45"/>
      <c r="U82" s="45"/>
    </row>
    <row r="83" spans="1:21" ht="18.7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8"/>
      <c r="T83" s="45"/>
      <c r="U83" s="45"/>
    </row>
    <row r="84" spans="1:21" ht="18.7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8"/>
      <c r="T84" s="45"/>
      <c r="U84" s="45"/>
    </row>
    <row r="85" spans="1:21" ht="18.7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8"/>
      <c r="T85" s="45"/>
      <c r="U85" s="45"/>
    </row>
    <row r="86" spans="1:21" ht="18.7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8"/>
      <c r="T86" s="45"/>
      <c r="U86" s="45"/>
    </row>
    <row r="87" spans="1:21" ht="18.7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8"/>
      <c r="T87" s="45"/>
      <c r="U87" s="45"/>
    </row>
    <row r="88" spans="1:21" ht="18.7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8"/>
      <c r="T88" s="45"/>
      <c r="U88" s="45"/>
    </row>
    <row r="89" spans="1:21" ht="18.7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8"/>
      <c r="T89" s="45"/>
      <c r="U89" s="45"/>
    </row>
    <row r="90" spans="1:21" ht="18.7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8"/>
      <c r="T90" s="45"/>
      <c r="U90" s="45"/>
    </row>
    <row r="91" spans="1:21" ht="18.7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8"/>
      <c r="T91" s="45"/>
      <c r="U91" s="45"/>
    </row>
    <row r="92" spans="1:21" ht="18.7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8"/>
      <c r="T92" s="45"/>
      <c r="U92" s="45"/>
    </row>
    <row r="93" spans="1:21" ht="18.7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8"/>
      <c r="T93" s="45"/>
      <c r="U93" s="45"/>
    </row>
    <row r="94" spans="1:21" ht="18.7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8"/>
      <c r="T94" s="45"/>
      <c r="U94" s="45"/>
    </row>
    <row r="95" spans="1:21" ht="18.7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8"/>
      <c r="T95" s="45"/>
      <c r="U95" s="45"/>
    </row>
    <row r="96" spans="1:21" ht="18.7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8"/>
      <c r="T96" s="45"/>
      <c r="U96" s="45"/>
    </row>
    <row r="97" spans="1:21" ht="18.7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8"/>
      <c r="T97" s="45"/>
      <c r="U97" s="45"/>
    </row>
    <row r="98" spans="1:21" ht="18.7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8"/>
      <c r="T98" s="45"/>
      <c r="U98" s="45"/>
    </row>
    <row r="99" spans="1:21" ht="18.7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8"/>
      <c r="T99" s="45"/>
      <c r="U99" s="45"/>
    </row>
    <row r="100" spans="1:21" ht="18.7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8"/>
      <c r="T100" s="45"/>
      <c r="U100" s="45"/>
    </row>
    <row r="101" spans="1:21" ht="18.7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8"/>
      <c r="T101" s="45"/>
      <c r="U101" s="45"/>
    </row>
    <row r="102" spans="1:21" ht="18.7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8"/>
      <c r="T102" s="45"/>
      <c r="U102" s="45"/>
    </row>
    <row r="103" spans="1:21" ht="18.7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8"/>
      <c r="T103" s="45"/>
      <c r="U103" s="45"/>
    </row>
    <row r="104" spans="1:21" ht="18.7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8"/>
      <c r="T104" s="45"/>
      <c r="U104" s="45"/>
    </row>
    <row r="105" spans="1:21" ht="18.7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8"/>
      <c r="T105" s="45"/>
      <c r="U105" s="45"/>
    </row>
    <row r="106" spans="1:21" ht="18.7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8"/>
      <c r="T106" s="45"/>
      <c r="U106" s="45"/>
    </row>
    <row r="107" spans="1:21" ht="18.7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8"/>
      <c r="T107" s="45"/>
      <c r="U107" s="45"/>
    </row>
    <row r="108" spans="1:21" ht="18.7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8"/>
      <c r="T108" s="45"/>
      <c r="U108" s="45"/>
    </row>
    <row r="109" spans="1:21" ht="18.7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8"/>
      <c r="T109" s="45"/>
      <c r="U109" s="45"/>
    </row>
    <row r="110" spans="1:21" ht="18.7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8"/>
      <c r="T110" s="45"/>
      <c r="U110" s="45"/>
    </row>
    <row r="111" spans="1:21" ht="18.7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8"/>
      <c r="T111" s="45"/>
      <c r="U111" s="45"/>
    </row>
    <row r="112" spans="1:21" ht="18.7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8"/>
      <c r="T112" s="45"/>
      <c r="U112" s="45"/>
    </row>
    <row r="113" spans="1:21" ht="18.7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8"/>
      <c r="T113" s="45"/>
      <c r="U113" s="45"/>
    </row>
    <row r="114" spans="1:21" ht="18.7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8"/>
      <c r="T114" s="45"/>
      <c r="U114" s="45"/>
    </row>
    <row r="115" spans="1:21" ht="18.7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8"/>
      <c r="T115" s="45"/>
      <c r="U115" s="45"/>
    </row>
    <row r="116" spans="1:21" ht="18.7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8"/>
      <c r="T116" s="45"/>
      <c r="U116" s="45"/>
    </row>
    <row r="117" spans="1:21" ht="18.7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8"/>
      <c r="T117" s="45"/>
      <c r="U117" s="45"/>
    </row>
    <row r="118" spans="1:21" ht="18.7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8"/>
      <c r="T118" s="45"/>
      <c r="U118" s="45"/>
    </row>
    <row r="119" spans="1:21" ht="18.7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8"/>
      <c r="T119" s="45"/>
      <c r="U119" s="45"/>
    </row>
    <row r="120" spans="1:21" ht="18.7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8"/>
      <c r="T120" s="45"/>
      <c r="U120" s="45"/>
    </row>
    <row r="121" spans="1:21" ht="18.7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8"/>
      <c r="T121" s="45"/>
      <c r="U121" s="45"/>
    </row>
    <row r="122" spans="1:21" ht="18.7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8"/>
      <c r="T122" s="45"/>
      <c r="U122" s="45"/>
    </row>
    <row r="123" spans="1:21" ht="18.7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8"/>
      <c r="T123" s="45"/>
      <c r="U123" s="45"/>
    </row>
    <row r="124" spans="1:21" ht="18.7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8"/>
      <c r="T124" s="45"/>
      <c r="U124" s="45"/>
    </row>
    <row r="125" spans="1:21" ht="18.7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8"/>
      <c r="T125" s="45"/>
      <c r="U125" s="45"/>
    </row>
    <row r="126" spans="1:21" ht="18.7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8"/>
      <c r="T126" s="45"/>
      <c r="U126" s="45"/>
    </row>
    <row r="127" spans="1:21" ht="18.7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8"/>
      <c r="T127" s="45"/>
      <c r="U127" s="45"/>
    </row>
    <row r="128" spans="1:21" ht="18.7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8"/>
      <c r="T128" s="45"/>
      <c r="U128" s="45"/>
    </row>
    <row r="129" spans="1:21" ht="18.7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8"/>
      <c r="T129" s="45"/>
      <c r="U129" s="45"/>
    </row>
    <row r="130" spans="1:21" ht="18.7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8"/>
      <c r="T130" s="45"/>
      <c r="U130" s="45"/>
    </row>
    <row r="131" spans="1:21" ht="18.7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8"/>
      <c r="T131" s="45"/>
      <c r="U131" s="45"/>
    </row>
    <row r="132" spans="1:21" ht="18.7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8"/>
      <c r="T132" s="45"/>
      <c r="U132" s="45"/>
    </row>
    <row r="133" spans="1:21" ht="18.7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8"/>
      <c r="T133" s="45"/>
      <c r="U133" s="45"/>
    </row>
    <row r="134" spans="1:21" ht="18.7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8"/>
      <c r="T134" s="45"/>
      <c r="U134" s="45"/>
    </row>
    <row r="135" spans="1:21" ht="18.7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8"/>
      <c r="T135" s="45"/>
      <c r="U135" s="45"/>
    </row>
    <row r="136" spans="1:21" ht="18.7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8"/>
      <c r="T136" s="45"/>
      <c r="U136" s="45"/>
    </row>
    <row r="137" spans="1:21" ht="18.7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8"/>
      <c r="T137" s="45"/>
      <c r="U137" s="45"/>
    </row>
    <row r="138" spans="1:21" ht="18.7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8"/>
      <c r="T138" s="45"/>
      <c r="U138" s="45"/>
    </row>
    <row r="139" spans="1:21" ht="18.7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8"/>
      <c r="T139" s="45"/>
      <c r="U139" s="45"/>
    </row>
    <row r="140" spans="1:21" ht="18.7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8"/>
      <c r="T140" s="45"/>
      <c r="U140" s="45"/>
    </row>
    <row r="141" spans="1:21" ht="18.7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8"/>
      <c r="T141" s="45"/>
      <c r="U141" s="45"/>
    </row>
    <row r="142" spans="1:21" ht="18.7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8"/>
      <c r="T142" s="45"/>
      <c r="U142" s="45"/>
    </row>
    <row r="143" spans="1:21" ht="18.7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8"/>
      <c r="T143" s="45"/>
      <c r="U143" s="45"/>
    </row>
    <row r="144" spans="1:21" ht="18.7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8"/>
      <c r="T144" s="45"/>
      <c r="U144" s="45"/>
    </row>
    <row r="145" spans="1:21" ht="18.7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8"/>
      <c r="T145" s="45"/>
      <c r="U145" s="45"/>
    </row>
    <row r="146" spans="1:21" ht="18.7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8"/>
      <c r="T146" s="45"/>
      <c r="U146" s="45"/>
    </row>
    <row r="147" spans="1:21" ht="18.7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8"/>
      <c r="T147" s="45"/>
      <c r="U147" s="45"/>
    </row>
    <row r="148" spans="1:21" ht="18.7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8"/>
      <c r="T148" s="45"/>
      <c r="U148" s="45"/>
    </row>
    <row r="149" spans="1:21" ht="18.7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8"/>
      <c r="T149" s="45"/>
      <c r="U149" s="45"/>
    </row>
    <row r="150" spans="1:21" ht="18.7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8"/>
      <c r="T150" s="45"/>
      <c r="U150" s="45"/>
    </row>
    <row r="151" spans="1:21" ht="18.7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8"/>
      <c r="T151" s="45"/>
      <c r="U151" s="45"/>
    </row>
    <row r="152" spans="1:21" ht="18.7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8"/>
      <c r="T152" s="45"/>
      <c r="U152" s="45"/>
    </row>
    <row r="153" spans="1:21" ht="18.7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8"/>
      <c r="T153" s="45"/>
      <c r="U153" s="45"/>
    </row>
    <row r="154" spans="1:21" ht="18.7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8"/>
      <c r="T154" s="45"/>
      <c r="U154" s="45"/>
    </row>
    <row r="155" spans="1:21" ht="18.7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8"/>
      <c r="T155" s="45"/>
      <c r="U155" s="45"/>
    </row>
    <row r="156" spans="1:21" ht="18.7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8"/>
      <c r="T156" s="45"/>
      <c r="U156" s="45"/>
    </row>
    <row r="157" spans="1:21" ht="18.7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8"/>
      <c r="T157" s="45"/>
      <c r="U157" s="45"/>
    </row>
    <row r="158" spans="1:21" ht="18.7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8"/>
      <c r="T158" s="45"/>
      <c r="U158" s="45"/>
    </row>
    <row r="159" spans="1:21" ht="18.7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8"/>
      <c r="T159" s="45"/>
      <c r="U159" s="45"/>
    </row>
    <row r="160" spans="1:21" ht="18.7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8"/>
      <c r="T160" s="45"/>
      <c r="U160" s="45"/>
    </row>
    <row r="161" spans="1:21" ht="18.7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8"/>
      <c r="T161" s="45"/>
      <c r="U161" s="45"/>
    </row>
    <row r="162" spans="1:21" ht="18.7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8"/>
      <c r="T162" s="45"/>
      <c r="U162" s="45"/>
    </row>
    <row r="163" spans="1:21" ht="18.7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8"/>
      <c r="T163" s="45"/>
      <c r="U163" s="45"/>
    </row>
    <row r="164" spans="1:21" ht="18.7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8"/>
      <c r="T164" s="45"/>
      <c r="U164" s="45"/>
    </row>
    <row r="165" spans="1:21" ht="18.7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8"/>
      <c r="T165" s="45"/>
      <c r="U165" s="45"/>
    </row>
    <row r="166" spans="1:21" ht="18.7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8"/>
      <c r="T166" s="45"/>
      <c r="U166" s="45"/>
    </row>
    <row r="167" spans="1:21" ht="18.7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8"/>
      <c r="T167" s="45"/>
      <c r="U167" s="45"/>
    </row>
    <row r="168" spans="1:21" ht="18.7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8"/>
      <c r="T168" s="45"/>
      <c r="U168" s="45"/>
    </row>
    <row r="169" spans="1:21" ht="18.7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8"/>
      <c r="T169" s="45"/>
      <c r="U169" s="45"/>
    </row>
    <row r="170" spans="1:21" ht="18.7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8"/>
      <c r="T170" s="45"/>
      <c r="U170" s="45"/>
    </row>
    <row r="171" spans="1:21" ht="18.7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8"/>
      <c r="T171" s="45"/>
      <c r="U171" s="45"/>
    </row>
    <row r="172" spans="1:21" ht="18.7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8"/>
      <c r="T172" s="45"/>
      <c r="U172" s="45"/>
    </row>
    <row r="173" spans="1:21" ht="18.7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8"/>
      <c r="T173" s="45"/>
      <c r="U173" s="45"/>
    </row>
    <row r="174" spans="1:21" ht="18.7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8"/>
      <c r="T174" s="45"/>
      <c r="U174" s="45"/>
    </row>
    <row r="175" spans="1:21" ht="18.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8"/>
      <c r="T175" s="45"/>
      <c r="U175" s="45"/>
    </row>
    <row r="176" spans="1:21" ht="18.7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8"/>
      <c r="T176" s="45"/>
      <c r="U176" s="45"/>
    </row>
    <row r="177" spans="1:21" ht="18.7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8"/>
      <c r="T177" s="45"/>
      <c r="U177" s="45"/>
    </row>
    <row r="178" spans="1:21" ht="18.7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8"/>
      <c r="T178" s="45"/>
      <c r="U178" s="45"/>
    </row>
    <row r="179" spans="1:21" ht="18.7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8"/>
      <c r="T179" s="45"/>
      <c r="U179" s="45"/>
    </row>
    <row r="180" spans="1:21" ht="18.7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8"/>
      <c r="T180" s="45"/>
      <c r="U180" s="45"/>
    </row>
    <row r="181" spans="1:21" ht="18.7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8"/>
      <c r="T181" s="45"/>
      <c r="U181" s="45"/>
    </row>
    <row r="182" spans="1:21" ht="18.7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8"/>
      <c r="T182" s="45"/>
      <c r="U182" s="45"/>
    </row>
    <row r="183" spans="1:21" ht="18.7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8"/>
      <c r="T183" s="45"/>
      <c r="U183" s="45"/>
    </row>
    <row r="184" spans="1:21" ht="18.7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8"/>
      <c r="T184" s="45"/>
      <c r="U184" s="45"/>
    </row>
    <row r="185" spans="1:21" ht="18.7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8"/>
      <c r="T185" s="45"/>
      <c r="U185" s="45"/>
    </row>
    <row r="186" spans="1:21" ht="18.7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8"/>
      <c r="T186" s="45"/>
      <c r="U186" s="45"/>
    </row>
    <row r="187" spans="1:21" ht="18.7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8"/>
      <c r="T187" s="45"/>
      <c r="U187" s="45"/>
    </row>
    <row r="188" spans="1:21" ht="18.7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8"/>
      <c r="T188" s="45"/>
      <c r="U188" s="45"/>
    </row>
    <row r="189" spans="1:21" ht="18.7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8"/>
      <c r="T189" s="45"/>
      <c r="U189" s="45"/>
    </row>
    <row r="190" spans="1:21" ht="18.7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8"/>
      <c r="T190" s="45"/>
      <c r="U190" s="45"/>
    </row>
    <row r="191" spans="1:21" ht="18.7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8"/>
      <c r="T191" s="45"/>
      <c r="U191" s="45"/>
    </row>
    <row r="192" spans="1:21" ht="18.7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8"/>
      <c r="T192" s="45"/>
      <c r="U192" s="45"/>
    </row>
    <row r="193" spans="1:21" ht="18.7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8"/>
      <c r="T193" s="45"/>
      <c r="U193" s="45"/>
    </row>
    <row r="194" spans="1:21" ht="18.7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8"/>
      <c r="T194" s="45"/>
      <c r="U194" s="45"/>
    </row>
    <row r="195" spans="1:21" ht="18.7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8"/>
      <c r="T195" s="45"/>
      <c r="U195" s="45"/>
    </row>
    <row r="196" spans="1:21" ht="18.7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8"/>
      <c r="T196" s="45"/>
      <c r="U196" s="45"/>
    </row>
    <row r="197" spans="1:21" ht="18.7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8"/>
      <c r="T197" s="45"/>
      <c r="U197" s="45"/>
    </row>
    <row r="198" spans="1:21" ht="18.7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8"/>
      <c r="T198" s="45"/>
      <c r="U198" s="45"/>
    </row>
    <row r="199" spans="1:21" ht="18.7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8"/>
      <c r="T199" s="45"/>
      <c r="U199" s="45"/>
    </row>
    <row r="200" spans="1:21" ht="18.7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8"/>
      <c r="T200" s="45"/>
      <c r="U200" s="45"/>
    </row>
    <row r="201" spans="1:21" ht="18.7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8"/>
      <c r="T201" s="45"/>
      <c r="U201" s="45"/>
    </row>
    <row r="202" spans="1:21" ht="18.7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8"/>
      <c r="T202" s="45"/>
      <c r="U202" s="45"/>
    </row>
    <row r="203" spans="1:21" ht="18.7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8"/>
      <c r="T203" s="45"/>
      <c r="U203" s="45"/>
    </row>
    <row r="204" spans="1:21" ht="18.7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8"/>
      <c r="T204" s="45"/>
      <c r="U204" s="45"/>
    </row>
    <row r="205" spans="1:21" ht="18.7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8"/>
      <c r="T205" s="45"/>
      <c r="U205" s="45"/>
    </row>
    <row r="206" spans="1:21" ht="18.7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8"/>
      <c r="T206" s="45"/>
      <c r="U206" s="45"/>
    </row>
    <row r="207" spans="1:21" ht="18.7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8"/>
      <c r="T207" s="45"/>
      <c r="U207" s="45"/>
    </row>
    <row r="208" spans="1:21" ht="18.7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8"/>
      <c r="T208" s="45"/>
      <c r="U208" s="45"/>
    </row>
    <row r="209" spans="1:21" ht="18.7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8"/>
      <c r="T209" s="45"/>
      <c r="U209" s="45"/>
    </row>
    <row r="210" spans="1:21" ht="18.7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8"/>
      <c r="T210" s="45"/>
      <c r="U210" s="45"/>
    </row>
    <row r="211" spans="1:21" ht="18.7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8"/>
      <c r="T211" s="45"/>
      <c r="U211" s="45"/>
    </row>
    <row r="212" spans="1:21" ht="18.7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8"/>
      <c r="T212" s="45"/>
      <c r="U212" s="45"/>
    </row>
    <row r="213" spans="1:21" ht="18.7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8"/>
      <c r="T213" s="45"/>
      <c r="U213" s="45"/>
    </row>
    <row r="214" spans="1:21" ht="18.7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8"/>
      <c r="T214" s="45"/>
      <c r="U214" s="45"/>
    </row>
    <row r="215" spans="1:21" ht="18.7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8"/>
      <c r="T215" s="45"/>
      <c r="U215" s="45"/>
    </row>
    <row r="216" spans="1:21" ht="18.7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8"/>
      <c r="T216" s="45"/>
      <c r="U216" s="45"/>
    </row>
    <row r="217" spans="1:21" ht="18.7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8"/>
      <c r="T217" s="45"/>
      <c r="U217" s="45"/>
    </row>
    <row r="218" spans="1:21" ht="18.7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8"/>
      <c r="T218" s="45"/>
      <c r="U218" s="45"/>
    </row>
    <row r="219" spans="1:21" ht="18.7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8"/>
      <c r="T219" s="45"/>
      <c r="U219" s="45"/>
    </row>
    <row r="220" spans="1:21" ht="18.7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8"/>
      <c r="T220" s="45"/>
      <c r="U220" s="45"/>
    </row>
    <row r="221" spans="1:21" ht="18.7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8"/>
      <c r="T221" s="45"/>
      <c r="U221" s="45"/>
    </row>
    <row r="222" spans="1:21" ht="18.7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8"/>
      <c r="T222" s="45"/>
      <c r="U222" s="45"/>
    </row>
    <row r="223" spans="1:21" ht="18.7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8"/>
      <c r="T223" s="45"/>
      <c r="U223" s="45"/>
    </row>
    <row r="224" spans="1:21" ht="18.7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8"/>
      <c r="T224" s="45"/>
      <c r="U224" s="45"/>
    </row>
    <row r="225" spans="1:21" ht="18.7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8"/>
      <c r="T225" s="45"/>
      <c r="U225" s="45"/>
    </row>
    <row r="226" spans="1:21" ht="18.7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8"/>
      <c r="T226" s="45"/>
      <c r="U226" s="45"/>
    </row>
    <row r="227" spans="1:21" ht="18.7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8"/>
      <c r="T227" s="45"/>
      <c r="U227" s="45"/>
    </row>
    <row r="228" spans="1:21" ht="18.7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8"/>
      <c r="T228" s="45"/>
      <c r="U228" s="45"/>
    </row>
    <row r="229" spans="1:21" ht="18.7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8"/>
      <c r="T229" s="45"/>
      <c r="U229" s="45"/>
    </row>
    <row r="230" spans="1:21" ht="18.7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8"/>
      <c r="T230" s="45"/>
      <c r="U230" s="45"/>
    </row>
    <row r="231" spans="1:21" ht="18.7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8"/>
      <c r="T231" s="45"/>
      <c r="U231" s="45"/>
    </row>
    <row r="232" spans="1:21" ht="18.7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8"/>
      <c r="T232" s="45"/>
      <c r="U232" s="45"/>
    </row>
    <row r="233" spans="1:21" ht="18.7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8"/>
      <c r="T233" s="45"/>
      <c r="U233" s="45"/>
    </row>
    <row r="234" spans="1:21" ht="18.7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8"/>
      <c r="T234" s="45"/>
      <c r="U234" s="45"/>
    </row>
    <row r="235" spans="1:21" ht="18.7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8"/>
      <c r="T235" s="45"/>
      <c r="U235" s="45"/>
    </row>
    <row r="236" spans="1:21" ht="18.7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8"/>
      <c r="T236" s="45"/>
      <c r="U236" s="45"/>
    </row>
    <row r="237" spans="1:21" ht="18.7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8"/>
      <c r="T237" s="45"/>
      <c r="U237" s="45"/>
    </row>
    <row r="238" spans="1:21" ht="18.7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8"/>
      <c r="T238" s="45"/>
      <c r="U238" s="45"/>
    </row>
    <row r="239" spans="1:21" ht="18.7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8"/>
      <c r="T239" s="45"/>
      <c r="U239" s="45"/>
    </row>
    <row r="240" spans="1:21" ht="18.7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8"/>
      <c r="T240" s="45"/>
      <c r="U240" s="45"/>
    </row>
    <row r="241" spans="1:21" ht="18.7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8"/>
      <c r="T241" s="45"/>
      <c r="U241" s="45"/>
    </row>
    <row r="242" spans="1:21" ht="18.7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8"/>
      <c r="T242" s="45"/>
      <c r="U242" s="45"/>
    </row>
    <row r="243" spans="1:21" ht="18.7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8"/>
      <c r="T243" s="45"/>
      <c r="U243" s="45"/>
    </row>
    <row r="244" spans="1:21" ht="18.7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8"/>
      <c r="T244" s="45"/>
      <c r="U244" s="45"/>
    </row>
    <row r="245" spans="1:21" ht="18.7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8"/>
      <c r="T245" s="45"/>
      <c r="U245" s="45"/>
    </row>
    <row r="246" spans="1:21" ht="18.7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8"/>
      <c r="T246" s="45"/>
      <c r="U246" s="45"/>
    </row>
    <row r="247" spans="1:21" ht="18.7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8"/>
      <c r="T247" s="45"/>
      <c r="U247" s="45"/>
    </row>
    <row r="248" spans="1:21" ht="18.7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8"/>
      <c r="T248" s="45"/>
      <c r="U248" s="45"/>
    </row>
    <row r="249" spans="1:21" ht="18.7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8"/>
      <c r="T249" s="45"/>
      <c r="U249" s="45"/>
    </row>
    <row r="250" spans="1:21" ht="18.7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8"/>
      <c r="T250" s="45"/>
      <c r="U250" s="45"/>
    </row>
    <row r="251" spans="1:21" ht="18.7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8"/>
      <c r="T251" s="45"/>
      <c r="U251" s="45"/>
    </row>
    <row r="252" spans="1:21" ht="18.7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8"/>
      <c r="T252" s="45"/>
      <c r="U252" s="45"/>
    </row>
    <row r="253" spans="1:21" ht="18.7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8"/>
      <c r="T253" s="45"/>
      <c r="U253" s="45"/>
    </row>
    <row r="254" spans="1:21" ht="18.7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8"/>
      <c r="T254" s="45"/>
      <c r="U254" s="45"/>
    </row>
    <row r="255" spans="1:21" ht="18.7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8"/>
      <c r="T255" s="45"/>
      <c r="U255" s="45"/>
    </row>
    <row r="256" spans="1:21" ht="18.7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8"/>
      <c r="T256" s="45"/>
      <c r="U256" s="45"/>
    </row>
    <row r="257" spans="1:21" ht="18.7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8"/>
      <c r="T257" s="45"/>
      <c r="U257" s="45"/>
    </row>
    <row r="258" spans="1:21" ht="18.7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8"/>
      <c r="T258" s="45"/>
      <c r="U258" s="45"/>
    </row>
    <row r="259" spans="1:21" ht="18.7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8"/>
      <c r="T259" s="45"/>
      <c r="U259" s="45"/>
    </row>
    <row r="260" spans="1:21" ht="18.7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8"/>
      <c r="T260" s="45"/>
      <c r="U260" s="45"/>
    </row>
    <row r="261" spans="1:21" ht="18.7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8"/>
      <c r="T261" s="45"/>
      <c r="U261" s="45"/>
    </row>
    <row r="262" spans="1:21" ht="18.7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8"/>
      <c r="T262" s="45"/>
      <c r="U262" s="45"/>
    </row>
    <row r="263" spans="1:21" ht="18.7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8"/>
      <c r="T263" s="45"/>
      <c r="U263" s="45"/>
    </row>
    <row r="264" spans="1:21" ht="18.7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8"/>
      <c r="T264" s="45"/>
      <c r="U264" s="45"/>
    </row>
    <row r="265" spans="1:21" ht="18.7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8"/>
      <c r="T265" s="45"/>
      <c r="U265" s="45"/>
    </row>
    <row r="266" spans="1:21" ht="18.7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8"/>
      <c r="T266" s="45"/>
      <c r="U266" s="45"/>
    </row>
    <row r="267" spans="1:21" ht="18.7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8"/>
      <c r="T267" s="45"/>
      <c r="U267" s="45"/>
    </row>
    <row r="268" spans="1:21" ht="18.7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8"/>
      <c r="T268" s="45"/>
      <c r="U268" s="45"/>
    </row>
    <row r="269" spans="1:21" ht="18.7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8"/>
      <c r="T269" s="45"/>
      <c r="U269" s="45"/>
    </row>
    <row r="270" spans="1:21" ht="18.7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8"/>
      <c r="T270" s="45"/>
      <c r="U270" s="45"/>
    </row>
    <row r="271" spans="1:21" ht="18.7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8"/>
      <c r="T271" s="45"/>
      <c r="U271" s="45"/>
    </row>
    <row r="272" spans="1:21" ht="18.7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8"/>
      <c r="T272" s="45"/>
      <c r="U272" s="45"/>
    </row>
    <row r="273" spans="1:21" ht="18.7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8"/>
      <c r="T273" s="45"/>
      <c r="U273" s="45"/>
    </row>
    <row r="274" spans="1:21" ht="18.7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8"/>
      <c r="T274" s="45"/>
      <c r="U274" s="45"/>
    </row>
    <row r="275" spans="1:21" ht="18.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8"/>
      <c r="T275" s="45"/>
      <c r="U275" s="45"/>
    </row>
    <row r="276" spans="1:21" ht="18.7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8"/>
      <c r="T276" s="45"/>
      <c r="U276" s="45"/>
    </row>
    <row r="277" spans="1:21" ht="18.7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8"/>
      <c r="T277" s="45"/>
      <c r="U277" s="45"/>
    </row>
    <row r="278" spans="1:21" ht="18.7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8"/>
      <c r="T278" s="45"/>
      <c r="U278" s="45"/>
    </row>
    <row r="279" spans="1:21" ht="18.7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8"/>
      <c r="T279" s="45"/>
      <c r="U279" s="45"/>
    </row>
    <row r="280" spans="1:21" ht="18.7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8"/>
      <c r="T280" s="45"/>
      <c r="U280" s="45"/>
    </row>
    <row r="281" spans="1:21" ht="18.7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8"/>
      <c r="T281" s="45"/>
      <c r="U281" s="45"/>
    </row>
    <row r="282" spans="1:21" ht="18.7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8"/>
      <c r="T282" s="45"/>
      <c r="U282" s="45"/>
    </row>
    <row r="283" spans="1:21" ht="18.7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8"/>
      <c r="T283" s="45"/>
      <c r="U283" s="45"/>
    </row>
    <row r="284" spans="1:21" ht="18.7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8"/>
      <c r="T284" s="45"/>
      <c r="U284" s="45"/>
    </row>
    <row r="285" spans="1:21" ht="18.7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8"/>
      <c r="T285" s="45"/>
      <c r="U285" s="45"/>
    </row>
    <row r="286" spans="1:21" ht="18.7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8"/>
      <c r="T286" s="45"/>
      <c r="U286" s="45"/>
    </row>
    <row r="287" spans="1:21" ht="18.7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8"/>
      <c r="T287" s="45"/>
      <c r="U287" s="45"/>
    </row>
    <row r="288" spans="1:21" ht="18.7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8"/>
      <c r="T288" s="45"/>
      <c r="U288" s="45"/>
    </row>
    <row r="289" spans="1:21" ht="18.7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8"/>
      <c r="T289" s="45"/>
      <c r="U289" s="45"/>
    </row>
    <row r="290" spans="1:21" ht="18.7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8"/>
      <c r="T290" s="45"/>
      <c r="U290" s="45"/>
    </row>
    <row r="291" spans="1:21" ht="18.7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8"/>
      <c r="T291" s="45"/>
      <c r="U291" s="45"/>
    </row>
    <row r="292" spans="1:21" ht="18.7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8"/>
      <c r="T292" s="45"/>
      <c r="U292" s="45"/>
    </row>
    <row r="293" spans="1:21" ht="18.7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8"/>
      <c r="T293" s="45"/>
      <c r="U293" s="45"/>
    </row>
    <row r="294" spans="1:21" ht="18.7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8"/>
      <c r="T294" s="45"/>
      <c r="U294" s="45"/>
    </row>
    <row r="295" spans="1:21" ht="18.7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8"/>
      <c r="T295" s="45"/>
      <c r="U295" s="45"/>
    </row>
    <row r="296" spans="1:21" ht="18.7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8"/>
      <c r="T296" s="45"/>
      <c r="U296" s="45"/>
    </row>
    <row r="297" spans="1:21" ht="18.7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8"/>
      <c r="T297" s="45"/>
      <c r="U297" s="45"/>
    </row>
    <row r="298" spans="1:21" ht="18.7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8"/>
      <c r="T298" s="45"/>
      <c r="U298" s="45"/>
    </row>
    <row r="299" spans="1:21" ht="18.7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8"/>
      <c r="T299" s="45"/>
      <c r="U299" s="45"/>
    </row>
    <row r="300" spans="1:21" ht="18.7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8"/>
      <c r="T300" s="45"/>
      <c r="U300" s="45"/>
    </row>
    <row r="301" spans="1:21" ht="18.7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8"/>
      <c r="T301" s="45"/>
      <c r="U301" s="45"/>
    </row>
    <row r="302" spans="1:21" ht="18.7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8"/>
      <c r="T302" s="45"/>
      <c r="U302" s="45"/>
    </row>
    <row r="303" spans="1:21" ht="18.7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8"/>
      <c r="T303" s="45"/>
      <c r="U303" s="45"/>
    </row>
    <row r="304" spans="1:21" ht="18.7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8"/>
      <c r="T304" s="45"/>
      <c r="U304" s="45"/>
    </row>
    <row r="305" spans="1:21" ht="18.7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8"/>
      <c r="T305" s="45"/>
      <c r="U305" s="45"/>
    </row>
    <row r="306" spans="1:21" ht="18.7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8"/>
      <c r="T306" s="45"/>
      <c r="U306" s="45"/>
    </row>
    <row r="307" spans="1:21" ht="18.7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8"/>
      <c r="T307" s="45"/>
      <c r="U307" s="45"/>
    </row>
    <row r="308" spans="1:21" ht="18.7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8"/>
      <c r="T308" s="45"/>
      <c r="U308" s="45"/>
    </row>
    <row r="309" spans="1:21" ht="18.7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8"/>
      <c r="T309" s="45"/>
      <c r="U309" s="45"/>
    </row>
    <row r="310" spans="1:21" ht="18.7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8"/>
      <c r="T310" s="45"/>
      <c r="U310" s="45"/>
    </row>
    <row r="311" spans="1:21" ht="18.7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8"/>
      <c r="T311" s="45"/>
      <c r="U311" s="45"/>
    </row>
    <row r="312" spans="1:21" ht="18.7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8"/>
      <c r="T312" s="45"/>
      <c r="U312" s="45"/>
    </row>
    <row r="313" spans="1:21" ht="18.7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8"/>
      <c r="T313" s="45"/>
      <c r="U313" s="45"/>
    </row>
    <row r="314" spans="1:21" ht="18.7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8"/>
      <c r="T314" s="45"/>
      <c r="U314" s="45"/>
    </row>
    <row r="315" spans="1:21" ht="18.7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8"/>
      <c r="T315" s="45"/>
      <c r="U315" s="45"/>
    </row>
    <row r="316" spans="1:21" ht="18.7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8"/>
      <c r="T316" s="45"/>
      <c r="U316" s="45"/>
    </row>
    <row r="317" spans="1:21" ht="18.7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8"/>
      <c r="T317" s="45"/>
      <c r="U317" s="45"/>
    </row>
    <row r="318" spans="1:21" ht="18.7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8"/>
      <c r="T318" s="45"/>
      <c r="U318" s="45"/>
    </row>
    <row r="319" spans="1:21" ht="18.7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8"/>
      <c r="T319" s="45"/>
      <c r="U319" s="45"/>
    </row>
    <row r="320" spans="1:21" ht="18.7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8"/>
      <c r="T320" s="45"/>
      <c r="U320" s="45"/>
    </row>
    <row r="321" spans="1:21" ht="18.7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8"/>
      <c r="T321" s="45"/>
      <c r="U321" s="45"/>
    </row>
    <row r="322" spans="1:21" ht="18.7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8"/>
      <c r="T322" s="45"/>
      <c r="U322" s="45"/>
    </row>
    <row r="323" spans="1:21" ht="18.7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8"/>
      <c r="T323" s="45"/>
      <c r="U323" s="45"/>
    </row>
    <row r="324" spans="1:21" ht="18.7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8"/>
      <c r="T325" s="45"/>
      <c r="U325" s="45"/>
    </row>
    <row r="326" spans="1:21" ht="18.7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8"/>
      <c r="T326" s="45"/>
      <c r="U326" s="45"/>
    </row>
    <row r="327" spans="1:21" ht="18.7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8"/>
      <c r="T327" s="45"/>
      <c r="U327" s="45"/>
    </row>
    <row r="328" spans="1:21" ht="18.7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8"/>
      <c r="T328" s="45"/>
      <c r="U328" s="45"/>
    </row>
    <row r="329" spans="1:21" ht="18.7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8"/>
      <c r="T329" s="45"/>
      <c r="U329" s="45"/>
    </row>
    <row r="330" spans="1:21" ht="18.7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8"/>
      <c r="T330" s="45"/>
      <c r="U330" s="45"/>
    </row>
    <row r="331" spans="1:21" ht="18.7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8"/>
      <c r="T331" s="45"/>
      <c r="U331" s="45"/>
    </row>
    <row r="332" spans="1:21" ht="18.7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8"/>
      <c r="T332" s="45"/>
      <c r="U332" s="45"/>
    </row>
    <row r="333" spans="1:21" ht="18.7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8"/>
      <c r="T333" s="45"/>
      <c r="U333" s="45"/>
    </row>
    <row r="334" spans="1:21" ht="18.7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8"/>
      <c r="T334" s="45"/>
      <c r="U334" s="45"/>
    </row>
    <row r="335" spans="1:21" ht="18.7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8"/>
      <c r="T335" s="45"/>
      <c r="U335" s="45"/>
    </row>
    <row r="336" spans="1:21" ht="18.7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8"/>
      <c r="T336" s="45"/>
      <c r="U336" s="45"/>
    </row>
    <row r="337" spans="1:21" ht="18.7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8"/>
      <c r="T337" s="45"/>
      <c r="U337" s="45"/>
    </row>
    <row r="338" spans="1:21" ht="18.7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8"/>
      <c r="T338" s="45"/>
      <c r="U338" s="45"/>
    </row>
    <row r="339" spans="1:21" ht="18.7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8"/>
      <c r="T339" s="45"/>
      <c r="U339" s="45"/>
    </row>
    <row r="340" spans="1:21" ht="18.7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8"/>
      <c r="T340" s="45"/>
      <c r="U340" s="45"/>
    </row>
    <row r="341" spans="1:21" ht="18.7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8"/>
      <c r="T341" s="45"/>
      <c r="U341" s="45"/>
    </row>
    <row r="342" spans="1:21" ht="18.7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8"/>
      <c r="T342" s="45"/>
      <c r="U342" s="45"/>
    </row>
    <row r="343" spans="1:21" ht="18.7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8"/>
      <c r="T343" s="45"/>
      <c r="U343" s="45"/>
    </row>
    <row r="344" spans="1:21" ht="18.7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8"/>
      <c r="T344" s="45"/>
      <c r="U344" s="45"/>
    </row>
    <row r="345" spans="1:21" ht="18.7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8"/>
      <c r="T345" s="45"/>
      <c r="U345" s="45"/>
    </row>
    <row r="346" spans="1:21" ht="18.7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8"/>
      <c r="T346" s="45"/>
      <c r="U346" s="45"/>
    </row>
    <row r="347" spans="1:21" ht="18.7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8"/>
      <c r="T347" s="45"/>
      <c r="U347" s="45"/>
    </row>
    <row r="348" spans="1:21" ht="18.7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8"/>
      <c r="T348" s="45"/>
      <c r="U348" s="45"/>
    </row>
    <row r="349" spans="1:21" ht="18.7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8"/>
      <c r="T349" s="45"/>
      <c r="U349" s="45"/>
    </row>
    <row r="350" spans="1:21" ht="18.7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8"/>
      <c r="T350" s="45"/>
      <c r="U350" s="45"/>
    </row>
    <row r="351" spans="1:21" ht="18.7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8"/>
      <c r="T351" s="45"/>
      <c r="U351" s="45"/>
    </row>
    <row r="352" spans="1:21" ht="18.7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8"/>
      <c r="T352" s="45"/>
      <c r="U352" s="45"/>
    </row>
    <row r="353" spans="1:21" ht="18.7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8"/>
      <c r="T353" s="45"/>
      <c r="U353" s="45"/>
    </row>
    <row r="354" spans="1:21" ht="18.7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8"/>
      <c r="T354" s="45"/>
      <c r="U354" s="45"/>
    </row>
    <row r="355" spans="1:21" ht="18.7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8"/>
      <c r="T355" s="45"/>
      <c r="U355" s="45"/>
    </row>
    <row r="356" spans="1:21" ht="18.7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8"/>
      <c r="T356" s="45"/>
      <c r="U356" s="45"/>
    </row>
    <row r="357" spans="1:21" ht="18.7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8"/>
      <c r="T357" s="45"/>
      <c r="U357" s="45"/>
    </row>
    <row r="358" spans="1:21" ht="18.7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8"/>
      <c r="T358" s="45"/>
      <c r="U358" s="45"/>
    </row>
    <row r="359" spans="1:21" ht="18.7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8"/>
      <c r="T359" s="45"/>
      <c r="U359" s="45"/>
    </row>
    <row r="360" spans="1:21" ht="18.7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8"/>
      <c r="T360" s="45"/>
      <c r="U360" s="45"/>
    </row>
    <row r="361" spans="1:21" ht="18.7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8"/>
      <c r="T361" s="45"/>
      <c r="U361" s="45"/>
    </row>
    <row r="362" spans="1:21" ht="18.7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8"/>
      <c r="T362" s="45"/>
      <c r="U362" s="45"/>
    </row>
    <row r="363" spans="1:21" ht="18.7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8"/>
      <c r="T363" s="45"/>
      <c r="U363" s="45"/>
    </row>
    <row r="364" spans="1:21" ht="18.7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8"/>
      <c r="T364" s="45"/>
      <c r="U364" s="45"/>
    </row>
    <row r="365" spans="1:21" ht="18.7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8"/>
      <c r="T365" s="45"/>
      <c r="U365" s="45"/>
    </row>
    <row r="366" spans="1:21" ht="18.7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8"/>
      <c r="T366" s="45"/>
      <c r="U366" s="45"/>
    </row>
    <row r="367" spans="1:21" ht="18.7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8"/>
      <c r="T367" s="45"/>
      <c r="U367" s="45"/>
    </row>
    <row r="368" spans="1:21" ht="18.7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8"/>
      <c r="T368" s="45"/>
      <c r="U368" s="45"/>
    </row>
    <row r="369" spans="1:21" ht="18.7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8"/>
      <c r="T369" s="45"/>
      <c r="U369" s="45"/>
    </row>
    <row r="370" spans="1:21" ht="18.7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8"/>
      <c r="T370" s="45"/>
      <c r="U370" s="45"/>
    </row>
    <row r="371" spans="1:21" ht="18.7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8"/>
      <c r="T371" s="45"/>
      <c r="U371" s="45"/>
    </row>
    <row r="372" spans="1:21" ht="18.7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8"/>
      <c r="T372" s="45"/>
      <c r="U372" s="45"/>
    </row>
    <row r="373" spans="1:21" ht="18.7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8"/>
      <c r="T373" s="45"/>
      <c r="U373" s="45"/>
    </row>
    <row r="374" spans="1:21" ht="18.7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8"/>
      <c r="T374" s="45"/>
      <c r="U374" s="45"/>
    </row>
    <row r="375" spans="1:21" ht="18.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8"/>
      <c r="T375" s="45"/>
      <c r="U375" s="45"/>
    </row>
    <row r="376" spans="1:21" ht="18.7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8"/>
      <c r="T376" s="45"/>
      <c r="U376" s="45"/>
    </row>
    <row r="377" spans="1:21" ht="18.7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8"/>
      <c r="T377" s="45"/>
      <c r="U377" s="45"/>
    </row>
    <row r="378" spans="1:21" ht="18.7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8"/>
      <c r="T378" s="45"/>
      <c r="U378" s="45"/>
    </row>
    <row r="379" spans="1:21" ht="18.7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8"/>
      <c r="T379" s="45"/>
      <c r="U379" s="45"/>
    </row>
    <row r="380" spans="1:21" ht="18.7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8"/>
      <c r="T380" s="45"/>
      <c r="U380" s="45"/>
    </row>
    <row r="381" spans="1:21" ht="18.7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8"/>
      <c r="T381" s="45"/>
      <c r="U381" s="45"/>
    </row>
    <row r="382" spans="1:21" ht="18.7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8"/>
      <c r="T382" s="45"/>
      <c r="U382" s="45"/>
    </row>
    <row r="383" spans="1:21" ht="18.7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8"/>
      <c r="T383" s="45"/>
      <c r="U383" s="45"/>
    </row>
    <row r="384" spans="1:21" ht="18.7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8"/>
      <c r="T384" s="45"/>
      <c r="U384" s="45"/>
    </row>
    <row r="385" spans="1:21" ht="18.7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8"/>
      <c r="T385" s="45"/>
      <c r="U385" s="45"/>
    </row>
    <row r="386" spans="1:21" ht="18.7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8"/>
      <c r="T386" s="45"/>
      <c r="U386" s="45"/>
    </row>
    <row r="387" spans="1:21" ht="18.7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8"/>
      <c r="T387" s="45"/>
      <c r="U387" s="45"/>
    </row>
    <row r="388" spans="1:21" ht="18.7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8"/>
      <c r="T388" s="45"/>
      <c r="U388" s="45"/>
    </row>
    <row r="389" spans="1:21" ht="18.7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8"/>
      <c r="T389" s="45"/>
      <c r="U389" s="45"/>
    </row>
    <row r="390" spans="1:21" ht="18.7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8"/>
      <c r="T390" s="45"/>
      <c r="U390" s="45"/>
    </row>
    <row r="391" spans="1:21" ht="18.7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8"/>
      <c r="T391" s="45"/>
      <c r="U391" s="45"/>
    </row>
    <row r="392" spans="1:21" ht="18.7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8"/>
      <c r="T392" s="45"/>
      <c r="U392" s="45"/>
    </row>
    <row r="393" spans="1:21" ht="18.7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8"/>
      <c r="T393" s="45"/>
      <c r="U393" s="45"/>
    </row>
    <row r="394" spans="1:21" ht="18.7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8"/>
      <c r="T394" s="45"/>
      <c r="U394" s="45"/>
    </row>
    <row r="395" spans="1:21" ht="18.7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8"/>
      <c r="T395" s="45"/>
      <c r="U395" s="45"/>
    </row>
    <row r="396" spans="1:21" ht="18.7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8"/>
      <c r="T396" s="45"/>
      <c r="U396" s="45"/>
    </row>
    <row r="397" spans="1:21" ht="18.7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8"/>
      <c r="T397" s="45"/>
      <c r="U397" s="45"/>
    </row>
    <row r="398" spans="1:21" ht="18.7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8"/>
      <c r="T398" s="45"/>
      <c r="U398" s="45"/>
    </row>
    <row r="399" spans="1:21" ht="18.7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8"/>
      <c r="T399" s="45"/>
      <c r="U399" s="45"/>
    </row>
    <row r="400" spans="1:21" ht="18.7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8"/>
      <c r="T400" s="45"/>
      <c r="U400" s="45"/>
    </row>
    <row r="401" spans="1:21" ht="18.7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8"/>
      <c r="T401" s="45"/>
      <c r="U401" s="45"/>
    </row>
    <row r="402" spans="1:21" ht="18.7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8"/>
      <c r="T402" s="45"/>
      <c r="U402" s="45"/>
    </row>
    <row r="403" spans="1:21" ht="18.7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8"/>
      <c r="T403" s="45"/>
      <c r="U403" s="45"/>
    </row>
    <row r="404" spans="1:21" ht="18.7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8"/>
      <c r="T404" s="45"/>
      <c r="U404" s="45"/>
    </row>
    <row r="405" spans="1:21" ht="18.7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8"/>
      <c r="T405" s="45"/>
      <c r="U405" s="45"/>
    </row>
    <row r="406" spans="1:21" ht="18.7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8"/>
      <c r="T406" s="45"/>
      <c r="U406" s="45"/>
    </row>
    <row r="407" spans="1:21" ht="18.7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8"/>
      <c r="T407" s="45"/>
      <c r="U407" s="45"/>
    </row>
    <row r="408" spans="1:21" ht="18.7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8"/>
      <c r="T408" s="45"/>
      <c r="U408" s="45"/>
    </row>
    <row r="409" spans="1:21" ht="18.7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8"/>
      <c r="T409" s="45"/>
      <c r="U409" s="45"/>
    </row>
    <row r="410" spans="1:21" ht="18.7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8"/>
      <c r="T410" s="45"/>
      <c r="U410" s="45"/>
    </row>
    <row r="411" spans="1:21" ht="18.7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8"/>
      <c r="T411" s="45"/>
      <c r="U411" s="45"/>
    </row>
    <row r="412" spans="1:21" ht="18.7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8"/>
      <c r="T412" s="45"/>
      <c r="U412" s="45"/>
    </row>
    <row r="413" spans="1:21" ht="18.7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8"/>
      <c r="T413" s="45"/>
      <c r="U413" s="45"/>
    </row>
    <row r="414" spans="1:21" ht="18.7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8"/>
      <c r="T414" s="45"/>
      <c r="U414" s="45"/>
    </row>
    <row r="415" spans="1:21" ht="18.7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8"/>
      <c r="T415" s="45"/>
      <c r="U415" s="45"/>
    </row>
    <row r="416" spans="1:21" ht="18.7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8"/>
      <c r="T416" s="45"/>
      <c r="U416" s="45"/>
    </row>
    <row r="417" spans="1:21" ht="18.7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8"/>
      <c r="T417" s="45"/>
      <c r="U417" s="45"/>
    </row>
    <row r="418" spans="1:21" ht="18.7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8"/>
      <c r="T418" s="45"/>
      <c r="U418" s="45"/>
    </row>
    <row r="419" spans="1:21" ht="18.7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8"/>
      <c r="T419" s="45"/>
      <c r="U419" s="45"/>
    </row>
    <row r="420" spans="1:21" ht="18.7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8"/>
      <c r="T420" s="45"/>
      <c r="U420" s="45"/>
    </row>
    <row r="421" spans="1:21" ht="18.7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8"/>
      <c r="T421" s="45"/>
      <c r="U421" s="45"/>
    </row>
    <row r="422" spans="1:21" ht="18.7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8"/>
      <c r="T422" s="45"/>
      <c r="U422" s="45"/>
    </row>
    <row r="423" spans="1:21" ht="18.7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8"/>
      <c r="T423" s="45"/>
      <c r="U423" s="45"/>
    </row>
    <row r="424" spans="1:21" ht="18.7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8"/>
      <c r="T424" s="45"/>
      <c r="U424" s="45"/>
    </row>
    <row r="425" spans="1:21" ht="18.7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8"/>
      <c r="T425" s="45"/>
      <c r="U425" s="45"/>
    </row>
    <row r="426" spans="1:21" ht="18.7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8"/>
      <c r="T426" s="45"/>
      <c r="U426" s="45"/>
    </row>
    <row r="427" spans="1:21" ht="18.7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8"/>
      <c r="T427" s="45"/>
      <c r="U427" s="45"/>
    </row>
    <row r="428" spans="1:21" ht="18.7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8"/>
      <c r="T428" s="45"/>
      <c r="U428" s="45"/>
    </row>
    <row r="429" spans="1:21" ht="18.7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8"/>
      <c r="T429" s="45"/>
      <c r="U429" s="45"/>
    </row>
    <row r="430" spans="1:21" ht="18.7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8"/>
      <c r="T430" s="45"/>
      <c r="U430" s="45"/>
    </row>
    <row r="431" spans="1:21" ht="18.7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8"/>
      <c r="T431" s="45"/>
      <c r="U431" s="45"/>
    </row>
    <row r="432" spans="1:21" ht="18.7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8"/>
      <c r="T432" s="45"/>
      <c r="U432" s="45"/>
    </row>
    <row r="433" spans="1:21" ht="18.7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8"/>
      <c r="T433" s="45"/>
      <c r="U433" s="45"/>
    </row>
    <row r="434" spans="1:21" ht="18.7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8"/>
      <c r="T434" s="45"/>
      <c r="U434" s="45"/>
    </row>
    <row r="435" spans="1:21" ht="18.7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8"/>
      <c r="T435" s="45"/>
      <c r="U435" s="45"/>
    </row>
    <row r="436" spans="1:21" ht="18.7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8"/>
      <c r="T436" s="45"/>
      <c r="U436" s="45"/>
    </row>
    <row r="437" spans="1:21" ht="18.7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8"/>
      <c r="T437" s="45"/>
      <c r="U437" s="45"/>
    </row>
    <row r="438" spans="1:21" ht="18.7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8"/>
      <c r="T438" s="45"/>
      <c r="U438" s="45"/>
    </row>
    <row r="439" spans="1:21" ht="18.7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8"/>
      <c r="T439" s="45"/>
      <c r="U439" s="45"/>
    </row>
    <row r="440" spans="1:21" ht="18.7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8"/>
      <c r="T440" s="45"/>
      <c r="U440" s="45"/>
    </row>
    <row r="441" spans="1:21" ht="18.7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8"/>
      <c r="T441" s="45"/>
      <c r="U441" s="45"/>
    </row>
    <row r="442" spans="1:21" ht="18.7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8"/>
      <c r="T442" s="45"/>
      <c r="U442" s="45"/>
    </row>
    <row r="443" spans="1:21" ht="18.7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8"/>
      <c r="T443" s="45"/>
      <c r="U443" s="45"/>
    </row>
    <row r="444" spans="1:21" ht="18.7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8"/>
      <c r="T444" s="45"/>
      <c r="U444" s="45"/>
    </row>
    <row r="445" spans="1:21" ht="18.7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8"/>
      <c r="T445" s="45"/>
      <c r="U445" s="45"/>
    </row>
    <row r="446" spans="1:21" ht="18.7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8"/>
      <c r="T446" s="45"/>
      <c r="U446" s="45"/>
    </row>
    <row r="447" spans="1:21" ht="18.7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8"/>
      <c r="T447" s="45"/>
      <c r="U447" s="45"/>
    </row>
    <row r="448" spans="1:21" ht="18.7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8"/>
      <c r="T448" s="45"/>
      <c r="U448" s="45"/>
    </row>
    <row r="449" spans="1:21" ht="18.7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8"/>
      <c r="T449" s="45"/>
      <c r="U449" s="45"/>
    </row>
    <row r="450" spans="1:21" ht="18.7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8"/>
      <c r="T450" s="45"/>
      <c r="U450" s="45"/>
    </row>
    <row r="451" spans="1:21" ht="18.7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8"/>
      <c r="T451" s="45"/>
      <c r="U451" s="45"/>
    </row>
    <row r="452" spans="1:21" ht="18.7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8"/>
      <c r="T452" s="45"/>
      <c r="U452" s="45"/>
    </row>
    <row r="453" spans="1:21" ht="18.7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8"/>
      <c r="T453" s="45"/>
      <c r="U453" s="45"/>
    </row>
    <row r="454" spans="1:21" ht="18.7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8"/>
      <c r="T454" s="45"/>
      <c r="U454" s="45"/>
    </row>
    <row r="455" spans="1:21" ht="18.7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8"/>
      <c r="T455" s="45"/>
      <c r="U455" s="45"/>
    </row>
    <row r="456" spans="1:21" ht="18.7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8"/>
      <c r="T456" s="45"/>
      <c r="U456" s="45"/>
    </row>
    <row r="457" spans="1:21" ht="18.7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8"/>
      <c r="T457" s="45"/>
      <c r="U457" s="45"/>
    </row>
    <row r="458" spans="1:21" ht="18.7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8"/>
      <c r="T458" s="45"/>
      <c r="U458" s="45"/>
    </row>
    <row r="459" spans="1:21" ht="18.7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8"/>
      <c r="T459" s="45"/>
      <c r="U459" s="45"/>
    </row>
    <row r="460" spans="1:21" ht="18.7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8"/>
      <c r="T460" s="45"/>
      <c r="U460" s="45"/>
    </row>
    <row r="461" spans="1:21" ht="18.7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8"/>
      <c r="T461" s="45"/>
      <c r="U461" s="45"/>
    </row>
    <row r="462" spans="1:21" ht="18.7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8"/>
      <c r="T462" s="45"/>
      <c r="U462" s="45"/>
    </row>
    <row r="463" spans="1:21" ht="18.7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8"/>
      <c r="T463" s="45"/>
      <c r="U463" s="45"/>
    </row>
    <row r="464" spans="1:21" ht="18.7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8"/>
      <c r="T464" s="45"/>
      <c r="U464" s="45"/>
    </row>
    <row r="465" spans="1:21" ht="18.7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8"/>
      <c r="T465" s="45"/>
      <c r="U465" s="45"/>
    </row>
    <row r="466" spans="1:21" ht="18.7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8"/>
      <c r="T466" s="45"/>
      <c r="U466" s="45"/>
    </row>
    <row r="467" spans="1:21" ht="18.7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8"/>
      <c r="T467" s="45"/>
      <c r="U467" s="45"/>
    </row>
    <row r="468" spans="1:21" ht="18.7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8"/>
      <c r="T468" s="45"/>
      <c r="U468" s="45"/>
    </row>
    <row r="469" spans="1:21" ht="18.7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8"/>
      <c r="T469" s="45"/>
      <c r="U469" s="45"/>
    </row>
    <row r="470" spans="1:21" ht="18.7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8"/>
      <c r="T470" s="45"/>
      <c r="U470" s="45"/>
    </row>
    <row r="471" spans="1:21" ht="18.7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8"/>
      <c r="T471" s="45"/>
      <c r="U471" s="45"/>
    </row>
    <row r="472" spans="1:21" ht="18.7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8"/>
      <c r="T472" s="45"/>
      <c r="U472" s="45"/>
    </row>
    <row r="473" spans="1:21" ht="18.7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8"/>
      <c r="T473" s="45"/>
      <c r="U473" s="45"/>
    </row>
    <row r="474" spans="1:21" ht="18.7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8"/>
      <c r="T474" s="45"/>
      <c r="U474" s="45"/>
    </row>
    <row r="475" spans="1:21" ht="18.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8"/>
      <c r="T475" s="45"/>
      <c r="U475" s="45"/>
    </row>
    <row r="476" spans="1:21" ht="18.7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8"/>
      <c r="T476" s="45"/>
      <c r="U476" s="45"/>
    </row>
    <row r="477" spans="1:21" ht="18.7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8"/>
      <c r="T477" s="45"/>
      <c r="U477" s="45"/>
    </row>
    <row r="478" spans="1:21" ht="18.7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8"/>
      <c r="T478" s="45"/>
      <c r="U478" s="45"/>
    </row>
    <row r="479" spans="1:21" ht="18.7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8"/>
      <c r="T479" s="45"/>
      <c r="U479" s="45"/>
    </row>
    <row r="480" spans="1:21" ht="18.7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8"/>
      <c r="T480" s="45"/>
      <c r="U480" s="45"/>
    </row>
    <row r="481" spans="1:21" ht="18.7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8"/>
      <c r="T481" s="45"/>
      <c r="U481" s="45"/>
    </row>
    <row r="482" spans="1:21" ht="18.7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8"/>
      <c r="T482" s="45"/>
      <c r="U482" s="45"/>
    </row>
    <row r="483" spans="1:21" ht="18.7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8"/>
      <c r="T483" s="45"/>
      <c r="U483" s="45"/>
    </row>
    <row r="484" spans="1:21" ht="18.7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8"/>
      <c r="T484" s="45"/>
      <c r="U484" s="45"/>
    </row>
    <row r="485" spans="1:21" ht="18.7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8"/>
      <c r="T485" s="45"/>
      <c r="U485" s="45"/>
    </row>
    <row r="486" spans="1:21" ht="18.7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8"/>
      <c r="T486" s="45"/>
      <c r="U486" s="45"/>
    </row>
    <row r="487" spans="1:21" ht="18.7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8"/>
      <c r="T487" s="45"/>
      <c r="U487" s="45"/>
    </row>
    <row r="488" spans="1:21" ht="18.7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8"/>
      <c r="T488" s="45"/>
      <c r="U488" s="45"/>
    </row>
    <row r="489" spans="1:21" ht="18.7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8"/>
      <c r="T489" s="45"/>
      <c r="U489" s="45"/>
    </row>
    <row r="490" spans="1:21" ht="18.7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8"/>
      <c r="T490" s="45"/>
      <c r="U490" s="45"/>
    </row>
    <row r="491" spans="1:21" ht="18.7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8"/>
      <c r="T491" s="45"/>
      <c r="U491" s="45"/>
    </row>
    <row r="492" spans="1:21" ht="18.7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8"/>
      <c r="T492" s="45"/>
      <c r="U492" s="45"/>
    </row>
    <row r="493" spans="1:21" ht="18.7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8"/>
      <c r="T493" s="45"/>
      <c r="U493" s="45"/>
    </row>
    <row r="494" spans="1:21" ht="18.7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8"/>
      <c r="T494" s="45"/>
      <c r="U494" s="45"/>
    </row>
    <row r="495" spans="1:21" ht="18.7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8"/>
      <c r="T495" s="45"/>
      <c r="U495" s="45"/>
    </row>
    <row r="496" spans="1:21" ht="18.7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8"/>
      <c r="T496" s="45"/>
      <c r="U496" s="45"/>
    </row>
    <row r="497" spans="1:21" ht="18.7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8"/>
      <c r="T497" s="45"/>
      <c r="U497" s="45"/>
    </row>
    <row r="498" spans="1:21" ht="18.7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8"/>
      <c r="T498" s="45"/>
      <c r="U498" s="45"/>
    </row>
    <row r="499" spans="1:21" ht="18.7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8"/>
      <c r="T499" s="45"/>
      <c r="U499" s="45"/>
    </row>
    <row r="500" spans="1:21" ht="18.7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8"/>
      <c r="T500" s="45"/>
      <c r="U500" s="45"/>
    </row>
    <row r="501" spans="1:21" ht="18.7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8"/>
      <c r="T501" s="45"/>
      <c r="U501" s="45"/>
    </row>
    <row r="502" spans="1:21" ht="18.7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8"/>
      <c r="T502" s="45"/>
      <c r="U502" s="45"/>
    </row>
    <row r="503" spans="1:21" ht="18.7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8"/>
      <c r="T503" s="45"/>
      <c r="U503" s="45"/>
    </row>
    <row r="504" spans="1:21" ht="18.7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8"/>
      <c r="T504" s="45"/>
      <c r="U504" s="45"/>
    </row>
    <row r="505" spans="1:21" ht="18.7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8"/>
      <c r="T505" s="45"/>
      <c r="U505" s="45"/>
    </row>
    <row r="506" spans="1:21" ht="18.7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8"/>
      <c r="T506" s="45"/>
      <c r="U506" s="45"/>
    </row>
    <row r="507" spans="1:21" ht="18.7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8"/>
      <c r="T507" s="45"/>
      <c r="U507" s="45"/>
    </row>
    <row r="508" spans="1:21" ht="18.7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8"/>
      <c r="T508" s="45"/>
      <c r="U508" s="45"/>
    </row>
    <row r="509" spans="1:21" ht="18.7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8"/>
      <c r="T509" s="45"/>
      <c r="U509" s="45"/>
    </row>
    <row r="510" spans="1:21" ht="18.7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8"/>
      <c r="T510" s="45"/>
      <c r="U510" s="45"/>
    </row>
    <row r="511" spans="1:21" ht="18.7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8"/>
      <c r="T511" s="45"/>
      <c r="U511" s="45"/>
    </row>
    <row r="512" spans="1:21" ht="18.7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8"/>
      <c r="T512" s="45"/>
      <c r="U512" s="45"/>
    </row>
    <row r="513" spans="1:21" ht="18.7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8"/>
      <c r="T513" s="45"/>
      <c r="U513" s="45"/>
    </row>
    <row r="514" spans="1:21" ht="18.7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8"/>
      <c r="T514" s="45"/>
      <c r="U514" s="45"/>
    </row>
    <row r="515" spans="1:21" ht="18.7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8"/>
      <c r="T515" s="45"/>
      <c r="U515" s="45"/>
    </row>
    <row r="516" spans="1:21" ht="18.7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8"/>
      <c r="T516" s="45"/>
      <c r="U516" s="45"/>
    </row>
    <row r="517" spans="1:21" ht="18.7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8"/>
      <c r="T517" s="45"/>
      <c r="U517" s="45"/>
    </row>
    <row r="518" spans="1:21" ht="18.7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8"/>
      <c r="T518" s="45"/>
      <c r="U518" s="45"/>
    </row>
    <row r="519" spans="1:21" ht="18.7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8"/>
      <c r="T519" s="45"/>
      <c r="U519" s="45"/>
    </row>
    <row r="520" spans="1:21" ht="18.7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8"/>
      <c r="T520" s="45"/>
      <c r="U520" s="45"/>
    </row>
    <row r="521" spans="1:21" ht="18.7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8"/>
      <c r="T521" s="45"/>
      <c r="U521" s="45"/>
    </row>
    <row r="522" spans="1:21" ht="18.7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8"/>
      <c r="T522" s="45"/>
      <c r="U522" s="45"/>
    </row>
    <row r="523" spans="1:21" ht="18.7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8"/>
      <c r="T523" s="45"/>
      <c r="U523" s="45"/>
    </row>
    <row r="524" spans="1:21" ht="18.7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8"/>
      <c r="T524" s="45"/>
      <c r="U524" s="45"/>
    </row>
    <row r="525" spans="1:21" ht="18.7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8"/>
      <c r="T525" s="45"/>
      <c r="U525" s="45"/>
    </row>
    <row r="526" spans="1:21" ht="18.7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8"/>
      <c r="T526" s="45"/>
      <c r="U526" s="45"/>
    </row>
    <row r="527" spans="1:21" ht="18.7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8"/>
      <c r="T527" s="45"/>
      <c r="U527" s="45"/>
    </row>
    <row r="528" spans="1:21" ht="18.7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8"/>
      <c r="T528" s="45"/>
      <c r="U528" s="45"/>
    </row>
    <row r="529" spans="1:21" ht="18.7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8"/>
      <c r="T529" s="45"/>
      <c r="U529" s="45"/>
    </row>
    <row r="530" spans="1:21" ht="18.7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8"/>
      <c r="T530" s="45"/>
      <c r="U530" s="45"/>
    </row>
    <row r="531" spans="1:21" ht="18.7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8"/>
      <c r="T531" s="45"/>
      <c r="U531" s="45"/>
    </row>
    <row r="532" spans="1:21" ht="18.7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8"/>
      <c r="T532" s="45"/>
      <c r="U532" s="45"/>
    </row>
    <row r="533" spans="1:21" ht="18.7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8"/>
      <c r="T533" s="45"/>
      <c r="U533" s="45"/>
    </row>
    <row r="534" spans="1:21" ht="18.7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8"/>
      <c r="T534" s="45"/>
      <c r="U534" s="45"/>
    </row>
    <row r="535" spans="1:21" ht="18.7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8"/>
      <c r="T535" s="45"/>
      <c r="U535" s="45"/>
    </row>
    <row r="536" spans="1:21" ht="18.7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8"/>
      <c r="T536" s="45"/>
      <c r="U536" s="45"/>
    </row>
    <row r="537" spans="1:21" ht="18.7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8"/>
      <c r="T537" s="45"/>
      <c r="U537" s="45"/>
    </row>
    <row r="538" spans="1:21" ht="18.7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8"/>
      <c r="T538" s="45"/>
      <c r="U538" s="45"/>
    </row>
    <row r="539" spans="1:21" ht="18.7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8"/>
      <c r="T539" s="45"/>
      <c r="U539" s="45"/>
    </row>
    <row r="540" spans="1:21" ht="18.7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8"/>
      <c r="T540" s="45"/>
      <c r="U540" s="45"/>
    </row>
    <row r="541" spans="1:21" ht="18.7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8"/>
      <c r="T541" s="45"/>
      <c r="U541" s="45"/>
    </row>
    <row r="542" spans="1:21" ht="18.7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8"/>
      <c r="T542" s="45"/>
      <c r="U542" s="45"/>
    </row>
    <row r="543" spans="1:21" ht="18.7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8"/>
      <c r="T543" s="45"/>
      <c r="U543" s="45"/>
    </row>
    <row r="544" spans="1:21" ht="18.7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8"/>
      <c r="T544" s="45"/>
      <c r="U544" s="45"/>
    </row>
    <row r="545" spans="1:21" ht="18.7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8"/>
      <c r="T545" s="45"/>
      <c r="U545" s="45"/>
    </row>
    <row r="546" spans="1:21" ht="18.7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8"/>
      <c r="T546" s="45"/>
      <c r="U546" s="45"/>
    </row>
    <row r="547" spans="1:21" ht="18.7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8"/>
      <c r="T547" s="45"/>
      <c r="U547" s="45"/>
    </row>
    <row r="548" spans="1:21" ht="18.7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8"/>
      <c r="T548" s="45"/>
      <c r="U548" s="45"/>
    </row>
    <row r="549" spans="1:21" ht="18.7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8"/>
      <c r="T549" s="45"/>
      <c r="U549" s="45"/>
    </row>
    <row r="550" spans="1:21" ht="18.7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8"/>
      <c r="T550" s="45"/>
      <c r="U550" s="45"/>
    </row>
    <row r="551" spans="1:21" ht="18.7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8"/>
      <c r="T551" s="45"/>
      <c r="U551" s="45"/>
    </row>
    <row r="552" spans="1:21" ht="18.7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8"/>
      <c r="T552" s="45"/>
      <c r="U552" s="45"/>
    </row>
    <row r="553" spans="1:21" ht="18.7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8"/>
      <c r="T553" s="45"/>
      <c r="U553" s="45"/>
    </row>
    <row r="554" spans="1:21" ht="18.7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8"/>
      <c r="T554" s="45"/>
      <c r="U554" s="45"/>
    </row>
    <row r="555" spans="1:21" ht="18.7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8"/>
      <c r="T555" s="45"/>
      <c r="U555" s="45"/>
    </row>
    <row r="556" spans="1:21" ht="18.7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8"/>
      <c r="T556" s="45"/>
      <c r="U556" s="45"/>
    </row>
    <row r="557" spans="1:21" ht="18.7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8"/>
      <c r="T557" s="45"/>
      <c r="U557" s="45"/>
    </row>
    <row r="558" spans="1:21" ht="18.7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8"/>
      <c r="T558" s="45"/>
      <c r="U558" s="45"/>
    </row>
    <row r="559" spans="1:21" ht="18.7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8"/>
      <c r="T559" s="45"/>
      <c r="U559" s="45"/>
    </row>
    <row r="560" spans="1:21" ht="18.7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8"/>
      <c r="T560" s="45"/>
      <c r="U560" s="45"/>
    </row>
    <row r="561" spans="1:21" ht="18.7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8"/>
      <c r="T561" s="45"/>
      <c r="U561" s="45"/>
    </row>
    <row r="562" spans="1:21" ht="18.7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8"/>
      <c r="T562" s="45"/>
      <c r="U562" s="45"/>
    </row>
    <row r="563" spans="1:21" ht="18.7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8"/>
      <c r="T563" s="45"/>
      <c r="U563" s="45"/>
    </row>
    <row r="564" spans="1:21" ht="18.7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8"/>
      <c r="T564" s="45"/>
      <c r="U564" s="45"/>
    </row>
    <row r="565" spans="1:21" ht="18.7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8"/>
      <c r="T565" s="45"/>
      <c r="U565" s="45"/>
    </row>
    <row r="566" spans="1:21" ht="18.7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8"/>
      <c r="T566" s="45"/>
      <c r="U566" s="45"/>
    </row>
    <row r="567" spans="1:21" ht="18.7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8"/>
      <c r="T567" s="45"/>
      <c r="U567" s="45"/>
    </row>
    <row r="568" spans="1:21" ht="18.7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8"/>
      <c r="T568" s="45"/>
      <c r="U568" s="45"/>
    </row>
    <row r="569" spans="1:21" ht="18.7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8"/>
      <c r="T569" s="45"/>
      <c r="U569" s="45"/>
    </row>
    <row r="570" spans="1:21" ht="18.7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8"/>
      <c r="T570" s="45"/>
      <c r="U570" s="45"/>
    </row>
    <row r="571" spans="1:21" ht="18.7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8"/>
      <c r="T571" s="45"/>
      <c r="U571" s="45"/>
    </row>
    <row r="572" spans="1:21" ht="18.7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8"/>
      <c r="T572" s="45"/>
      <c r="U572" s="45"/>
    </row>
    <row r="573" spans="1:21" ht="18.7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8"/>
      <c r="T573" s="45"/>
      <c r="U573" s="45"/>
    </row>
    <row r="574" spans="1:21" ht="18.7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8"/>
      <c r="T574" s="45"/>
      <c r="U574" s="45"/>
    </row>
    <row r="575" spans="1:21" ht="18.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8"/>
      <c r="T575" s="45"/>
      <c r="U575" s="45"/>
    </row>
    <row r="576" spans="1:21" ht="18.7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8"/>
      <c r="T576" s="45"/>
      <c r="U576" s="45"/>
    </row>
    <row r="577" spans="1:21" ht="18.7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8"/>
      <c r="T577" s="45"/>
      <c r="U577" s="45"/>
    </row>
    <row r="578" spans="1:21" ht="18.7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8"/>
      <c r="T578" s="45"/>
      <c r="U578" s="45"/>
    </row>
    <row r="579" spans="1:21" ht="18.7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8"/>
      <c r="T579" s="45"/>
      <c r="U579" s="45"/>
    </row>
    <row r="580" spans="1:21" ht="18.7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8"/>
      <c r="T580" s="45"/>
      <c r="U580" s="45"/>
    </row>
    <row r="581" spans="1:21" ht="18.7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8"/>
      <c r="T581" s="45"/>
      <c r="U581" s="45"/>
    </row>
    <row r="582" spans="1:21" ht="18.7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8"/>
      <c r="T582" s="45"/>
      <c r="U582" s="45"/>
    </row>
    <row r="583" spans="1:21" ht="18.7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8"/>
      <c r="T583" s="45"/>
      <c r="U583" s="45"/>
    </row>
    <row r="584" spans="1:21" ht="18.7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8"/>
      <c r="T584" s="45"/>
      <c r="U584" s="45"/>
    </row>
    <row r="585" spans="1:21" ht="18.7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8"/>
      <c r="T585" s="45"/>
      <c r="U585" s="45"/>
    </row>
    <row r="586" spans="1:21" ht="18.7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8"/>
      <c r="T586" s="45"/>
      <c r="U586" s="45"/>
    </row>
    <row r="587" spans="1:21" ht="18.7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8"/>
      <c r="T587" s="45"/>
      <c r="U587" s="45"/>
    </row>
    <row r="588" spans="1:21" ht="18.7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8"/>
      <c r="T588" s="45"/>
      <c r="U588" s="45"/>
    </row>
    <row r="589" spans="1:21" ht="18.7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8"/>
      <c r="T589" s="45"/>
      <c r="U589" s="45"/>
    </row>
    <row r="590" spans="1:21" ht="18.7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8"/>
      <c r="T590" s="45"/>
      <c r="U590" s="45"/>
    </row>
    <row r="591" spans="1:21" ht="18.7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8"/>
      <c r="T591" s="45"/>
      <c r="U591" s="45"/>
    </row>
    <row r="592" spans="1:21" ht="18.7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8"/>
      <c r="T592" s="45"/>
      <c r="U592" s="45"/>
    </row>
    <row r="593" spans="1:21" ht="18.7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8"/>
      <c r="T593" s="45"/>
      <c r="U593" s="45"/>
    </row>
    <row r="594" spans="1:21" ht="18.7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8"/>
      <c r="T594" s="45"/>
      <c r="U594" s="45"/>
    </row>
    <row r="595" spans="1:21" ht="18.7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8"/>
      <c r="T595" s="45"/>
      <c r="U595" s="45"/>
    </row>
    <row r="596" spans="1:21" ht="18.7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8"/>
      <c r="T596" s="45"/>
      <c r="U596" s="45"/>
    </row>
    <row r="597" spans="1:21" ht="18.7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8"/>
      <c r="T597" s="45"/>
      <c r="U597" s="45"/>
    </row>
    <row r="598" spans="1:21" ht="18.7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8"/>
      <c r="T598" s="45"/>
      <c r="U598" s="45"/>
    </row>
    <row r="599" spans="1:21" ht="18.7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8"/>
      <c r="T599" s="45"/>
      <c r="U599" s="45"/>
    </row>
    <row r="600" spans="1:21" ht="18.7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8"/>
      <c r="T600" s="45"/>
      <c r="U600" s="45"/>
    </row>
    <row r="601" spans="1:21" ht="18.7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8"/>
      <c r="T601" s="45"/>
      <c r="U601" s="45"/>
    </row>
    <row r="602" spans="1:21" ht="18.7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8"/>
      <c r="T602" s="45"/>
      <c r="U602" s="45"/>
    </row>
    <row r="603" spans="1:21" ht="18.7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8"/>
      <c r="T603" s="45"/>
      <c r="U603" s="45"/>
    </row>
    <row r="604" spans="1:21" ht="18.7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8"/>
      <c r="T604" s="45"/>
      <c r="U604" s="45"/>
    </row>
    <row r="605" spans="1:21" ht="18.7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8"/>
      <c r="T605" s="45"/>
      <c r="U605" s="45"/>
    </row>
    <row r="606" spans="1:21" ht="18.7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8"/>
      <c r="T606" s="45"/>
      <c r="U606" s="45"/>
    </row>
    <row r="607" spans="1:21" ht="18.7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8"/>
      <c r="T607" s="45"/>
      <c r="U607" s="45"/>
    </row>
    <row r="608" spans="1:21" ht="18.7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8"/>
      <c r="T608" s="45"/>
      <c r="U608" s="45"/>
    </row>
    <row r="609" spans="1:21" ht="18.7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8"/>
      <c r="T609" s="45"/>
      <c r="U609" s="45"/>
    </row>
    <row r="610" spans="1:21" ht="18.7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8"/>
      <c r="T610" s="45"/>
      <c r="U610" s="45"/>
    </row>
    <row r="611" spans="1:21" ht="18.7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8"/>
      <c r="T611" s="45"/>
      <c r="U611" s="45"/>
    </row>
    <row r="612" spans="1:21" ht="18.7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8"/>
      <c r="T612" s="45"/>
      <c r="U612" s="45"/>
    </row>
    <row r="613" spans="1:21" ht="18.7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8"/>
      <c r="T613" s="45"/>
      <c r="U613" s="45"/>
    </row>
    <row r="614" spans="1:21" ht="18.7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8"/>
      <c r="T614" s="45"/>
      <c r="U614" s="45"/>
    </row>
    <row r="615" spans="1:21" ht="18.7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8"/>
      <c r="T615" s="45"/>
      <c r="U615" s="45"/>
    </row>
    <row r="616" spans="1:21" ht="18.7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8"/>
      <c r="T616" s="45"/>
      <c r="U616" s="45"/>
    </row>
    <row r="617" spans="1:21" ht="18.7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8"/>
      <c r="T617" s="45"/>
      <c r="U617" s="45"/>
    </row>
    <row r="618" spans="1:21" ht="18.7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8"/>
      <c r="T618" s="45"/>
      <c r="U618" s="45"/>
    </row>
    <row r="619" spans="1:21" ht="18.7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8"/>
      <c r="T619" s="45"/>
      <c r="U619" s="45"/>
    </row>
    <row r="620" spans="1:21" ht="18.7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8"/>
      <c r="T620" s="45"/>
      <c r="U620" s="45"/>
    </row>
    <row r="621" spans="1:21" ht="18.7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8"/>
      <c r="T621" s="45"/>
      <c r="U621" s="45"/>
    </row>
    <row r="622" spans="1:21" ht="18.7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8"/>
      <c r="T622" s="45"/>
      <c r="U622" s="45"/>
    </row>
    <row r="623" spans="1:21" ht="18.7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8"/>
      <c r="T623" s="45"/>
      <c r="U623" s="45"/>
    </row>
    <row r="624" spans="1:21" ht="18.7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8"/>
      <c r="T624" s="45"/>
      <c r="U624" s="45"/>
    </row>
    <row r="625" spans="1:21" ht="18.7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8"/>
      <c r="T625" s="45"/>
      <c r="U625" s="45"/>
    </row>
    <row r="626" spans="1:21" ht="18.7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8"/>
      <c r="T626" s="45"/>
      <c r="U626" s="45"/>
    </row>
    <row r="627" spans="1:21" ht="18.7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8"/>
      <c r="T627" s="45"/>
      <c r="U627" s="45"/>
    </row>
    <row r="628" spans="1:21" ht="18.7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8"/>
      <c r="T628" s="45"/>
      <c r="U628" s="45"/>
    </row>
    <row r="629" spans="1:21" ht="18.7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8"/>
      <c r="T629" s="45"/>
      <c r="U629" s="45"/>
    </row>
    <row r="630" spans="1:21" ht="18.7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8"/>
      <c r="T630" s="45"/>
      <c r="U630" s="45"/>
    </row>
    <row r="631" spans="1:21" ht="18.7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8"/>
      <c r="T631" s="45"/>
      <c r="U631" s="45"/>
    </row>
    <row r="632" spans="1:21" ht="18.7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8"/>
      <c r="T632" s="45"/>
      <c r="U632" s="45"/>
    </row>
    <row r="633" spans="1:21" ht="18.7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8"/>
      <c r="T633" s="45"/>
      <c r="U633" s="45"/>
    </row>
    <row r="634" spans="1:21" ht="18.7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8"/>
      <c r="T634" s="45"/>
      <c r="U634" s="45"/>
    </row>
    <row r="635" spans="1:21" ht="18.7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8"/>
      <c r="T635" s="45"/>
      <c r="U635" s="45"/>
    </row>
    <row r="636" spans="1:21" ht="18.7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8"/>
      <c r="T636" s="45"/>
      <c r="U636" s="45"/>
    </row>
    <row r="637" spans="1:21" ht="18.7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8"/>
      <c r="T637" s="45"/>
      <c r="U637" s="45"/>
    </row>
    <row r="638" spans="1:21" ht="18.7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8"/>
      <c r="T638" s="45"/>
      <c r="U638" s="45"/>
    </row>
    <row r="639" spans="1:21" ht="18.7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8"/>
      <c r="T639" s="45"/>
      <c r="U639" s="45"/>
    </row>
    <row r="640" spans="1:21" ht="18.7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8"/>
      <c r="T640" s="45"/>
      <c r="U640" s="45"/>
    </row>
    <row r="641" spans="1:21" ht="18.7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8"/>
      <c r="T641" s="45"/>
      <c r="U641" s="45"/>
    </row>
    <row r="642" spans="1:21" ht="18.7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8"/>
      <c r="T642" s="45"/>
      <c r="U642" s="45"/>
    </row>
    <row r="643" spans="1:21" ht="18.7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8"/>
      <c r="T643" s="45"/>
      <c r="U643" s="45"/>
    </row>
    <row r="644" spans="1:21" ht="18.7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8"/>
      <c r="T644" s="45"/>
      <c r="U644" s="45"/>
    </row>
    <row r="645" spans="1:21" ht="18.7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8"/>
      <c r="T645" s="45"/>
      <c r="U645" s="45"/>
    </row>
    <row r="646" spans="1:21" ht="18.7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8"/>
      <c r="T646" s="45"/>
      <c r="U646" s="45"/>
    </row>
    <row r="647" spans="1:21" ht="18.7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8"/>
      <c r="T647" s="45"/>
      <c r="U647" s="45"/>
    </row>
    <row r="648" spans="1:21" ht="18.7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8"/>
      <c r="T648" s="45"/>
      <c r="U648" s="45"/>
    </row>
    <row r="649" spans="1:21" ht="18.7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8"/>
      <c r="T649" s="45"/>
      <c r="U649" s="45"/>
    </row>
    <row r="650" spans="1:21" ht="18.7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8"/>
      <c r="T650" s="45"/>
      <c r="U650" s="45"/>
    </row>
    <row r="651" spans="1:21" ht="18.7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8"/>
      <c r="T651" s="45"/>
      <c r="U651" s="45"/>
    </row>
    <row r="652" spans="1:21" ht="18.7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8"/>
      <c r="T652" s="45"/>
      <c r="U652" s="45"/>
    </row>
    <row r="653" spans="1:21" ht="18.7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8"/>
      <c r="T653" s="45"/>
      <c r="U653" s="45"/>
    </row>
    <row r="654" spans="1:21" ht="18.7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8"/>
      <c r="T654" s="45"/>
      <c r="U654" s="45"/>
    </row>
    <row r="655" spans="1:21" ht="18.7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8"/>
      <c r="T655" s="45"/>
      <c r="U655" s="45"/>
    </row>
    <row r="656" spans="1:21" ht="18.7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8"/>
      <c r="T656" s="45"/>
      <c r="U656" s="45"/>
    </row>
    <row r="657" spans="1:21" ht="18.7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8"/>
      <c r="T657" s="45"/>
      <c r="U657" s="45"/>
    </row>
    <row r="658" spans="1:21" ht="18.7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8"/>
      <c r="T658" s="45"/>
      <c r="U658" s="45"/>
    </row>
  </sheetData>
  <autoFilter ref="A1:U25" xr:uid="{00000000-0009-0000-0000-000006000000}"/>
  <conditionalFormatting sqref="H1:H1048576 L1:L1048576">
    <cfRule type="cellIs" dxfId="6" priority="3" operator="lessThan">
      <formula>0.65</formula>
    </cfRule>
    <cfRule type="cellIs" dxfId="5" priority="4" operator="greaterThan">
      <formula>1</formula>
    </cfRule>
  </conditionalFormatting>
  <conditionalFormatting sqref="O2:R25">
    <cfRule type="cellIs" dxfId="4" priority="5" operator="lessThan">
      <formula>0.65</formula>
    </cfRule>
  </conditionalFormatting>
  <conditionalFormatting sqref="Q1">
    <cfRule type="cellIs" dxfId="3" priority="1" operator="lessThan">
      <formula>0.65</formula>
    </cfRule>
    <cfRule type="cellIs" dxfId="2" priority="2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32"/>
  <sheetViews>
    <sheetView workbookViewId="0">
      <pane ySplit="1" topLeftCell="A2" activePane="bottomLeft" state="frozen"/>
      <selection pane="bottomLeft" activeCell="G41" sqref="G41"/>
    </sheetView>
  </sheetViews>
  <sheetFormatPr defaultColWidth="8.85546875" defaultRowHeight="14.25"/>
  <cols>
    <col min="1" max="1" width="14.140625" style="62" customWidth="1"/>
    <col min="2" max="2" width="14.140625" style="56" customWidth="1"/>
    <col min="3" max="3" width="40.42578125" style="56" customWidth="1"/>
    <col min="4" max="5" width="17.42578125" style="56" customWidth="1"/>
    <col min="6" max="6" width="15.140625" style="56" customWidth="1"/>
    <col min="7" max="7" width="10.28515625" style="56" customWidth="1"/>
    <col min="8" max="8" width="28.85546875" style="56" hidden="1" customWidth="1"/>
    <col min="9" max="9" width="16" style="63" hidden="1" customWidth="1"/>
    <col min="10" max="10" width="14.42578125" style="56" hidden="1" customWidth="1"/>
    <col min="11" max="12" width="50.7109375" style="56" customWidth="1"/>
    <col min="13" max="16384" width="8.85546875" style="56"/>
  </cols>
  <sheetData>
    <row r="1" spans="1:12" ht="27">
      <c r="A1" s="53" t="s">
        <v>67</v>
      </c>
      <c r="B1" s="54" t="s">
        <v>77</v>
      </c>
      <c r="C1" s="55" t="s">
        <v>78</v>
      </c>
      <c r="D1" s="55" t="s">
        <v>79</v>
      </c>
      <c r="E1" s="55" t="s">
        <v>80</v>
      </c>
      <c r="F1" s="68" t="s">
        <v>81</v>
      </c>
      <c r="G1" s="68" t="s">
        <v>82</v>
      </c>
      <c r="H1" s="64" t="s">
        <v>83</v>
      </c>
      <c r="I1" s="55" t="s">
        <v>84</v>
      </c>
      <c r="J1" s="55" t="s">
        <v>85</v>
      </c>
      <c r="K1" s="55" t="s">
        <v>133</v>
      </c>
      <c r="L1" s="69" t="s">
        <v>134</v>
      </c>
    </row>
    <row r="2" spans="1:12" ht="14.25" customHeight="1">
      <c r="A2" s="57">
        <v>46055</v>
      </c>
      <c r="B2" s="58" t="s">
        <v>120</v>
      </c>
      <c r="C2" s="60" t="s">
        <v>137</v>
      </c>
      <c r="D2" s="61">
        <v>0.3888888888888889</v>
      </c>
      <c r="E2" s="61">
        <v>0.4513888888888889</v>
      </c>
      <c r="F2" s="65">
        <f>+(E2-D2)</f>
        <v>6.25E-2</v>
      </c>
      <c r="G2" s="59">
        <f>INT(F2*1440)</f>
        <v>90</v>
      </c>
      <c r="H2" s="60"/>
      <c r="I2" s="70"/>
      <c r="J2" s="60">
        <f>INT([2]DOWNTIME!$F2*1440)</f>
        <v>40</v>
      </c>
      <c r="K2" s="60"/>
      <c r="L2" s="60"/>
    </row>
    <row r="3" spans="1:12" ht="14.25" customHeight="1">
      <c r="A3" s="57">
        <v>46055</v>
      </c>
      <c r="B3" s="58" t="s">
        <v>120</v>
      </c>
      <c r="C3" s="60" t="s">
        <v>137</v>
      </c>
      <c r="D3" s="61">
        <v>0.85416666666666663</v>
      </c>
      <c r="E3" s="61">
        <v>0.89583333333333337</v>
      </c>
      <c r="F3" s="65">
        <f t="shared" ref="F3:F66" si="0">+(E3-D3)</f>
        <v>4.1666666666666741E-2</v>
      </c>
      <c r="G3" s="59">
        <f t="shared" ref="G3:G66" si="1">INT(F3*1440)</f>
        <v>60</v>
      </c>
      <c r="H3" s="60"/>
      <c r="I3" s="70"/>
      <c r="J3" s="60">
        <f>INT([2]DOWNTIME!$F3*1440)</f>
        <v>70</v>
      </c>
      <c r="K3" s="60"/>
      <c r="L3" s="60"/>
    </row>
    <row r="4" spans="1:12" ht="14.25" customHeight="1">
      <c r="A4" s="57">
        <v>46055</v>
      </c>
      <c r="B4" s="58" t="s">
        <v>120</v>
      </c>
      <c r="C4" s="60" t="s">
        <v>137</v>
      </c>
      <c r="D4" s="61">
        <v>6.5972222222222224E-2</v>
      </c>
      <c r="E4" s="61">
        <v>7.9861111111111105E-2</v>
      </c>
      <c r="F4" s="65">
        <f t="shared" si="0"/>
        <v>1.3888888888888881E-2</v>
      </c>
      <c r="G4" s="59">
        <f t="shared" si="1"/>
        <v>20</v>
      </c>
      <c r="H4" s="60"/>
      <c r="I4" s="70"/>
      <c r="J4" s="60">
        <f>INT([2]DOWNTIME!$F4*1440)</f>
        <v>30</v>
      </c>
      <c r="K4" s="60"/>
      <c r="L4" s="60"/>
    </row>
    <row r="5" spans="1:12" ht="14.25" customHeight="1">
      <c r="A5" s="57">
        <v>46055</v>
      </c>
      <c r="B5" s="58" t="s">
        <v>120</v>
      </c>
      <c r="C5" s="60" t="s">
        <v>137</v>
      </c>
      <c r="D5" s="61">
        <v>0.125</v>
      </c>
      <c r="E5" s="61">
        <v>0.14583333333333334</v>
      </c>
      <c r="F5" s="65">
        <f t="shared" si="0"/>
        <v>2.0833333333333343E-2</v>
      </c>
      <c r="G5" s="59">
        <f t="shared" si="1"/>
        <v>30</v>
      </c>
      <c r="H5" s="60"/>
      <c r="I5" s="70"/>
      <c r="J5" s="60">
        <f>INT([2]DOWNTIME!$F5*1440)</f>
        <v>40</v>
      </c>
      <c r="K5" s="60"/>
      <c r="L5" s="60"/>
    </row>
    <row r="6" spans="1:12" ht="14.25" customHeight="1">
      <c r="A6" s="57">
        <v>46055</v>
      </c>
      <c r="B6" s="58" t="s">
        <v>120</v>
      </c>
      <c r="C6" s="60" t="s">
        <v>137</v>
      </c>
      <c r="D6" s="61">
        <v>0.25694444444444448</v>
      </c>
      <c r="E6" s="61">
        <v>0.27083333333333331</v>
      </c>
      <c r="F6" s="65">
        <f t="shared" si="0"/>
        <v>1.388888888888884E-2</v>
      </c>
      <c r="G6" s="59">
        <f t="shared" si="1"/>
        <v>19</v>
      </c>
      <c r="H6" s="70"/>
      <c r="I6" s="70"/>
      <c r="J6" s="60"/>
      <c r="K6" s="60"/>
      <c r="L6" s="60"/>
    </row>
    <row r="7" spans="1:12" ht="14.25" customHeight="1">
      <c r="A7" s="57">
        <v>46056</v>
      </c>
      <c r="B7" s="58" t="s">
        <v>120</v>
      </c>
      <c r="C7" s="60" t="s">
        <v>137</v>
      </c>
      <c r="D7" s="61">
        <v>0.35416666666666669</v>
      </c>
      <c r="E7" s="61">
        <v>0.38055555555555554</v>
      </c>
      <c r="F7" s="65">
        <f t="shared" si="0"/>
        <v>2.6388888888888851E-2</v>
      </c>
      <c r="G7" s="59">
        <f t="shared" si="1"/>
        <v>37</v>
      </c>
      <c r="H7" s="60"/>
      <c r="I7" s="70"/>
      <c r="J7" s="60">
        <f>INT([2]DOWNTIME!$F6*1440)</f>
        <v>160</v>
      </c>
      <c r="K7" s="60"/>
      <c r="L7" s="60"/>
    </row>
    <row r="8" spans="1:12" ht="14.25" customHeight="1">
      <c r="A8" s="57">
        <v>46056</v>
      </c>
      <c r="B8" s="58" t="s">
        <v>120</v>
      </c>
      <c r="C8" s="60" t="s">
        <v>137</v>
      </c>
      <c r="D8" s="61">
        <v>0.46180555555555558</v>
      </c>
      <c r="E8" s="61">
        <v>0.48888888888888887</v>
      </c>
      <c r="F8" s="65">
        <f t="shared" si="0"/>
        <v>2.7083333333333293E-2</v>
      </c>
      <c r="G8" s="59">
        <f t="shared" si="1"/>
        <v>38</v>
      </c>
      <c r="H8" s="60"/>
      <c r="I8" s="70"/>
      <c r="J8" s="60">
        <f>INT([2]DOWNTIME!$F7*1440)</f>
        <v>55</v>
      </c>
      <c r="K8" s="60"/>
      <c r="L8" s="60"/>
    </row>
    <row r="9" spans="1:12" ht="14.25" customHeight="1">
      <c r="A9" s="57">
        <v>46056</v>
      </c>
      <c r="B9" s="58" t="s">
        <v>120</v>
      </c>
      <c r="C9" s="60" t="s">
        <v>137</v>
      </c>
      <c r="D9" s="61">
        <v>0.6118055555555556</v>
      </c>
      <c r="E9" s="61">
        <v>0.62986111111111109</v>
      </c>
      <c r="F9" s="65">
        <f t="shared" si="0"/>
        <v>1.8055555555555491E-2</v>
      </c>
      <c r="G9" s="59">
        <f t="shared" si="1"/>
        <v>25</v>
      </c>
      <c r="H9" s="60"/>
      <c r="I9" s="70"/>
      <c r="J9" s="60">
        <f>INT([2]DOWNTIME!$F8*1440)</f>
        <v>160</v>
      </c>
      <c r="K9" s="60"/>
      <c r="L9" s="60"/>
    </row>
    <row r="10" spans="1:12" ht="14.25" customHeight="1">
      <c r="A10" s="57">
        <v>46056</v>
      </c>
      <c r="B10" s="58" t="s">
        <v>120</v>
      </c>
      <c r="C10" s="60" t="s">
        <v>137</v>
      </c>
      <c r="D10" s="61">
        <v>0</v>
      </c>
      <c r="E10" s="61">
        <v>2.7777777777777776E-2</v>
      </c>
      <c r="F10" s="65">
        <f t="shared" si="0"/>
        <v>2.7777777777777776E-2</v>
      </c>
      <c r="G10" s="59">
        <f t="shared" si="1"/>
        <v>40</v>
      </c>
      <c r="H10" s="60"/>
      <c r="I10" s="70"/>
      <c r="J10" s="60">
        <f>INT([2]DOWNTIME!$F9*1440)</f>
        <v>105</v>
      </c>
      <c r="K10" s="60"/>
      <c r="L10" s="60"/>
    </row>
    <row r="11" spans="1:12" ht="14.25" hidden="1" customHeight="1">
      <c r="A11" s="57">
        <v>46057</v>
      </c>
      <c r="B11" s="58" t="s">
        <v>120</v>
      </c>
      <c r="C11" s="60" t="s">
        <v>138</v>
      </c>
      <c r="D11" s="61">
        <v>0.41319444444444442</v>
      </c>
      <c r="E11" s="61">
        <v>0.4236111111111111</v>
      </c>
      <c r="F11" s="65">
        <f t="shared" si="0"/>
        <v>1.0416666666666685E-2</v>
      </c>
      <c r="G11" s="59">
        <f t="shared" si="1"/>
        <v>15</v>
      </c>
      <c r="H11" s="60"/>
      <c r="I11" s="70"/>
      <c r="J11" s="60">
        <f>INT([2]DOWNTIME!$F10*1440)</f>
        <v>160</v>
      </c>
      <c r="K11" s="60" t="s">
        <v>139</v>
      </c>
      <c r="L11" s="60"/>
    </row>
    <row r="12" spans="1:12" ht="14.25" customHeight="1">
      <c r="A12" s="57">
        <v>46057</v>
      </c>
      <c r="B12" s="58" t="s">
        <v>120</v>
      </c>
      <c r="C12" s="60" t="s">
        <v>137</v>
      </c>
      <c r="D12" s="61">
        <v>0.70833333333333337</v>
      </c>
      <c r="E12" s="61">
        <v>0.79166666666666663</v>
      </c>
      <c r="F12" s="65">
        <f t="shared" si="0"/>
        <v>8.3333333333333259E-2</v>
      </c>
      <c r="G12" s="59">
        <f t="shared" si="1"/>
        <v>120</v>
      </c>
      <c r="H12" s="60"/>
      <c r="I12" s="70"/>
      <c r="J12" s="60"/>
      <c r="K12" s="60"/>
      <c r="L12" s="60"/>
    </row>
    <row r="13" spans="1:12" ht="14.25" customHeight="1">
      <c r="A13" s="57">
        <v>46057</v>
      </c>
      <c r="B13" s="58" t="s">
        <v>120</v>
      </c>
      <c r="C13" s="60" t="s">
        <v>137</v>
      </c>
      <c r="D13" s="61">
        <v>0.83333333333333337</v>
      </c>
      <c r="E13" s="61">
        <v>0.88888888888888884</v>
      </c>
      <c r="F13" s="65">
        <f t="shared" si="0"/>
        <v>5.5555555555555469E-2</v>
      </c>
      <c r="G13" s="59">
        <f t="shared" si="1"/>
        <v>79</v>
      </c>
      <c r="H13" s="60"/>
      <c r="I13" s="70"/>
      <c r="J13" s="60"/>
      <c r="K13" s="60"/>
      <c r="L13" s="60"/>
    </row>
    <row r="14" spans="1:12" ht="14.25" customHeight="1">
      <c r="A14" s="57">
        <v>46057</v>
      </c>
      <c r="B14" s="58" t="s">
        <v>120</v>
      </c>
      <c r="C14" s="60" t="s">
        <v>137</v>
      </c>
      <c r="D14" s="61">
        <v>6.9444444444444441E-3</v>
      </c>
      <c r="E14" s="61">
        <v>3.4722222222222224E-2</v>
      </c>
      <c r="F14" s="65">
        <f t="shared" si="0"/>
        <v>2.777777777777778E-2</v>
      </c>
      <c r="G14" s="59">
        <f t="shared" si="1"/>
        <v>40</v>
      </c>
      <c r="H14" s="60"/>
      <c r="I14" s="70"/>
      <c r="J14" s="60"/>
      <c r="K14" s="60"/>
      <c r="L14" s="60"/>
    </row>
    <row r="15" spans="1:12" ht="14.25" customHeight="1">
      <c r="A15" s="57">
        <v>46055</v>
      </c>
      <c r="B15" s="58" t="s">
        <v>121</v>
      </c>
      <c r="C15" s="60" t="s">
        <v>137</v>
      </c>
      <c r="D15" s="61">
        <v>0.29166666666666669</v>
      </c>
      <c r="E15" s="61">
        <v>0.4604166666666667</v>
      </c>
      <c r="F15" s="65">
        <f t="shared" si="0"/>
        <v>0.16875000000000001</v>
      </c>
      <c r="G15" s="59">
        <f t="shared" si="1"/>
        <v>243</v>
      </c>
      <c r="H15" s="60"/>
      <c r="I15" s="70"/>
      <c r="J15" s="60"/>
      <c r="K15" s="60"/>
      <c r="L15" s="60"/>
    </row>
    <row r="16" spans="1:12" ht="14.25" customHeight="1">
      <c r="A16" s="57">
        <v>46055</v>
      </c>
      <c r="B16" s="58" t="s">
        <v>121</v>
      </c>
      <c r="C16" s="60" t="s">
        <v>137</v>
      </c>
      <c r="D16" s="61">
        <v>0.79861111111111116</v>
      </c>
      <c r="E16" s="61">
        <v>0.81944444444444453</v>
      </c>
      <c r="F16" s="65">
        <f t="shared" si="0"/>
        <v>2.083333333333337E-2</v>
      </c>
      <c r="G16" s="59">
        <f t="shared" si="1"/>
        <v>30</v>
      </c>
      <c r="H16" s="60"/>
      <c r="I16" s="70"/>
      <c r="J16" s="60"/>
      <c r="K16" s="60"/>
      <c r="L16" s="60"/>
    </row>
    <row r="17" spans="1:12" ht="14.25" customHeight="1">
      <c r="A17" s="57">
        <v>46055</v>
      </c>
      <c r="B17" s="58" t="s">
        <v>121</v>
      </c>
      <c r="C17" s="60" t="s">
        <v>137</v>
      </c>
      <c r="D17" s="61">
        <v>0.85069444444444453</v>
      </c>
      <c r="E17" s="61">
        <v>0.90972222222222221</v>
      </c>
      <c r="F17" s="65">
        <f t="shared" si="0"/>
        <v>5.9027777777777679E-2</v>
      </c>
      <c r="G17" s="59">
        <f t="shared" si="1"/>
        <v>84</v>
      </c>
      <c r="H17" s="60"/>
      <c r="I17" s="70"/>
      <c r="J17" s="60"/>
      <c r="K17" s="60"/>
      <c r="L17" s="60"/>
    </row>
    <row r="18" spans="1:12" ht="14.25" customHeight="1">
      <c r="A18" s="57">
        <v>46055</v>
      </c>
      <c r="B18" s="58" t="s">
        <v>121</v>
      </c>
      <c r="C18" s="60" t="s">
        <v>137</v>
      </c>
      <c r="D18" s="61">
        <v>0.9375</v>
      </c>
      <c r="E18" s="61">
        <v>0.95486111111111116</v>
      </c>
      <c r="F18" s="65">
        <f t="shared" si="0"/>
        <v>1.736111111111116E-2</v>
      </c>
      <c r="G18" s="59">
        <f t="shared" si="1"/>
        <v>25</v>
      </c>
      <c r="H18" s="60"/>
      <c r="I18" s="70"/>
      <c r="J18" s="60"/>
      <c r="K18" s="60"/>
      <c r="L18" s="60"/>
    </row>
    <row r="19" spans="1:12" ht="14.25" customHeight="1">
      <c r="A19" s="57">
        <v>46055</v>
      </c>
      <c r="B19" s="58" t="s">
        <v>121</v>
      </c>
      <c r="C19" s="60" t="s">
        <v>137</v>
      </c>
      <c r="D19" s="61">
        <v>6.25E-2</v>
      </c>
      <c r="E19" s="61">
        <v>9.0277777777777776E-2</v>
      </c>
      <c r="F19" s="65">
        <f t="shared" si="0"/>
        <v>2.7777777777777776E-2</v>
      </c>
      <c r="G19" s="59">
        <f t="shared" si="1"/>
        <v>40</v>
      </c>
      <c r="H19" s="60"/>
      <c r="I19" s="70"/>
      <c r="J19" s="60"/>
      <c r="K19" s="60"/>
      <c r="L19" s="60"/>
    </row>
    <row r="20" spans="1:12" ht="14.25" customHeight="1">
      <c r="A20" s="57">
        <v>46055</v>
      </c>
      <c r="B20" s="58" t="s">
        <v>121</v>
      </c>
      <c r="C20" s="60" t="s">
        <v>137</v>
      </c>
      <c r="D20" s="61">
        <v>0.21527777777777779</v>
      </c>
      <c r="E20" s="61">
        <v>0.23263888888888887</v>
      </c>
      <c r="F20" s="65">
        <f t="shared" si="0"/>
        <v>1.7361111111111077E-2</v>
      </c>
      <c r="G20" s="59">
        <f t="shared" si="1"/>
        <v>25</v>
      </c>
      <c r="H20" s="60"/>
      <c r="I20" s="70"/>
      <c r="J20" s="60"/>
      <c r="K20" s="60"/>
      <c r="L20" s="60"/>
    </row>
    <row r="21" spans="1:12" ht="14.25" customHeight="1">
      <c r="A21" s="57">
        <v>46055</v>
      </c>
      <c r="B21" s="58" t="s">
        <v>121</v>
      </c>
      <c r="C21" s="60" t="s">
        <v>137</v>
      </c>
      <c r="D21" s="61">
        <v>0.2638888888888889</v>
      </c>
      <c r="E21" s="61">
        <v>0.27083333333333331</v>
      </c>
      <c r="F21" s="65">
        <f t="shared" si="0"/>
        <v>6.9444444444444198E-3</v>
      </c>
      <c r="G21" s="59">
        <f t="shared" si="1"/>
        <v>9</v>
      </c>
      <c r="H21" s="60"/>
      <c r="I21" s="70"/>
      <c r="J21" s="60"/>
      <c r="K21" s="60"/>
      <c r="L21" s="60"/>
    </row>
    <row r="22" spans="1:12" ht="14.25" customHeight="1">
      <c r="A22" s="57">
        <v>46056</v>
      </c>
      <c r="B22" s="58" t="s">
        <v>121</v>
      </c>
      <c r="C22" s="60" t="s">
        <v>137</v>
      </c>
      <c r="D22" s="61">
        <v>0.34791666666666665</v>
      </c>
      <c r="E22" s="61">
        <v>0.37222222222222223</v>
      </c>
      <c r="F22" s="65">
        <f t="shared" si="0"/>
        <v>2.430555555555558E-2</v>
      </c>
      <c r="G22" s="59">
        <f t="shared" si="1"/>
        <v>35</v>
      </c>
      <c r="H22" s="60"/>
      <c r="I22" s="70"/>
      <c r="J22" s="60"/>
      <c r="K22" s="60"/>
      <c r="L22" s="60"/>
    </row>
    <row r="23" spans="1:12" ht="14.25" customHeight="1">
      <c r="A23" s="57">
        <v>46056</v>
      </c>
      <c r="B23" s="58" t="s">
        <v>121</v>
      </c>
      <c r="C23" s="60" t="s">
        <v>137</v>
      </c>
      <c r="D23" s="61">
        <v>0.47222222222222227</v>
      </c>
      <c r="E23" s="61">
        <v>0.4826388888888889</v>
      </c>
      <c r="F23" s="65">
        <f t="shared" si="0"/>
        <v>1.041666666666663E-2</v>
      </c>
      <c r="G23" s="59">
        <f t="shared" si="1"/>
        <v>14</v>
      </c>
      <c r="H23" s="60"/>
      <c r="I23" s="70"/>
      <c r="J23" s="60"/>
      <c r="K23" s="60"/>
      <c r="L23" s="60"/>
    </row>
    <row r="24" spans="1:12" ht="14.25" customHeight="1">
      <c r="A24" s="57">
        <v>46056</v>
      </c>
      <c r="B24" s="58" t="s">
        <v>121</v>
      </c>
      <c r="C24" s="60" t="s">
        <v>137</v>
      </c>
      <c r="D24" s="61">
        <v>0.5625</v>
      </c>
      <c r="E24" s="61">
        <v>0.57152777777777775</v>
      </c>
      <c r="F24" s="65">
        <f t="shared" si="0"/>
        <v>9.0277777777777457E-3</v>
      </c>
      <c r="G24" s="59">
        <f t="shared" si="1"/>
        <v>13</v>
      </c>
      <c r="H24" s="60"/>
      <c r="I24" s="70"/>
      <c r="J24" s="60"/>
      <c r="K24" s="60"/>
      <c r="L24" s="60"/>
    </row>
    <row r="25" spans="1:12" ht="14.25" customHeight="1">
      <c r="A25" s="57">
        <v>46056</v>
      </c>
      <c r="B25" s="58" t="s">
        <v>121</v>
      </c>
      <c r="C25" s="60" t="s">
        <v>137</v>
      </c>
      <c r="D25" s="61">
        <v>0.81944444444444453</v>
      </c>
      <c r="E25" s="61">
        <v>0.88541666666666663</v>
      </c>
      <c r="F25" s="65">
        <f t="shared" si="0"/>
        <v>6.5972222222222099E-2</v>
      </c>
      <c r="G25" s="59">
        <f t="shared" si="1"/>
        <v>94</v>
      </c>
      <c r="H25" s="60"/>
      <c r="I25" s="70"/>
      <c r="J25" s="60"/>
      <c r="K25" s="60"/>
      <c r="L25" s="60"/>
    </row>
    <row r="26" spans="1:12" ht="14.25" hidden="1" customHeight="1">
      <c r="A26" s="57">
        <v>46056</v>
      </c>
      <c r="B26" s="58" t="s">
        <v>121</v>
      </c>
      <c r="C26" s="60" t="s">
        <v>140</v>
      </c>
      <c r="D26" s="61">
        <v>8.3333333333333329E-2</v>
      </c>
      <c r="E26" s="61">
        <v>0.10069444444444443</v>
      </c>
      <c r="F26" s="65">
        <f t="shared" si="0"/>
        <v>1.7361111111111105E-2</v>
      </c>
      <c r="G26" s="59">
        <f t="shared" si="1"/>
        <v>25</v>
      </c>
      <c r="H26" s="60"/>
      <c r="I26" s="70"/>
      <c r="J26" s="60"/>
      <c r="K26" s="60" t="s">
        <v>141</v>
      </c>
      <c r="L26" s="60"/>
    </row>
    <row r="27" spans="1:12" ht="14.25" hidden="1" customHeight="1">
      <c r="A27" s="57">
        <v>46057</v>
      </c>
      <c r="B27" s="58" t="s">
        <v>121</v>
      </c>
      <c r="C27" s="60" t="s">
        <v>138</v>
      </c>
      <c r="D27" s="61">
        <v>0.3923611111111111</v>
      </c>
      <c r="E27" s="61">
        <v>0.39930555555555558</v>
      </c>
      <c r="F27" s="65">
        <f t="shared" si="0"/>
        <v>6.9444444444444753E-3</v>
      </c>
      <c r="G27" s="59">
        <f t="shared" si="1"/>
        <v>10</v>
      </c>
      <c r="H27" s="60"/>
      <c r="I27" s="70"/>
      <c r="J27" s="60"/>
      <c r="K27" s="60" t="s">
        <v>142</v>
      </c>
      <c r="L27" s="60"/>
    </row>
    <row r="28" spans="1:12" ht="14.25" customHeight="1">
      <c r="A28" s="57">
        <v>46057</v>
      </c>
      <c r="B28" s="58" t="s">
        <v>121</v>
      </c>
      <c r="C28" s="60" t="s">
        <v>137</v>
      </c>
      <c r="D28" s="61">
        <v>0.64583333333333337</v>
      </c>
      <c r="E28" s="61">
        <v>0.66666666666666663</v>
      </c>
      <c r="F28" s="65">
        <f t="shared" si="0"/>
        <v>2.0833333333333259E-2</v>
      </c>
      <c r="G28" s="59">
        <f t="shared" si="1"/>
        <v>29</v>
      </c>
      <c r="H28" s="60"/>
      <c r="I28" s="70"/>
      <c r="J28" s="60"/>
      <c r="K28" s="60"/>
      <c r="L28" s="60"/>
    </row>
    <row r="29" spans="1:12" ht="14.25" customHeight="1">
      <c r="A29" s="57">
        <v>46057</v>
      </c>
      <c r="B29" s="58" t="s">
        <v>121</v>
      </c>
      <c r="C29" s="60" t="s">
        <v>137</v>
      </c>
      <c r="D29" s="61">
        <v>0.72916666666666663</v>
      </c>
      <c r="E29" s="61">
        <v>0.75</v>
      </c>
      <c r="F29" s="65">
        <f t="shared" si="0"/>
        <v>2.083333333333337E-2</v>
      </c>
      <c r="G29" s="59">
        <f t="shared" si="1"/>
        <v>30</v>
      </c>
      <c r="H29" s="60"/>
      <c r="I29" s="70"/>
      <c r="J29" s="60"/>
      <c r="K29" s="60"/>
      <c r="L29" s="60"/>
    </row>
    <row r="30" spans="1:12" ht="14.25" customHeight="1">
      <c r="A30" s="57">
        <v>46057</v>
      </c>
      <c r="B30" s="58" t="s">
        <v>121</v>
      </c>
      <c r="C30" s="60" t="s">
        <v>137</v>
      </c>
      <c r="D30" s="61">
        <v>0.79513888888888884</v>
      </c>
      <c r="E30" s="61">
        <v>0.9375</v>
      </c>
      <c r="F30" s="65">
        <f t="shared" si="0"/>
        <v>0.14236111111111116</v>
      </c>
      <c r="G30" s="59">
        <f t="shared" si="1"/>
        <v>205</v>
      </c>
      <c r="H30" s="60"/>
      <c r="I30" s="70"/>
      <c r="J30" s="60"/>
      <c r="K30" s="60"/>
      <c r="L30" s="60"/>
    </row>
    <row r="31" spans="1:12" ht="14.25" customHeight="1">
      <c r="A31" s="57">
        <v>46055</v>
      </c>
      <c r="B31" s="58" t="s">
        <v>122</v>
      </c>
      <c r="C31" s="60" t="s">
        <v>137</v>
      </c>
      <c r="D31" s="61">
        <v>0.4055555555555555</v>
      </c>
      <c r="E31" s="61">
        <v>0.4513888888888889</v>
      </c>
      <c r="F31" s="65">
        <f t="shared" si="0"/>
        <v>4.5833333333333393E-2</v>
      </c>
      <c r="G31" s="59">
        <f t="shared" si="1"/>
        <v>66</v>
      </c>
      <c r="H31" s="60"/>
      <c r="I31" s="70"/>
      <c r="J31" s="60"/>
      <c r="K31" s="60"/>
      <c r="L31" s="60"/>
    </row>
    <row r="32" spans="1:12" ht="14.25" hidden="1" customHeight="1">
      <c r="A32" s="57">
        <v>46055</v>
      </c>
      <c r="B32" s="58" t="s">
        <v>122</v>
      </c>
      <c r="C32" s="60" t="s">
        <v>140</v>
      </c>
      <c r="D32" s="61">
        <v>0.14583333333333334</v>
      </c>
      <c r="E32" s="61">
        <v>0.14930555555555555</v>
      </c>
      <c r="F32" s="65">
        <f t="shared" si="0"/>
        <v>3.4722222222222099E-3</v>
      </c>
      <c r="G32" s="59">
        <f t="shared" si="1"/>
        <v>4</v>
      </c>
      <c r="H32" s="70"/>
      <c r="I32" s="70"/>
      <c r="J32" s="60">
        <f>INT([2]DOWNTIME!$F32*1440)</f>
        <v>45</v>
      </c>
      <c r="K32" s="60" t="s">
        <v>141</v>
      </c>
      <c r="L32" s="71"/>
    </row>
    <row r="33" spans="1:12" ht="14.25" customHeight="1">
      <c r="A33" s="57">
        <v>46056</v>
      </c>
      <c r="B33" s="58" t="s">
        <v>122</v>
      </c>
      <c r="C33" s="60" t="s">
        <v>137</v>
      </c>
      <c r="D33" s="61">
        <v>0.51736111111111105</v>
      </c>
      <c r="E33" s="61">
        <v>0.53125</v>
      </c>
      <c r="F33" s="65">
        <f t="shared" si="0"/>
        <v>1.3888888888888951E-2</v>
      </c>
      <c r="G33" s="59">
        <f t="shared" si="1"/>
        <v>20</v>
      </c>
      <c r="H33" s="70"/>
      <c r="I33" s="70"/>
      <c r="J33" s="60">
        <f>INT([2]DOWNTIME!$F33*1440)</f>
        <v>140</v>
      </c>
      <c r="K33" s="60"/>
      <c r="L33" s="66"/>
    </row>
    <row r="34" spans="1:12" ht="14.25" hidden="1" customHeight="1">
      <c r="A34" s="57">
        <v>46057</v>
      </c>
      <c r="B34" s="58" t="s">
        <v>122</v>
      </c>
      <c r="C34" s="60" t="s">
        <v>138</v>
      </c>
      <c r="D34" s="61">
        <v>0.36458333333333331</v>
      </c>
      <c r="E34" s="61">
        <v>0.38263888888888892</v>
      </c>
      <c r="F34" s="65">
        <f t="shared" si="0"/>
        <v>1.8055555555555602E-2</v>
      </c>
      <c r="G34" s="59">
        <f t="shared" si="1"/>
        <v>26</v>
      </c>
      <c r="H34" s="70"/>
      <c r="I34" s="70"/>
      <c r="J34" s="60">
        <f>INT([2]DOWNTIME!$F34*1440)</f>
        <v>230</v>
      </c>
      <c r="K34" s="60" t="s">
        <v>142</v>
      </c>
      <c r="L34" s="66"/>
    </row>
    <row r="35" spans="1:12" ht="14.25" customHeight="1">
      <c r="A35" s="57">
        <v>46057</v>
      </c>
      <c r="B35" s="58" t="s">
        <v>122</v>
      </c>
      <c r="C35" s="60" t="s">
        <v>137</v>
      </c>
      <c r="D35" s="61">
        <v>0.75694444444444453</v>
      </c>
      <c r="E35" s="61">
        <v>0.79166666666666663</v>
      </c>
      <c r="F35" s="65">
        <f t="shared" si="0"/>
        <v>3.4722222222222099E-2</v>
      </c>
      <c r="G35" s="59">
        <f t="shared" si="1"/>
        <v>49</v>
      </c>
      <c r="H35" s="60"/>
      <c r="I35" s="70"/>
      <c r="J35" s="60"/>
      <c r="K35" s="60"/>
      <c r="L35" s="66"/>
    </row>
    <row r="36" spans="1:12" ht="14.25" customHeight="1">
      <c r="A36" s="57">
        <v>46057</v>
      </c>
      <c r="B36" s="58" t="s">
        <v>122</v>
      </c>
      <c r="C36" s="60" t="s">
        <v>137</v>
      </c>
      <c r="D36" s="61">
        <v>0.79861111111111116</v>
      </c>
      <c r="E36" s="61">
        <v>0.86458333333333337</v>
      </c>
      <c r="F36" s="65">
        <f t="shared" si="0"/>
        <v>6.597222222222221E-2</v>
      </c>
      <c r="G36" s="59">
        <f t="shared" si="1"/>
        <v>95</v>
      </c>
      <c r="H36" s="60"/>
      <c r="I36" s="70"/>
      <c r="J36" s="60"/>
      <c r="K36" s="60"/>
      <c r="L36" s="66"/>
    </row>
    <row r="37" spans="1:12" ht="14.25" customHeight="1">
      <c r="A37" s="57">
        <v>46057</v>
      </c>
      <c r="B37" s="58" t="s">
        <v>122</v>
      </c>
      <c r="C37" s="60" t="s">
        <v>137</v>
      </c>
      <c r="D37" s="61">
        <v>1.0416666666666666E-2</v>
      </c>
      <c r="E37" s="61">
        <v>3.125E-2</v>
      </c>
      <c r="F37" s="65">
        <f t="shared" si="0"/>
        <v>2.0833333333333336E-2</v>
      </c>
      <c r="G37" s="59">
        <f t="shared" si="1"/>
        <v>30</v>
      </c>
      <c r="H37" s="70"/>
      <c r="I37" s="70"/>
      <c r="J37" s="60">
        <f>INT([2]DOWNTIME!$F37*1440)</f>
        <v>110</v>
      </c>
      <c r="K37" s="60"/>
      <c r="L37" s="66"/>
    </row>
    <row r="38" spans="1:12" ht="14.25" customHeight="1">
      <c r="A38" s="57">
        <v>46055</v>
      </c>
      <c r="B38" s="58" t="s">
        <v>132</v>
      </c>
      <c r="C38" s="60" t="s">
        <v>137</v>
      </c>
      <c r="D38" s="61">
        <v>0.3611111111111111</v>
      </c>
      <c r="E38" s="61">
        <v>0.45833333333333331</v>
      </c>
      <c r="F38" s="65">
        <f t="shared" si="0"/>
        <v>9.722222222222221E-2</v>
      </c>
      <c r="G38" s="59">
        <f t="shared" si="1"/>
        <v>140</v>
      </c>
      <c r="H38" s="70"/>
      <c r="I38" s="70"/>
      <c r="J38" s="60">
        <f>INT([2]DOWNTIME!$F38*1440)</f>
        <v>180</v>
      </c>
      <c r="K38" s="60"/>
      <c r="L38" s="66"/>
    </row>
    <row r="39" spans="1:12" ht="14.25" hidden="1" customHeight="1">
      <c r="A39" s="57">
        <v>46055</v>
      </c>
      <c r="B39" s="58" t="s">
        <v>132</v>
      </c>
      <c r="C39" s="60" t="s">
        <v>138</v>
      </c>
      <c r="D39" s="61">
        <v>0.55902777777777779</v>
      </c>
      <c r="E39" s="61">
        <v>0.79166666666666663</v>
      </c>
      <c r="F39" s="65">
        <f t="shared" si="0"/>
        <v>0.23263888888888884</v>
      </c>
      <c r="G39" s="59">
        <f t="shared" si="1"/>
        <v>335</v>
      </c>
      <c r="H39" s="60"/>
      <c r="I39" s="70"/>
      <c r="J39" s="60"/>
      <c r="K39" s="60"/>
      <c r="L39" s="66"/>
    </row>
    <row r="40" spans="1:12" ht="14.25" customHeight="1">
      <c r="A40" s="57">
        <v>46055</v>
      </c>
      <c r="B40" s="58" t="s">
        <v>132</v>
      </c>
      <c r="C40" s="60" t="s">
        <v>137</v>
      </c>
      <c r="D40" s="61">
        <v>0.875</v>
      </c>
      <c r="E40" s="61">
        <v>0.9375</v>
      </c>
      <c r="F40" s="65">
        <f t="shared" si="0"/>
        <v>6.25E-2</v>
      </c>
      <c r="G40" s="59">
        <f t="shared" si="1"/>
        <v>90</v>
      </c>
      <c r="H40" s="60"/>
      <c r="I40" s="70"/>
      <c r="J40" s="60"/>
      <c r="K40" s="60"/>
      <c r="L40" s="66"/>
    </row>
    <row r="41" spans="1:12" ht="14.25" customHeight="1">
      <c r="A41" s="57">
        <v>46055</v>
      </c>
      <c r="B41" s="58" t="s">
        <v>132</v>
      </c>
      <c r="C41" s="60" t="s">
        <v>137</v>
      </c>
      <c r="D41" s="61">
        <v>6.25E-2</v>
      </c>
      <c r="E41" s="61">
        <v>8.5416666666666655E-2</v>
      </c>
      <c r="F41" s="65">
        <f t="shared" si="0"/>
        <v>2.2916666666666655E-2</v>
      </c>
      <c r="G41" s="59">
        <f t="shared" si="1"/>
        <v>33</v>
      </c>
      <c r="H41" s="60"/>
      <c r="I41" s="70"/>
      <c r="J41" s="60"/>
      <c r="K41" s="60"/>
      <c r="L41" s="66"/>
    </row>
    <row r="42" spans="1:12" ht="14.25" customHeight="1">
      <c r="A42" s="57">
        <v>46055</v>
      </c>
      <c r="B42" s="58" t="s">
        <v>132</v>
      </c>
      <c r="C42" s="60" t="s">
        <v>137</v>
      </c>
      <c r="D42" s="61">
        <v>0.21875</v>
      </c>
      <c r="E42" s="61">
        <v>0.22430555555555556</v>
      </c>
      <c r="F42" s="65">
        <f t="shared" si="0"/>
        <v>5.5555555555555636E-3</v>
      </c>
      <c r="G42" s="59">
        <f t="shared" si="1"/>
        <v>8</v>
      </c>
      <c r="H42" s="60"/>
      <c r="I42" s="70"/>
      <c r="J42" s="60"/>
      <c r="K42" s="60"/>
      <c r="L42" s="60"/>
    </row>
    <row r="43" spans="1:12" ht="14.25" hidden="1" customHeight="1">
      <c r="A43" s="57">
        <v>46056</v>
      </c>
      <c r="B43" s="58" t="s">
        <v>123</v>
      </c>
      <c r="C43" s="60" t="s">
        <v>138</v>
      </c>
      <c r="D43" s="61">
        <v>0.3923611111111111</v>
      </c>
      <c r="E43" s="61">
        <v>0.39583333333333331</v>
      </c>
      <c r="F43" s="65">
        <f t="shared" si="0"/>
        <v>3.4722222222222099E-3</v>
      </c>
      <c r="G43" s="59">
        <f t="shared" si="1"/>
        <v>4</v>
      </c>
      <c r="H43" s="60"/>
      <c r="I43" s="70"/>
      <c r="J43" s="60"/>
      <c r="K43" s="60"/>
      <c r="L43" s="60"/>
    </row>
    <row r="44" spans="1:12" ht="14.25" customHeight="1">
      <c r="A44" s="57">
        <v>46056</v>
      </c>
      <c r="B44" s="58" t="s">
        <v>123</v>
      </c>
      <c r="C44" s="60" t="s">
        <v>137</v>
      </c>
      <c r="D44" s="61">
        <v>0.97916666666666663</v>
      </c>
      <c r="E44" s="61">
        <v>0.98263888888888884</v>
      </c>
      <c r="F44" s="65">
        <f t="shared" si="0"/>
        <v>3.4722222222222099E-3</v>
      </c>
      <c r="G44" s="59">
        <f t="shared" si="1"/>
        <v>4</v>
      </c>
      <c r="H44" s="60"/>
      <c r="I44" s="70"/>
      <c r="J44" s="60"/>
      <c r="K44" s="60"/>
      <c r="L44" s="60"/>
    </row>
    <row r="45" spans="1:12" ht="14.25" hidden="1" customHeight="1">
      <c r="A45" s="57">
        <v>46057</v>
      </c>
      <c r="B45" s="58" t="s">
        <v>123</v>
      </c>
      <c r="C45" s="60" t="s">
        <v>138</v>
      </c>
      <c r="D45" s="61">
        <v>0.3611111111111111</v>
      </c>
      <c r="E45" s="61">
        <v>0.36458333333333331</v>
      </c>
      <c r="F45" s="65">
        <f t="shared" si="0"/>
        <v>3.4722222222222099E-3</v>
      </c>
      <c r="G45" s="59">
        <f t="shared" si="1"/>
        <v>4</v>
      </c>
      <c r="H45" s="60"/>
      <c r="I45" s="70"/>
      <c r="J45" s="60"/>
      <c r="K45" s="60" t="s">
        <v>142</v>
      </c>
      <c r="L45" s="60"/>
    </row>
    <row r="46" spans="1:12" ht="14.25" customHeight="1">
      <c r="A46" s="57">
        <v>46057</v>
      </c>
      <c r="B46" s="58" t="s">
        <v>123</v>
      </c>
      <c r="C46" s="60" t="s">
        <v>137</v>
      </c>
      <c r="D46" s="61">
        <v>0.79166666666666663</v>
      </c>
      <c r="E46" s="61">
        <v>0.79861111111111116</v>
      </c>
      <c r="F46" s="65">
        <f t="shared" si="0"/>
        <v>6.9444444444445308E-3</v>
      </c>
      <c r="G46" s="59">
        <f t="shared" si="1"/>
        <v>10</v>
      </c>
      <c r="H46" s="60"/>
      <c r="I46" s="70"/>
      <c r="J46" s="60"/>
      <c r="K46" s="60"/>
      <c r="L46" s="60"/>
    </row>
    <row r="47" spans="1:12" ht="14.25" customHeight="1">
      <c r="A47" s="57">
        <v>46057</v>
      </c>
      <c r="B47" s="58" t="s">
        <v>123</v>
      </c>
      <c r="C47" s="60" t="s">
        <v>137</v>
      </c>
      <c r="D47" s="61">
        <v>0.84861111111111109</v>
      </c>
      <c r="E47" s="61">
        <v>0.86458333333333337</v>
      </c>
      <c r="F47" s="65">
        <f t="shared" si="0"/>
        <v>1.5972222222222276E-2</v>
      </c>
      <c r="G47" s="59">
        <f t="shared" si="1"/>
        <v>23</v>
      </c>
      <c r="H47" s="60"/>
      <c r="I47" s="70"/>
      <c r="J47" s="60"/>
      <c r="K47" s="60"/>
      <c r="L47" s="66"/>
    </row>
    <row r="48" spans="1:12" ht="14.25" hidden="1" customHeight="1">
      <c r="A48" s="57">
        <v>46057</v>
      </c>
      <c r="B48" s="58" t="s">
        <v>123</v>
      </c>
      <c r="C48" s="60" t="s">
        <v>143</v>
      </c>
      <c r="D48" s="61">
        <v>0.90625</v>
      </c>
      <c r="E48" s="61">
        <v>0.95138888888888884</v>
      </c>
      <c r="F48" s="65">
        <f t="shared" si="0"/>
        <v>4.513888888888884E-2</v>
      </c>
      <c r="G48" s="59">
        <f t="shared" si="1"/>
        <v>64</v>
      </c>
      <c r="H48" s="70"/>
      <c r="I48" s="70"/>
      <c r="J48" s="60">
        <f>INT([2]DOWNTIME!$F48*1440)</f>
        <v>85</v>
      </c>
      <c r="K48" s="60"/>
      <c r="L48" s="60"/>
    </row>
    <row r="49" spans="1:12" ht="14.25" customHeight="1">
      <c r="A49" s="57">
        <v>46057</v>
      </c>
      <c r="B49" s="58" t="s">
        <v>123</v>
      </c>
      <c r="C49" s="60" t="s">
        <v>137</v>
      </c>
      <c r="D49" s="61">
        <v>0.18402777777777779</v>
      </c>
      <c r="E49" s="61">
        <v>0.1875</v>
      </c>
      <c r="F49" s="65">
        <f t="shared" si="0"/>
        <v>3.4722222222222099E-3</v>
      </c>
      <c r="G49" s="59">
        <f t="shared" si="1"/>
        <v>4</v>
      </c>
      <c r="H49" s="60"/>
      <c r="I49" s="70"/>
      <c r="J49" s="60"/>
      <c r="K49" s="60"/>
      <c r="L49" s="60"/>
    </row>
    <row r="50" spans="1:12" ht="14.25" customHeight="1">
      <c r="A50" s="57">
        <v>46055</v>
      </c>
      <c r="B50" s="58" t="s">
        <v>123</v>
      </c>
      <c r="C50" s="60" t="s">
        <v>137</v>
      </c>
      <c r="D50" s="61">
        <v>0.3263888888888889</v>
      </c>
      <c r="E50" s="61">
        <v>0.45833333333333331</v>
      </c>
      <c r="F50" s="65">
        <f t="shared" si="0"/>
        <v>0.13194444444444442</v>
      </c>
      <c r="G50" s="59">
        <f t="shared" si="1"/>
        <v>190</v>
      </c>
      <c r="H50" s="60"/>
      <c r="I50" s="70"/>
      <c r="J50" s="60"/>
      <c r="K50" s="60"/>
      <c r="L50" s="60"/>
    </row>
    <row r="51" spans="1:12" ht="14.25" customHeight="1">
      <c r="A51" s="57">
        <v>46055</v>
      </c>
      <c r="B51" s="58" t="s">
        <v>123</v>
      </c>
      <c r="C51" s="60" t="s">
        <v>137</v>
      </c>
      <c r="D51" s="61">
        <v>7.8472222222222221E-2</v>
      </c>
      <c r="E51" s="61">
        <v>8.6805555555555566E-2</v>
      </c>
      <c r="F51" s="65">
        <f t="shared" si="0"/>
        <v>8.3333333333333454E-3</v>
      </c>
      <c r="G51" s="59">
        <f t="shared" si="1"/>
        <v>12</v>
      </c>
      <c r="H51" s="60"/>
      <c r="I51" s="70"/>
      <c r="J51" s="60"/>
      <c r="K51" s="60"/>
      <c r="L51" s="60"/>
    </row>
    <row r="52" spans="1:12" ht="14.25" customHeight="1">
      <c r="A52" s="57">
        <v>46056</v>
      </c>
      <c r="B52" s="58" t="s">
        <v>124</v>
      </c>
      <c r="C52" s="60" t="s">
        <v>137</v>
      </c>
      <c r="D52" s="61">
        <v>0.33333333333333331</v>
      </c>
      <c r="E52" s="61">
        <v>0.36458333333333331</v>
      </c>
      <c r="F52" s="65">
        <f t="shared" si="0"/>
        <v>3.125E-2</v>
      </c>
      <c r="G52" s="59">
        <f t="shared" si="1"/>
        <v>45</v>
      </c>
      <c r="H52" s="60"/>
      <c r="I52" s="70"/>
      <c r="J52" s="60"/>
      <c r="K52" s="60"/>
      <c r="L52" s="60"/>
    </row>
    <row r="53" spans="1:12" ht="14.25" hidden="1" customHeight="1">
      <c r="A53" s="57">
        <v>46056</v>
      </c>
      <c r="B53" s="58" t="s">
        <v>124</v>
      </c>
      <c r="C53" s="60" t="s">
        <v>138</v>
      </c>
      <c r="D53" s="61">
        <v>0.38194444444444442</v>
      </c>
      <c r="E53" s="61">
        <v>0.40277777777777773</v>
      </c>
      <c r="F53" s="65">
        <f t="shared" si="0"/>
        <v>2.0833333333333315E-2</v>
      </c>
      <c r="G53" s="59">
        <f t="shared" si="1"/>
        <v>30</v>
      </c>
      <c r="H53" s="60"/>
      <c r="I53" s="70"/>
      <c r="J53" s="60"/>
      <c r="K53" s="60" t="s">
        <v>144</v>
      </c>
      <c r="L53" s="60"/>
    </row>
    <row r="54" spans="1:12" ht="14.25" customHeight="1">
      <c r="A54" s="57">
        <v>46056</v>
      </c>
      <c r="B54" s="58" t="s">
        <v>124</v>
      </c>
      <c r="C54" s="60" t="s">
        <v>137</v>
      </c>
      <c r="D54" s="61">
        <v>0.4694444444444445</v>
      </c>
      <c r="E54" s="61">
        <v>0.56944444444444442</v>
      </c>
      <c r="F54" s="65">
        <f t="shared" si="0"/>
        <v>9.9999999999999922E-2</v>
      </c>
      <c r="G54" s="59">
        <f t="shared" si="1"/>
        <v>144</v>
      </c>
      <c r="H54" s="60"/>
      <c r="I54" s="70"/>
      <c r="J54" s="60"/>
      <c r="K54" s="60"/>
      <c r="L54" s="60"/>
    </row>
    <row r="55" spans="1:12" ht="14.25" customHeight="1">
      <c r="A55" s="57">
        <v>46056</v>
      </c>
      <c r="B55" s="58" t="s">
        <v>124</v>
      </c>
      <c r="C55" s="60" t="s">
        <v>137</v>
      </c>
      <c r="D55" s="61">
        <v>0.64930555555555558</v>
      </c>
      <c r="E55" s="61">
        <v>0.71875</v>
      </c>
      <c r="F55" s="65">
        <f t="shared" si="0"/>
        <v>6.944444444444442E-2</v>
      </c>
      <c r="G55" s="59">
        <f t="shared" si="1"/>
        <v>100</v>
      </c>
      <c r="H55" s="60"/>
      <c r="I55" s="70"/>
      <c r="J55" s="60"/>
      <c r="K55" s="60"/>
      <c r="L55" s="60"/>
    </row>
    <row r="56" spans="1:12" ht="14.25" customHeight="1">
      <c r="A56" s="57">
        <v>46056</v>
      </c>
      <c r="B56" s="58" t="s">
        <v>124</v>
      </c>
      <c r="C56" s="60" t="s">
        <v>137</v>
      </c>
      <c r="D56" s="61">
        <v>0.83680555555555547</v>
      </c>
      <c r="E56" s="61">
        <v>0.86111111111111116</v>
      </c>
      <c r="F56" s="65">
        <f t="shared" si="0"/>
        <v>2.4305555555555691E-2</v>
      </c>
      <c r="G56" s="59">
        <f t="shared" si="1"/>
        <v>35</v>
      </c>
      <c r="H56" s="60"/>
      <c r="I56" s="70"/>
      <c r="J56" s="60"/>
      <c r="K56" s="60"/>
      <c r="L56" s="60"/>
    </row>
    <row r="57" spans="1:12" ht="14.25" hidden="1" customHeight="1">
      <c r="A57" s="57">
        <v>46056</v>
      </c>
      <c r="B57" s="58" t="s">
        <v>124</v>
      </c>
      <c r="C57" s="60" t="s">
        <v>138</v>
      </c>
      <c r="D57" s="61">
        <v>0.12152777777777778</v>
      </c>
      <c r="E57" s="61">
        <v>0.2638888888888889</v>
      </c>
      <c r="F57" s="65">
        <f t="shared" si="0"/>
        <v>0.1423611111111111</v>
      </c>
      <c r="G57" s="59">
        <f t="shared" si="1"/>
        <v>205</v>
      </c>
      <c r="H57" s="60"/>
      <c r="I57" s="70"/>
      <c r="J57" s="60"/>
      <c r="K57" s="60" t="s">
        <v>145</v>
      </c>
      <c r="L57" s="60" t="s">
        <v>146</v>
      </c>
    </row>
    <row r="58" spans="1:12" ht="14.25" hidden="1" customHeight="1">
      <c r="A58" s="57">
        <v>46057</v>
      </c>
      <c r="B58" s="58" t="s">
        <v>124</v>
      </c>
      <c r="C58" s="60" t="s">
        <v>138</v>
      </c>
      <c r="D58" s="61">
        <v>0.34722222222222227</v>
      </c>
      <c r="E58" s="61">
        <v>0.3611111111111111</v>
      </c>
      <c r="F58" s="65">
        <f t="shared" si="0"/>
        <v>1.388888888888884E-2</v>
      </c>
      <c r="G58" s="59">
        <f t="shared" si="1"/>
        <v>19</v>
      </c>
      <c r="H58" s="60"/>
      <c r="I58" s="70"/>
      <c r="J58" s="60"/>
      <c r="K58" s="60" t="s">
        <v>147</v>
      </c>
      <c r="L58" s="60" t="s">
        <v>142</v>
      </c>
    </row>
    <row r="59" spans="1:12" ht="14.25" hidden="1" customHeight="1">
      <c r="A59" s="57">
        <v>46057</v>
      </c>
      <c r="B59" s="58" t="s">
        <v>124</v>
      </c>
      <c r="C59" s="60" t="s">
        <v>148</v>
      </c>
      <c r="D59" s="61">
        <v>0.39583333333333331</v>
      </c>
      <c r="E59" s="61">
        <v>0.3979166666666667</v>
      </c>
      <c r="F59" s="65">
        <f t="shared" si="0"/>
        <v>2.0833333333333814E-3</v>
      </c>
      <c r="G59" s="59">
        <f t="shared" si="1"/>
        <v>3</v>
      </c>
      <c r="H59" s="60"/>
      <c r="I59" s="70"/>
      <c r="J59" s="60"/>
      <c r="K59" s="60"/>
      <c r="L59" s="60"/>
    </row>
    <row r="60" spans="1:12" ht="14.25" hidden="1" customHeight="1">
      <c r="A60" s="57">
        <v>46057</v>
      </c>
      <c r="B60" s="58" t="s">
        <v>124</v>
      </c>
      <c r="C60" s="60" t="s">
        <v>138</v>
      </c>
      <c r="D60" s="61">
        <v>0.5</v>
      </c>
      <c r="E60" s="61">
        <v>0.51041666666666663</v>
      </c>
      <c r="F60" s="65">
        <f t="shared" si="0"/>
        <v>1.041666666666663E-2</v>
      </c>
      <c r="G60" s="59">
        <f t="shared" si="1"/>
        <v>14</v>
      </c>
      <c r="H60" s="60"/>
      <c r="I60" s="70"/>
      <c r="J60" s="60"/>
      <c r="K60" s="60" t="s">
        <v>149</v>
      </c>
      <c r="L60" s="60"/>
    </row>
    <row r="61" spans="1:12" ht="14.25" hidden="1" customHeight="1">
      <c r="A61" s="57">
        <v>46057</v>
      </c>
      <c r="B61" s="58" t="s">
        <v>124</v>
      </c>
      <c r="C61" s="60" t="s">
        <v>138</v>
      </c>
      <c r="D61" s="61">
        <v>0.57986111111111105</v>
      </c>
      <c r="E61" s="61">
        <v>0.59027777777777779</v>
      </c>
      <c r="F61" s="65">
        <f t="shared" si="0"/>
        <v>1.0416666666666741E-2</v>
      </c>
      <c r="G61" s="59">
        <f t="shared" si="1"/>
        <v>15</v>
      </c>
      <c r="H61" s="60"/>
      <c r="I61" s="70"/>
      <c r="J61" s="60"/>
      <c r="K61" s="60" t="s">
        <v>150</v>
      </c>
      <c r="L61" s="60"/>
    </row>
    <row r="62" spans="1:12" ht="14.25" hidden="1" customHeight="1">
      <c r="A62" s="57">
        <v>46057</v>
      </c>
      <c r="B62" s="58" t="s">
        <v>124</v>
      </c>
      <c r="C62" s="60" t="s">
        <v>138</v>
      </c>
      <c r="D62" s="61">
        <v>0.61458333333333337</v>
      </c>
      <c r="E62" s="61">
        <v>0.625</v>
      </c>
      <c r="F62" s="65">
        <f t="shared" si="0"/>
        <v>1.041666666666663E-2</v>
      </c>
      <c r="G62" s="59">
        <f t="shared" si="1"/>
        <v>14</v>
      </c>
      <c r="H62" s="60"/>
      <c r="I62" s="70"/>
      <c r="J62" s="60"/>
      <c r="K62" s="60" t="s">
        <v>151</v>
      </c>
      <c r="L62" s="60" t="s">
        <v>152</v>
      </c>
    </row>
    <row r="63" spans="1:12" ht="14.25" customHeight="1">
      <c r="A63" s="57">
        <v>46055</v>
      </c>
      <c r="B63" s="58" t="s">
        <v>124</v>
      </c>
      <c r="C63" s="60" t="s">
        <v>137</v>
      </c>
      <c r="D63" s="61">
        <v>0.38194444444444442</v>
      </c>
      <c r="E63" s="61">
        <v>0.50694444444444442</v>
      </c>
      <c r="F63" s="65">
        <f t="shared" si="0"/>
        <v>0.125</v>
      </c>
      <c r="G63" s="59">
        <f t="shared" si="1"/>
        <v>180</v>
      </c>
      <c r="H63" s="60"/>
      <c r="I63" s="70"/>
      <c r="J63" s="60"/>
      <c r="K63" s="60"/>
      <c r="L63" s="60"/>
    </row>
    <row r="64" spans="1:12" ht="14.25" customHeight="1">
      <c r="A64" s="57">
        <v>46055</v>
      </c>
      <c r="B64" s="58" t="s">
        <v>124</v>
      </c>
      <c r="C64" s="60" t="s">
        <v>137</v>
      </c>
      <c r="D64" s="61">
        <v>0.54513888888888895</v>
      </c>
      <c r="E64" s="61">
        <v>0.79166666666666663</v>
      </c>
      <c r="F64" s="65">
        <f t="shared" si="0"/>
        <v>0.24652777777777768</v>
      </c>
      <c r="G64" s="59">
        <f t="shared" si="1"/>
        <v>355</v>
      </c>
      <c r="H64" s="60"/>
      <c r="I64" s="70"/>
      <c r="J64" s="60"/>
      <c r="K64" s="60"/>
      <c r="L64" s="60"/>
    </row>
    <row r="65" spans="1:12" ht="14.25" customHeight="1">
      <c r="A65" s="57">
        <v>46055</v>
      </c>
      <c r="B65" s="58" t="s">
        <v>124</v>
      </c>
      <c r="C65" s="60" t="s">
        <v>137</v>
      </c>
      <c r="D65" s="61">
        <v>0.85972222222222217</v>
      </c>
      <c r="E65" s="61">
        <v>0.86319444444444438</v>
      </c>
      <c r="F65" s="65">
        <f t="shared" si="0"/>
        <v>3.4722222222222099E-3</v>
      </c>
      <c r="G65" s="59">
        <f t="shared" si="1"/>
        <v>4</v>
      </c>
      <c r="H65" s="60"/>
      <c r="I65" s="70"/>
      <c r="J65" s="60"/>
      <c r="K65" s="60"/>
      <c r="L65" s="60"/>
    </row>
    <row r="66" spans="1:12" ht="14.25" customHeight="1">
      <c r="A66" s="57">
        <v>46055</v>
      </c>
      <c r="B66" s="58" t="s">
        <v>124</v>
      </c>
      <c r="C66" s="60" t="s">
        <v>137</v>
      </c>
      <c r="D66" s="61">
        <v>0.8979166666666667</v>
      </c>
      <c r="E66" s="61">
        <v>0.90625</v>
      </c>
      <c r="F66" s="65">
        <f t="shared" si="0"/>
        <v>8.3333333333333037E-3</v>
      </c>
      <c r="G66" s="59">
        <f t="shared" si="1"/>
        <v>12</v>
      </c>
      <c r="H66" s="60"/>
      <c r="I66" s="70"/>
      <c r="J66" s="60"/>
      <c r="K66" s="60"/>
      <c r="L66" s="60"/>
    </row>
    <row r="67" spans="1:12" ht="14.25" customHeight="1">
      <c r="A67" s="57">
        <v>46055</v>
      </c>
      <c r="B67" s="58" t="s">
        <v>124</v>
      </c>
      <c r="C67" s="60" t="s">
        <v>137</v>
      </c>
      <c r="D67" s="61">
        <v>0.92708333333333337</v>
      </c>
      <c r="E67" s="61">
        <v>0.95138888888888884</v>
      </c>
      <c r="F67" s="65">
        <f t="shared" ref="F67:F130" si="2">+(E67-D67)</f>
        <v>2.4305555555555469E-2</v>
      </c>
      <c r="G67" s="59">
        <f t="shared" ref="G67:G130" si="3">INT(F67*1440)</f>
        <v>34</v>
      </c>
      <c r="H67" s="60"/>
      <c r="I67" s="70"/>
      <c r="J67" s="60"/>
      <c r="K67" s="60"/>
      <c r="L67" s="60"/>
    </row>
    <row r="68" spans="1:12" ht="14.25" customHeight="1">
      <c r="A68" s="57">
        <v>46055</v>
      </c>
      <c r="B68" s="58" t="s">
        <v>124</v>
      </c>
      <c r="C68" s="60" t="s">
        <v>137</v>
      </c>
      <c r="D68" s="61">
        <v>0.97916666666666663</v>
      </c>
      <c r="E68" s="61">
        <v>1</v>
      </c>
      <c r="F68" s="65">
        <f t="shared" si="2"/>
        <v>2.083333333333337E-2</v>
      </c>
      <c r="G68" s="59">
        <f t="shared" si="3"/>
        <v>30</v>
      </c>
      <c r="H68" s="60"/>
      <c r="I68" s="70"/>
      <c r="J68" s="60"/>
      <c r="K68" s="60"/>
      <c r="L68" s="60"/>
    </row>
    <row r="69" spans="1:12" ht="14.25" customHeight="1">
      <c r="A69" s="57">
        <v>46055</v>
      </c>
      <c r="B69" s="58" t="s">
        <v>124</v>
      </c>
      <c r="C69" s="60" t="s">
        <v>137</v>
      </c>
      <c r="D69" s="61">
        <v>0.13194444444444445</v>
      </c>
      <c r="E69" s="61">
        <v>0.13749999999999998</v>
      </c>
      <c r="F69" s="65">
        <f t="shared" si="2"/>
        <v>5.5555555555555358E-3</v>
      </c>
      <c r="G69" s="59">
        <f t="shared" si="3"/>
        <v>7</v>
      </c>
      <c r="H69" s="60"/>
      <c r="I69" s="70"/>
      <c r="J69" s="60"/>
      <c r="K69" s="60"/>
      <c r="L69" s="60"/>
    </row>
    <row r="70" spans="1:12" ht="14.25" customHeight="1">
      <c r="A70" s="57">
        <v>46055</v>
      </c>
      <c r="B70" s="58" t="s">
        <v>124</v>
      </c>
      <c r="C70" s="60" t="s">
        <v>137</v>
      </c>
      <c r="D70" s="61">
        <v>0.21527777777777779</v>
      </c>
      <c r="E70" s="61">
        <v>0.22569444444444445</v>
      </c>
      <c r="F70" s="65">
        <f t="shared" si="2"/>
        <v>1.0416666666666657E-2</v>
      </c>
      <c r="G70" s="59">
        <f t="shared" si="3"/>
        <v>15</v>
      </c>
      <c r="H70" s="60"/>
      <c r="I70" s="70"/>
      <c r="J70" s="60"/>
      <c r="K70" s="60"/>
      <c r="L70" s="60"/>
    </row>
    <row r="71" spans="1:12" ht="14.25" customHeight="1">
      <c r="A71" s="57">
        <v>46056</v>
      </c>
      <c r="B71" s="58" t="s">
        <v>132</v>
      </c>
      <c r="C71" s="60" t="s">
        <v>137</v>
      </c>
      <c r="D71" s="61">
        <v>0.29166666666666669</v>
      </c>
      <c r="E71" s="61">
        <v>0.30555555555555552</v>
      </c>
      <c r="F71" s="65">
        <f t="shared" si="2"/>
        <v>1.388888888888884E-2</v>
      </c>
      <c r="G71" s="59">
        <f t="shared" si="3"/>
        <v>19</v>
      </c>
      <c r="H71" s="60"/>
      <c r="I71" s="70"/>
      <c r="J71" s="60"/>
      <c r="K71" s="60"/>
      <c r="L71" s="60"/>
    </row>
    <row r="72" spans="1:12" ht="14.25" customHeight="1">
      <c r="A72" s="57">
        <v>46056</v>
      </c>
      <c r="B72" s="58" t="s">
        <v>132</v>
      </c>
      <c r="C72" s="60" t="s">
        <v>137</v>
      </c>
      <c r="D72" s="61">
        <v>0.33333333333333331</v>
      </c>
      <c r="E72" s="61">
        <v>0.36458333333333331</v>
      </c>
      <c r="F72" s="65">
        <f t="shared" si="2"/>
        <v>3.125E-2</v>
      </c>
      <c r="G72" s="59">
        <f t="shared" si="3"/>
        <v>45</v>
      </c>
      <c r="H72" s="60"/>
      <c r="I72" s="70"/>
      <c r="J72" s="60"/>
      <c r="K72" s="60"/>
      <c r="L72" s="60"/>
    </row>
    <row r="73" spans="1:12" ht="14.25" customHeight="1">
      <c r="A73" s="57">
        <v>46056</v>
      </c>
      <c r="B73" s="58" t="s">
        <v>132</v>
      </c>
      <c r="C73" s="60" t="s">
        <v>137</v>
      </c>
      <c r="D73" s="61">
        <v>0.44097222222222227</v>
      </c>
      <c r="E73" s="61">
        <v>0.4513888888888889</v>
      </c>
      <c r="F73" s="65">
        <f t="shared" si="2"/>
        <v>1.041666666666663E-2</v>
      </c>
      <c r="G73" s="59">
        <f t="shared" si="3"/>
        <v>14</v>
      </c>
      <c r="H73" s="60"/>
      <c r="I73" s="70"/>
      <c r="J73" s="60"/>
      <c r="K73" s="60"/>
      <c r="L73" s="60"/>
    </row>
    <row r="74" spans="1:12" ht="14.25" customHeight="1">
      <c r="A74" s="57">
        <v>46056</v>
      </c>
      <c r="B74" s="58" t="s">
        <v>132</v>
      </c>
      <c r="C74" s="60" t="s">
        <v>137</v>
      </c>
      <c r="D74" s="61">
        <v>0.47569444444444442</v>
      </c>
      <c r="E74" s="61">
        <v>0.52430555555555558</v>
      </c>
      <c r="F74" s="65">
        <f t="shared" si="2"/>
        <v>4.861111111111116E-2</v>
      </c>
      <c r="G74" s="59">
        <f t="shared" si="3"/>
        <v>70</v>
      </c>
      <c r="H74" s="60"/>
      <c r="I74" s="70"/>
      <c r="J74" s="60"/>
      <c r="K74" s="60"/>
      <c r="L74" s="60"/>
    </row>
    <row r="75" spans="1:12" ht="14.25" customHeight="1">
      <c r="A75" s="57">
        <v>46056</v>
      </c>
      <c r="B75" s="58" t="s">
        <v>132</v>
      </c>
      <c r="C75" s="60" t="s">
        <v>137</v>
      </c>
      <c r="D75" s="61">
        <v>0.54861111111111105</v>
      </c>
      <c r="E75" s="61">
        <v>0.61805555555555558</v>
      </c>
      <c r="F75" s="65">
        <f t="shared" si="2"/>
        <v>6.9444444444444531E-2</v>
      </c>
      <c r="G75" s="59">
        <f t="shared" si="3"/>
        <v>100</v>
      </c>
      <c r="H75" s="60"/>
      <c r="I75" s="70"/>
      <c r="J75" s="60"/>
      <c r="K75" s="60"/>
      <c r="L75" s="60"/>
    </row>
    <row r="76" spans="1:12" ht="14.25" customHeight="1">
      <c r="A76" s="57">
        <v>46056</v>
      </c>
      <c r="B76" s="58" t="s">
        <v>132</v>
      </c>
      <c r="C76" s="60" t="s">
        <v>137</v>
      </c>
      <c r="D76" s="61">
        <v>0.71875</v>
      </c>
      <c r="E76" s="61">
        <v>0.73263888888888884</v>
      </c>
      <c r="F76" s="65">
        <f t="shared" si="2"/>
        <v>1.388888888888884E-2</v>
      </c>
      <c r="G76" s="59">
        <f t="shared" si="3"/>
        <v>19</v>
      </c>
      <c r="H76" s="60"/>
      <c r="I76" s="70"/>
      <c r="J76" s="60"/>
      <c r="K76" s="60"/>
      <c r="L76" s="60"/>
    </row>
    <row r="77" spans="1:12" ht="14.25" customHeight="1">
      <c r="A77" s="57">
        <v>46056</v>
      </c>
      <c r="B77" s="58" t="s">
        <v>132</v>
      </c>
      <c r="C77" s="60" t="s">
        <v>137</v>
      </c>
      <c r="D77" s="61">
        <v>0.76041666666666663</v>
      </c>
      <c r="E77" s="61">
        <v>0.79166666666666663</v>
      </c>
      <c r="F77" s="65">
        <f t="shared" si="2"/>
        <v>3.125E-2</v>
      </c>
      <c r="G77" s="59">
        <f t="shared" si="3"/>
        <v>45</v>
      </c>
      <c r="H77" s="60"/>
      <c r="I77" s="70"/>
      <c r="J77" s="60"/>
      <c r="K77" s="60"/>
      <c r="L77" s="60"/>
    </row>
    <row r="78" spans="1:12" ht="14.25" customHeight="1">
      <c r="A78" s="57">
        <v>46056</v>
      </c>
      <c r="B78" s="58" t="s">
        <v>132</v>
      </c>
      <c r="C78" s="60" t="s">
        <v>137</v>
      </c>
      <c r="D78" s="61">
        <v>0.83680555555555547</v>
      </c>
      <c r="E78" s="61">
        <v>0.88194444444444453</v>
      </c>
      <c r="F78" s="65">
        <f t="shared" si="2"/>
        <v>4.5138888888889062E-2</v>
      </c>
      <c r="G78" s="59">
        <f t="shared" si="3"/>
        <v>65</v>
      </c>
      <c r="H78" s="70"/>
      <c r="I78" s="70"/>
      <c r="J78" s="60">
        <f>INT([2]DOWNTIME!$F78*1440)</f>
        <v>51</v>
      </c>
      <c r="K78" s="60"/>
      <c r="L78" s="60"/>
    </row>
    <row r="79" spans="1:12" ht="14.25" customHeight="1">
      <c r="A79" s="57">
        <v>46056</v>
      </c>
      <c r="B79" s="58" t="s">
        <v>132</v>
      </c>
      <c r="C79" s="60" t="s">
        <v>137</v>
      </c>
      <c r="D79" s="61">
        <v>0.90972222222222221</v>
      </c>
      <c r="E79" s="61">
        <v>0.93055555555555547</v>
      </c>
      <c r="F79" s="65">
        <f t="shared" si="2"/>
        <v>2.0833333333333259E-2</v>
      </c>
      <c r="G79" s="59">
        <f t="shared" si="3"/>
        <v>29</v>
      </c>
      <c r="H79" s="60"/>
      <c r="I79" s="70"/>
      <c r="J79" s="60"/>
      <c r="K79" s="60"/>
      <c r="L79" s="60"/>
    </row>
    <row r="80" spans="1:12" ht="14.25" customHeight="1">
      <c r="A80" s="57">
        <v>46056</v>
      </c>
      <c r="B80" s="58" t="s">
        <v>132</v>
      </c>
      <c r="C80" s="60" t="s">
        <v>137</v>
      </c>
      <c r="D80" s="61">
        <v>0.97916666666666663</v>
      </c>
      <c r="E80" s="61">
        <v>0.99652777777777779</v>
      </c>
      <c r="F80" s="65">
        <f t="shared" si="2"/>
        <v>1.736111111111116E-2</v>
      </c>
      <c r="G80" s="59">
        <f t="shared" si="3"/>
        <v>25</v>
      </c>
      <c r="H80" s="60"/>
      <c r="I80" s="70"/>
      <c r="J80" s="60"/>
      <c r="K80" s="60"/>
      <c r="L80" s="60"/>
    </row>
    <row r="81" spans="1:12" ht="14.25" customHeight="1">
      <c r="A81" s="57">
        <v>46056</v>
      </c>
      <c r="B81" s="58" t="s">
        <v>132</v>
      </c>
      <c r="C81" s="60" t="s">
        <v>137</v>
      </c>
      <c r="D81" s="61">
        <v>2.4305555555555556E-2</v>
      </c>
      <c r="E81" s="61">
        <v>8.6805555555555566E-2</v>
      </c>
      <c r="F81" s="65">
        <f t="shared" si="2"/>
        <v>6.2500000000000014E-2</v>
      </c>
      <c r="G81" s="59">
        <f t="shared" si="3"/>
        <v>90</v>
      </c>
      <c r="H81" s="60"/>
      <c r="I81" s="70"/>
      <c r="J81" s="60"/>
      <c r="K81" s="60"/>
      <c r="L81" s="60"/>
    </row>
    <row r="82" spans="1:12" ht="14.25" customHeight="1">
      <c r="A82" s="57">
        <v>46056</v>
      </c>
      <c r="B82" s="58" t="s">
        <v>132</v>
      </c>
      <c r="C82" s="60" t="s">
        <v>137</v>
      </c>
      <c r="D82" s="61">
        <v>0.25</v>
      </c>
      <c r="E82" s="61">
        <v>0.29166666666666669</v>
      </c>
      <c r="F82" s="65">
        <f t="shared" si="2"/>
        <v>4.1666666666666685E-2</v>
      </c>
      <c r="G82" s="59">
        <f t="shared" si="3"/>
        <v>60</v>
      </c>
      <c r="H82" s="60"/>
      <c r="I82" s="70"/>
      <c r="J82" s="60"/>
      <c r="K82" s="60"/>
      <c r="L82" s="60"/>
    </row>
    <row r="83" spans="1:12" ht="14.25" hidden="1" customHeight="1">
      <c r="A83" s="57">
        <v>46057</v>
      </c>
      <c r="B83" s="58" t="s">
        <v>132</v>
      </c>
      <c r="C83" s="60" t="s">
        <v>138</v>
      </c>
      <c r="D83" s="61">
        <v>0.33680555555555558</v>
      </c>
      <c r="E83" s="61">
        <v>0.34722222222222227</v>
      </c>
      <c r="F83" s="65">
        <f t="shared" si="2"/>
        <v>1.0416666666666685E-2</v>
      </c>
      <c r="G83" s="59">
        <f t="shared" si="3"/>
        <v>15</v>
      </c>
      <c r="H83" s="60"/>
      <c r="I83" s="70"/>
      <c r="J83" s="60"/>
      <c r="K83" s="60"/>
      <c r="L83" s="60" t="s">
        <v>142</v>
      </c>
    </row>
    <row r="84" spans="1:12" ht="14.25" customHeight="1">
      <c r="A84" s="57">
        <v>46057</v>
      </c>
      <c r="B84" s="58" t="s">
        <v>132</v>
      </c>
      <c r="C84" s="60" t="s">
        <v>137</v>
      </c>
      <c r="D84" s="61">
        <v>0.75</v>
      </c>
      <c r="E84" s="61">
        <v>0.79166666666666663</v>
      </c>
      <c r="F84" s="65">
        <f t="shared" si="2"/>
        <v>4.166666666666663E-2</v>
      </c>
      <c r="G84" s="59">
        <f t="shared" si="3"/>
        <v>59</v>
      </c>
      <c r="H84" s="60"/>
      <c r="I84" s="70"/>
      <c r="J84" s="60"/>
      <c r="K84" s="60"/>
      <c r="L84" s="60"/>
    </row>
    <row r="85" spans="1:12" ht="14.25" customHeight="1">
      <c r="A85" s="57">
        <v>46057</v>
      </c>
      <c r="B85" s="58" t="s">
        <v>132</v>
      </c>
      <c r="C85" s="60" t="s">
        <v>137</v>
      </c>
      <c r="D85" s="61">
        <v>0.79166666666666663</v>
      </c>
      <c r="E85" s="61">
        <v>0.86458333333333337</v>
      </c>
      <c r="F85" s="65">
        <f t="shared" si="2"/>
        <v>7.2916666666666741E-2</v>
      </c>
      <c r="G85" s="59">
        <f t="shared" si="3"/>
        <v>105</v>
      </c>
      <c r="H85" s="60"/>
      <c r="I85" s="70"/>
      <c r="J85" s="60"/>
      <c r="K85" s="60"/>
      <c r="L85" s="60"/>
    </row>
    <row r="86" spans="1:12" ht="14.25" customHeight="1">
      <c r="A86" s="57">
        <v>46057</v>
      </c>
      <c r="B86" s="58" t="s">
        <v>132</v>
      </c>
      <c r="C86" s="60" t="s">
        <v>137</v>
      </c>
      <c r="D86" s="61">
        <v>0.88888888888888884</v>
      </c>
      <c r="E86" s="61">
        <v>0.93055555555555547</v>
      </c>
      <c r="F86" s="65">
        <f t="shared" si="2"/>
        <v>4.166666666666663E-2</v>
      </c>
      <c r="G86" s="59">
        <f t="shared" si="3"/>
        <v>59</v>
      </c>
      <c r="H86" s="60"/>
      <c r="I86" s="70"/>
      <c r="J86" s="60"/>
      <c r="K86" s="60"/>
      <c r="L86" s="60"/>
    </row>
    <row r="87" spans="1:12" ht="14.25" customHeight="1">
      <c r="A87" s="72">
        <v>46058</v>
      </c>
      <c r="B87" s="58" t="s">
        <v>120</v>
      </c>
      <c r="C87" s="60" t="s">
        <v>137</v>
      </c>
      <c r="D87" s="61">
        <v>0.72222222222222221</v>
      </c>
      <c r="E87" s="61">
        <v>0.75694444444444453</v>
      </c>
      <c r="F87" s="65">
        <f t="shared" si="2"/>
        <v>3.4722222222222321E-2</v>
      </c>
      <c r="G87" s="59">
        <f t="shared" si="3"/>
        <v>50</v>
      </c>
      <c r="H87" s="70"/>
      <c r="I87" s="70"/>
      <c r="J87" s="60"/>
      <c r="K87" s="60"/>
      <c r="L87" s="60"/>
    </row>
    <row r="88" spans="1:12" ht="14.25" customHeight="1">
      <c r="A88" s="72">
        <v>46058</v>
      </c>
      <c r="B88" s="58" t="s">
        <v>120</v>
      </c>
      <c r="C88" s="60" t="s">
        <v>137</v>
      </c>
      <c r="D88" s="61">
        <v>0.79166666666666663</v>
      </c>
      <c r="E88" s="61">
        <v>0.8125</v>
      </c>
      <c r="F88" s="65">
        <f t="shared" si="2"/>
        <v>2.083333333333337E-2</v>
      </c>
      <c r="G88" s="59">
        <f t="shared" si="3"/>
        <v>30</v>
      </c>
      <c r="H88" s="70"/>
      <c r="I88" s="70"/>
      <c r="J88" s="60"/>
      <c r="K88" s="60"/>
      <c r="L88" s="60"/>
    </row>
    <row r="89" spans="1:12" ht="14.25" customHeight="1">
      <c r="A89" s="72">
        <v>46058</v>
      </c>
      <c r="B89" s="58" t="s">
        <v>120</v>
      </c>
      <c r="C89" s="60" t="s">
        <v>137</v>
      </c>
      <c r="D89" s="61">
        <v>0.8354166666666667</v>
      </c>
      <c r="E89" s="61">
        <v>0.89930555555555547</v>
      </c>
      <c r="F89" s="65">
        <f t="shared" si="2"/>
        <v>6.3888888888888773E-2</v>
      </c>
      <c r="G89" s="59">
        <f t="shared" si="3"/>
        <v>91</v>
      </c>
      <c r="H89" s="70"/>
      <c r="I89" s="70"/>
      <c r="J89" s="60"/>
      <c r="K89" s="60"/>
      <c r="L89" s="60"/>
    </row>
    <row r="90" spans="1:12" ht="14.25" hidden="1" customHeight="1">
      <c r="A90" s="72">
        <v>46058</v>
      </c>
      <c r="B90" s="58" t="s">
        <v>120</v>
      </c>
      <c r="C90" s="60" t="s">
        <v>138</v>
      </c>
      <c r="D90" s="61">
        <v>0.92013888888888884</v>
      </c>
      <c r="E90" s="61">
        <v>0.9375</v>
      </c>
      <c r="F90" s="65">
        <f t="shared" si="2"/>
        <v>1.736111111111116E-2</v>
      </c>
      <c r="G90" s="59">
        <f t="shared" si="3"/>
        <v>25</v>
      </c>
      <c r="H90" s="70"/>
      <c r="I90" s="70"/>
      <c r="J90" s="60"/>
      <c r="K90" s="60" t="s">
        <v>153</v>
      </c>
      <c r="L90" s="60" t="s">
        <v>154</v>
      </c>
    </row>
    <row r="91" spans="1:12" ht="14.25" customHeight="1">
      <c r="A91" s="72">
        <v>46058</v>
      </c>
      <c r="B91" s="58" t="s">
        <v>121</v>
      </c>
      <c r="C91" s="60" t="s">
        <v>137</v>
      </c>
      <c r="D91" s="61">
        <v>0.70833333333333337</v>
      </c>
      <c r="E91" s="61">
        <v>0.74305555555555547</v>
      </c>
      <c r="F91" s="65">
        <f t="shared" si="2"/>
        <v>3.4722222222222099E-2</v>
      </c>
      <c r="G91" s="59">
        <f t="shared" si="3"/>
        <v>49</v>
      </c>
      <c r="H91" s="70"/>
      <c r="I91" s="70"/>
      <c r="J91" s="60"/>
      <c r="K91" s="60"/>
      <c r="L91" s="60"/>
    </row>
    <row r="92" spans="1:12" ht="14.25" customHeight="1">
      <c r="A92" s="72">
        <v>46058</v>
      </c>
      <c r="B92" s="58" t="s">
        <v>121</v>
      </c>
      <c r="C92" s="60" t="s">
        <v>137</v>
      </c>
      <c r="D92" s="61">
        <v>0.86805555555555547</v>
      </c>
      <c r="E92" s="61">
        <v>0.89583333333333337</v>
      </c>
      <c r="F92" s="65">
        <f t="shared" si="2"/>
        <v>2.7777777777777901E-2</v>
      </c>
      <c r="G92" s="59">
        <f t="shared" si="3"/>
        <v>40</v>
      </c>
      <c r="H92" s="70"/>
      <c r="I92" s="70"/>
      <c r="J92" s="60"/>
      <c r="K92" s="60"/>
      <c r="L92" s="60"/>
    </row>
    <row r="93" spans="1:12" ht="14.25" customHeight="1">
      <c r="A93" s="72">
        <v>46058</v>
      </c>
      <c r="B93" s="58" t="s">
        <v>121</v>
      </c>
      <c r="C93" s="60" t="s">
        <v>137</v>
      </c>
      <c r="D93" s="61">
        <v>3.125E-2</v>
      </c>
      <c r="E93" s="61">
        <v>5.5555555555555552E-2</v>
      </c>
      <c r="F93" s="65">
        <f t="shared" si="2"/>
        <v>2.4305555555555552E-2</v>
      </c>
      <c r="G93" s="59">
        <f t="shared" si="3"/>
        <v>35</v>
      </c>
      <c r="H93" s="70"/>
      <c r="I93" s="70"/>
      <c r="J93" s="60"/>
      <c r="K93" s="60"/>
      <c r="L93" s="60"/>
    </row>
    <row r="94" spans="1:12" ht="14.25" customHeight="1">
      <c r="A94" s="72">
        <v>46058</v>
      </c>
      <c r="B94" s="58" t="s">
        <v>121</v>
      </c>
      <c r="C94" s="60" t="s">
        <v>137</v>
      </c>
      <c r="D94" s="61">
        <v>8.6805555555555566E-2</v>
      </c>
      <c r="E94" s="61">
        <v>0.11458333333333333</v>
      </c>
      <c r="F94" s="65">
        <f t="shared" si="2"/>
        <v>2.7777777777777762E-2</v>
      </c>
      <c r="G94" s="59">
        <f t="shared" si="3"/>
        <v>40</v>
      </c>
      <c r="H94" s="70"/>
      <c r="I94" s="70"/>
      <c r="J94" s="60"/>
      <c r="K94" s="60"/>
      <c r="L94" s="60"/>
    </row>
    <row r="95" spans="1:12" ht="14.25" customHeight="1">
      <c r="A95" s="72">
        <v>46058</v>
      </c>
      <c r="B95" s="58" t="s">
        <v>122</v>
      </c>
      <c r="C95" s="60" t="s">
        <v>137</v>
      </c>
      <c r="D95" s="61">
        <v>0.79166666666666663</v>
      </c>
      <c r="E95" s="61">
        <v>0.79166666666666663</v>
      </c>
      <c r="F95" s="65">
        <f t="shared" si="2"/>
        <v>0</v>
      </c>
      <c r="G95" s="59">
        <f t="shared" si="3"/>
        <v>0</v>
      </c>
      <c r="H95" s="70"/>
      <c r="I95" s="70"/>
      <c r="J95" s="60"/>
      <c r="K95" s="60"/>
      <c r="L95" s="60"/>
    </row>
    <row r="96" spans="1:12" ht="14.25" hidden="1" customHeight="1">
      <c r="A96" s="72">
        <v>46058</v>
      </c>
      <c r="B96" s="58" t="s">
        <v>122</v>
      </c>
      <c r="C96" s="60" t="s">
        <v>140</v>
      </c>
      <c r="D96" s="61">
        <v>0.82638888888888884</v>
      </c>
      <c r="E96" s="61">
        <v>0.82986111111111116</v>
      </c>
      <c r="F96" s="65">
        <f t="shared" si="2"/>
        <v>3.4722222222223209E-3</v>
      </c>
      <c r="G96" s="59">
        <f t="shared" si="3"/>
        <v>5</v>
      </c>
      <c r="H96" s="70"/>
      <c r="I96" s="70"/>
      <c r="J96" s="60"/>
      <c r="K96" s="60"/>
      <c r="L96" s="60"/>
    </row>
    <row r="97" spans="1:12" ht="14.25" customHeight="1">
      <c r="A97" s="72">
        <v>46058</v>
      </c>
      <c r="B97" s="58" t="s">
        <v>122</v>
      </c>
      <c r="C97" s="60" t="s">
        <v>137</v>
      </c>
      <c r="D97" s="61">
        <v>0.86458333333333337</v>
      </c>
      <c r="E97" s="61">
        <v>0.89236111111111116</v>
      </c>
      <c r="F97" s="65">
        <f t="shared" si="2"/>
        <v>2.777777777777779E-2</v>
      </c>
      <c r="G97" s="59">
        <f t="shared" si="3"/>
        <v>40</v>
      </c>
      <c r="H97" s="70"/>
      <c r="I97" s="70"/>
      <c r="J97" s="60"/>
      <c r="K97" s="60"/>
      <c r="L97" s="60"/>
    </row>
    <row r="98" spans="1:12" ht="14.25" hidden="1" customHeight="1">
      <c r="A98" s="72">
        <v>46058</v>
      </c>
      <c r="B98" s="58" t="s">
        <v>123</v>
      </c>
      <c r="C98" s="60" t="s">
        <v>138</v>
      </c>
      <c r="D98" s="61">
        <v>0.50694444444444442</v>
      </c>
      <c r="E98" s="61">
        <v>0.5625</v>
      </c>
      <c r="F98" s="65">
        <f t="shared" si="2"/>
        <v>5.555555555555558E-2</v>
      </c>
      <c r="G98" s="59">
        <f t="shared" si="3"/>
        <v>80</v>
      </c>
      <c r="H98" s="70"/>
      <c r="I98" s="70"/>
      <c r="J98" s="60"/>
      <c r="K98" s="60" t="s">
        <v>155</v>
      </c>
      <c r="L98" s="60"/>
    </row>
    <row r="99" spans="1:12" ht="14.25" customHeight="1">
      <c r="A99" s="72">
        <v>46058</v>
      </c>
      <c r="B99" s="58" t="s">
        <v>123</v>
      </c>
      <c r="C99" s="60" t="s">
        <v>137</v>
      </c>
      <c r="D99" s="61">
        <v>0.79166666666666663</v>
      </c>
      <c r="E99" s="65">
        <v>0.79861111111111116</v>
      </c>
      <c r="F99" s="65">
        <f t="shared" si="2"/>
        <v>6.9444444444445308E-3</v>
      </c>
      <c r="G99" s="59">
        <f t="shared" si="3"/>
        <v>10</v>
      </c>
      <c r="H99" s="70"/>
      <c r="I99" s="70"/>
      <c r="J99" s="60"/>
      <c r="K99" s="60"/>
      <c r="L99" s="60"/>
    </row>
    <row r="100" spans="1:12" ht="14.25" customHeight="1">
      <c r="A100" s="72">
        <v>46058</v>
      </c>
      <c r="B100" s="58" t="s">
        <v>123</v>
      </c>
      <c r="C100" s="60" t="s">
        <v>137</v>
      </c>
      <c r="D100" s="61">
        <v>0.87847222222222221</v>
      </c>
      <c r="E100" s="61">
        <v>0.88888888888888884</v>
      </c>
      <c r="F100" s="65">
        <f t="shared" si="2"/>
        <v>1.041666666666663E-2</v>
      </c>
      <c r="G100" s="59">
        <f t="shared" si="3"/>
        <v>14</v>
      </c>
      <c r="H100" s="70"/>
      <c r="I100" s="70"/>
      <c r="J100" s="60"/>
      <c r="K100" s="60"/>
      <c r="L100" s="60"/>
    </row>
    <row r="101" spans="1:12" ht="14.25" customHeight="1">
      <c r="A101" s="72">
        <v>46058</v>
      </c>
      <c r="B101" s="58" t="s">
        <v>123</v>
      </c>
      <c r="C101" s="60" t="s">
        <v>137</v>
      </c>
      <c r="D101" s="61">
        <v>0.95138888888888884</v>
      </c>
      <c r="E101" s="61">
        <v>0.96875</v>
      </c>
      <c r="F101" s="65">
        <f t="shared" si="2"/>
        <v>1.736111111111116E-2</v>
      </c>
      <c r="G101" s="59">
        <f t="shared" si="3"/>
        <v>25</v>
      </c>
      <c r="H101" s="70"/>
      <c r="I101" s="70"/>
      <c r="J101" s="60"/>
      <c r="K101" s="60"/>
      <c r="L101" s="60"/>
    </row>
    <row r="102" spans="1:12" ht="14.25" customHeight="1">
      <c r="A102" s="72">
        <v>46058</v>
      </c>
      <c r="B102" s="58" t="s">
        <v>123</v>
      </c>
      <c r="C102" s="60" t="s">
        <v>137</v>
      </c>
      <c r="D102" s="61">
        <v>2.0833333333333332E-2</v>
      </c>
      <c r="E102" s="61">
        <v>3.8194444444444441E-2</v>
      </c>
      <c r="F102" s="65">
        <f t="shared" si="2"/>
        <v>1.7361111111111108E-2</v>
      </c>
      <c r="G102" s="59">
        <f t="shared" si="3"/>
        <v>25</v>
      </c>
      <c r="H102" s="70"/>
      <c r="I102" s="70"/>
      <c r="J102" s="60"/>
      <c r="K102" s="60"/>
      <c r="L102" s="60"/>
    </row>
    <row r="103" spans="1:12" ht="14.25" customHeight="1">
      <c r="A103" s="72">
        <v>46058</v>
      </c>
      <c r="B103" s="58" t="s">
        <v>123</v>
      </c>
      <c r="C103" s="60" t="s">
        <v>137</v>
      </c>
      <c r="D103" s="61">
        <v>6.458333333333334E-2</v>
      </c>
      <c r="E103" s="61">
        <v>0.10416666666666667</v>
      </c>
      <c r="F103" s="65">
        <f t="shared" si="2"/>
        <v>3.9583333333333331E-2</v>
      </c>
      <c r="G103" s="59">
        <f t="shared" si="3"/>
        <v>57</v>
      </c>
      <c r="H103" s="70"/>
      <c r="I103" s="70"/>
      <c r="J103" s="60">
        <f>INT([2]DOWNTIME!$F103*1440)</f>
        <v>60</v>
      </c>
      <c r="K103" s="60"/>
      <c r="L103" s="60"/>
    </row>
    <row r="104" spans="1:12" ht="14.25" customHeight="1">
      <c r="A104" s="72">
        <v>46058</v>
      </c>
      <c r="B104" s="58" t="s">
        <v>124</v>
      </c>
      <c r="C104" s="60" t="s">
        <v>137</v>
      </c>
      <c r="D104" s="61">
        <v>0.2986111111111111</v>
      </c>
      <c r="E104" s="61">
        <v>0.32291666666666669</v>
      </c>
      <c r="F104" s="65">
        <f t="shared" si="2"/>
        <v>2.430555555555558E-2</v>
      </c>
      <c r="G104" s="59">
        <f t="shared" si="3"/>
        <v>35</v>
      </c>
      <c r="H104" s="70"/>
      <c r="I104" s="70"/>
      <c r="J104" s="60"/>
      <c r="K104" s="60"/>
      <c r="L104" s="60"/>
    </row>
    <row r="105" spans="1:12" ht="14.25" hidden="1" customHeight="1">
      <c r="A105" s="72">
        <v>46058</v>
      </c>
      <c r="B105" s="58" t="s">
        <v>124</v>
      </c>
      <c r="C105" s="60" t="s">
        <v>138</v>
      </c>
      <c r="D105" s="61">
        <v>0.34375</v>
      </c>
      <c r="E105" s="61">
        <v>0.375</v>
      </c>
      <c r="F105" s="65">
        <f t="shared" si="2"/>
        <v>3.125E-2</v>
      </c>
      <c r="G105" s="59">
        <f t="shared" si="3"/>
        <v>45</v>
      </c>
      <c r="H105" s="70"/>
      <c r="I105" s="70"/>
      <c r="J105" s="60"/>
      <c r="K105" s="60" t="s">
        <v>155</v>
      </c>
      <c r="L105" s="73"/>
    </row>
    <row r="106" spans="1:12" ht="14.25" hidden="1" customHeight="1">
      <c r="A106" s="72">
        <v>46058</v>
      </c>
      <c r="B106" s="58" t="s">
        <v>124</v>
      </c>
      <c r="C106" s="60" t="s">
        <v>138</v>
      </c>
      <c r="D106" s="61">
        <v>0.39583333333333331</v>
      </c>
      <c r="E106" s="61">
        <v>0.40972222222222227</v>
      </c>
      <c r="F106" s="65">
        <f t="shared" si="2"/>
        <v>1.3888888888888951E-2</v>
      </c>
      <c r="G106" s="59">
        <f t="shared" si="3"/>
        <v>20</v>
      </c>
      <c r="H106" s="70"/>
      <c r="I106" s="70"/>
      <c r="J106" s="60"/>
      <c r="K106" s="60"/>
      <c r="L106" s="60"/>
    </row>
    <row r="107" spans="1:12" ht="14.25" customHeight="1">
      <c r="A107" s="72">
        <v>46058</v>
      </c>
      <c r="B107" s="58" t="s">
        <v>124</v>
      </c>
      <c r="C107" s="60" t="s">
        <v>137</v>
      </c>
      <c r="D107" s="61">
        <v>0.84375</v>
      </c>
      <c r="E107" s="61">
        <v>0.87152777777777779</v>
      </c>
      <c r="F107" s="65">
        <f t="shared" si="2"/>
        <v>2.777777777777779E-2</v>
      </c>
      <c r="G107" s="59">
        <f t="shared" si="3"/>
        <v>40</v>
      </c>
      <c r="H107" s="70"/>
      <c r="I107" s="70"/>
      <c r="J107" s="60"/>
      <c r="K107" s="60"/>
      <c r="L107" s="60"/>
    </row>
    <row r="108" spans="1:12" ht="14.25" hidden="1" customHeight="1">
      <c r="A108" s="72">
        <v>46058</v>
      </c>
      <c r="B108" s="58" t="s">
        <v>124</v>
      </c>
      <c r="C108" s="60" t="s">
        <v>140</v>
      </c>
      <c r="D108" s="61">
        <v>2.0833333333333332E-2</v>
      </c>
      <c r="E108" s="61">
        <v>2.4305555555555556E-2</v>
      </c>
      <c r="F108" s="65">
        <f t="shared" si="2"/>
        <v>3.4722222222222238E-3</v>
      </c>
      <c r="G108" s="59">
        <f t="shared" si="3"/>
        <v>5</v>
      </c>
      <c r="H108" s="70"/>
      <c r="I108" s="70"/>
      <c r="J108" s="60"/>
      <c r="K108" s="60"/>
      <c r="L108" s="60"/>
    </row>
    <row r="109" spans="1:12" ht="14.25" hidden="1" customHeight="1">
      <c r="A109" s="72">
        <v>46058</v>
      </c>
      <c r="B109" s="58" t="s">
        <v>132</v>
      </c>
      <c r="C109" s="60" t="s">
        <v>138</v>
      </c>
      <c r="D109" s="61">
        <v>0.3923611111111111</v>
      </c>
      <c r="E109" s="61">
        <v>0.40277777777777773</v>
      </c>
      <c r="F109" s="65">
        <f t="shared" si="2"/>
        <v>1.041666666666663E-2</v>
      </c>
      <c r="G109" s="59">
        <f t="shared" si="3"/>
        <v>14</v>
      </c>
      <c r="H109" s="70"/>
      <c r="I109" s="70"/>
      <c r="J109" s="60"/>
      <c r="K109" s="60" t="s">
        <v>156</v>
      </c>
      <c r="L109" s="60"/>
    </row>
    <row r="110" spans="1:12" ht="14.25" hidden="1" customHeight="1">
      <c r="A110" s="72">
        <v>46058</v>
      </c>
      <c r="B110" s="58" t="s">
        <v>132</v>
      </c>
      <c r="C110" s="60" t="s">
        <v>138</v>
      </c>
      <c r="D110" s="61">
        <v>0.60763888888888895</v>
      </c>
      <c r="E110" s="61">
        <v>0.63541666666666663</v>
      </c>
      <c r="F110" s="65">
        <f t="shared" si="2"/>
        <v>2.7777777777777679E-2</v>
      </c>
      <c r="G110" s="59">
        <f t="shared" si="3"/>
        <v>39</v>
      </c>
      <c r="H110" s="70"/>
      <c r="I110" s="70"/>
      <c r="J110" s="60"/>
      <c r="K110" s="60" t="s">
        <v>157</v>
      </c>
      <c r="L110" s="60"/>
    </row>
    <row r="111" spans="1:12" ht="14.25" hidden="1" customHeight="1">
      <c r="A111" s="72">
        <v>46058</v>
      </c>
      <c r="B111" s="58" t="s">
        <v>132</v>
      </c>
      <c r="C111" s="60" t="s">
        <v>138</v>
      </c>
      <c r="D111" s="61">
        <v>0.70833333333333337</v>
      </c>
      <c r="E111" s="61">
        <v>0.72569444444444453</v>
      </c>
      <c r="F111" s="65">
        <f t="shared" si="2"/>
        <v>1.736111111111116E-2</v>
      </c>
      <c r="G111" s="59">
        <f t="shared" si="3"/>
        <v>25</v>
      </c>
      <c r="H111" s="70"/>
      <c r="I111" s="70"/>
      <c r="J111" s="60"/>
      <c r="K111" s="60" t="s">
        <v>157</v>
      </c>
      <c r="L111" s="60"/>
    </row>
    <row r="112" spans="1:12" ht="14.25" customHeight="1">
      <c r="A112" s="72">
        <v>46058</v>
      </c>
      <c r="B112" s="58" t="s">
        <v>132</v>
      </c>
      <c r="C112" s="60" t="s">
        <v>137</v>
      </c>
      <c r="D112" s="61">
        <v>0.88541666666666663</v>
      </c>
      <c r="E112" s="61">
        <v>0.91666666666666663</v>
      </c>
      <c r="F112" s="65">
        <f t="shared" si="2"/>
        <v>3.125E-2</v>
      </c>
      <c r="G112" s="59">
        <f t="shared" si="3"/>
        <v>45</v>
      </c>
      <c r="H112" s="70"/>
      <c r="I112" s="70"/>
      <c r="J112" s="60"/>
      <c r="K112" s="60"/>
      <c r="L112" s="60"/>
    </row>
    <row r="113" spans="1:12" ht="14.25" customHeight="1">
      <c r="A113" s="72">
        <v>46059</v>
      </c>
      <c r="B113" s="58" t="s">
        <v>120</v>
      </c>
      <c r="C113" s="60" t="s">
        <v>137</v>
      </c>
      <c r="D113" s="61">
        <v>0.60416666666666663</v>
      </c>
      <c r="E113" s="61">
        <v>0.66666666666666663</v>
      </c>
      <c r="F113" s="65">
        <f t="shared" si="2"/>
        <v>6.25E-2</v>
      </c>
      <c r="G113" s="59">
        <f t="shared" si="3"/>
        <v>90</v>
      </c>
      <c r="H113" s="70"/>
      <c r="I113" s="70"/>
      <c r="J113" s="60"/>
      <c r="K113" s="60"/>
      <c r="L113" s="60"/>
    </row>
    <row r="114" spans="1:12" ht="14.25" customHeight="1">
      <c r="A114" s="72">
        <v>46059</v>
      </c>
      <c r="B114" s="58" t="s">
        <v>120</v>
      </c>
      <c r="C114" s="60" t="s">
        <v>137</v>
      </c>
      <c r="D114" s="61">
        <v>0.75</v>
      </c>
      <c r="E114" s="61">
        <v>0.79166666666666663</v>
      </c>
      <c r="F114" s="65">
        <f t="shared" si="2"/>
        <v>4.166666666666663E-2</v>
      </c>
      <c r="G114" s="59">
        <f t="shared" si="3"/>
        <v>59</v>
      </c>
      <c r="H114" s="70"/>
      <c r="I114" s="70"/>
      <c r="J114" s="60"/>
      <c r="K114" s="60"/>
      <c r="L114" s="60"/>
    </row>
    <row r="115" spans="1:12" ht="14.25" customHeight="1">
      <c r="A115" s="72">
        <v>46059</v>
      </c>
      <c r="B115" s="58" t="s">
        <v>120</v>
      </c>
      <c r="C115" s="60" t="s">
        <v>137</v>
      </c>
      <c r="D115" s="61">
        <v>0.88194444444444453</v>
      </c>
      <c r="E115" s="61">
        <v>0.92708333333333337</v>
      </c>
      <c r="F115" s="65">
        <f t="shared" si="2"/>
        <v>4.513888888888884E-2</v>
      </c>
      <c r="G115" s="59">
        <f t="shared" si="3"/>
        <v>64</v>
      </c>
      <c r="H115" s="70"/>
      <c r="I115" s="70"/>
      <c r="J115" s="60"/>
      <c r="K115" s="60"/>
      <c r="L115" s="60"/>
    </row>
    <row r="116" spans="1:12" ht="14.25" customHeight="1">
      <c r="A116" s="72">
        <v>46059</v>
      </c>
      <c r="B116" s="58" t="s">
        <v>120</v>
      </c>
      <c r="C116" s="60" t="s">
        <v>137</v>
      </c>
      <c r="D116" s="61">
        <v>0.99652777777777779</v>
      </c>
      <c r="E116" s="61">
        <v>1.0277777777777779</v>
      </c>
      <c r="F116" s="65">
        <f t="shared" si="2"/>
        <v>3.1250000000000111E-2</v>
      </c>
      <c r="G116" s="59">
        <f t="shared" si="3"/>
        <v>45</v>
      </c>
      <c r="H116" s="70"/>
      <c r="I116" s="70"/>
      <c r="J116" s="60"/>
      <c r="K116" s="60"/>
      <c r="L116" s="60"/>
    </row>
    <row r="117" spans="1:12" ht="14.25" customHeight="1">
      <c r="A117" s="72">
        <v>46059</v>
      </c>
      <c r="B117" s="58" t="s">
        <v>120</v>
      </c>
      <c r="C117" s="60" t="s">
        <v>137</v>
      </c>
      <c r="D117" s="61">
        <v>7.6388888888888895E-2</v>
      </c>
      <c r="E117" s="61">
        <v>9.0277777777777776E-2</v>
      </c>
      <c r="F117" s="65">
        <f t="shared" si="2"/>
        <v>1.3888888888888881E-2</v>
      </c>
      <c r="G117" s="59">
        <f t="shared" si="3"/>
        <v>20</v>
      </c>
      <c r="H117" s="70"/>
      <c r="I117" s="70"/>
      <c r="J117" s="60"/>
      <c r="K117" s="60"/>
      <c r="L117" s="60"/>
    </row>
    <row r="118" spans="1:12" ht="14.25" hidden="1" customHeight="1">
      <c r="A118" s="72">
        <v>46060</v>
      </c>
      <c r="B118" s="58" t="s">
        <v>120</v>
      </c>
      <c r="C118" s="60" t="s">
        <v>158</v>
      </c>
      <c r="D118" s="61">
        <v>0.22222222222222221</v>
      </c>
      <c r="E118" s="61">
        <v>0.25347222222222221</v>
      </c>
      <c r="F118" s="65">
        <f t="shared" si="2"/>
        <v>3.125E-2</v>
      </c>
      <c r="G118" s="59">
        <f t="shared" si="3"/>
        <v>45</v>
      </c>
      <c r="H118" s="70"/>
      <c r="I118" s="70"/>
      <c r="J118" s="60"/>
      <c r="K118" s="60"/>
      <c r="L118" s="60"/>
    </row>
    <row r="119" spans="1:12" ht="14.25" customHeight="1">
      <c r="A119" s="72">
        <v>46060</v>
      </c>
      <c r="B119" s="58" t="s">
        <v>121</v>
      </c>
      <c r="C119" s="60" t="s">
        <v>137</v>
      </c>
      <c r="D119" s="61">
        <v>0.63541666666666663</v>
      </c>
      <c r="E119" s="61">
        <v>0.64930555555555558</v>
      </c>
      <c r="F119" s="65">
        <f t="shared" si="2"/>
        <v>1.3888888888888951E-2</v>
      </c>
      <c r="G119" s="59">
        <f t="shared" si="3"/>
        <v>20</v>
      </c>
      <c r="H119" s="70"/>
      <c r="I119" s="70"/>
      <c r="J119" s="60"/>
      <c r="K119" s="60"/>
      <c r="L119" s="60"/>
    </row>
    <row r="120" spans="1:12" ht="14.25" customHeight="1">
      <c r="A120" s="72">
        <v>46060</v>
      </c>
      <c r="B120" s="58" t="s">
        <v>121</v>
      </c>
      <c r="C120" s="60" t="s">
        <v>137</v>
      </c>
      <c r="D120" s="61">
        <v>0.73611111111111116</v>
      </c>
      <c r="E120" s="61">
        <v>0.75</v>
      </c>
      <c r="F120" s="65">
        <f t="shared" si="2"/>
        <v>1.388888888888884E-2</v>
      </c>
      <c r="G120" s="59">
        <f t="shared" si="3"/>
        <v>19</v>
      </c>
      <c r="H120" s="70"/>
      <c r="I120" s="70"/>
      <c r="J120" s="60"/>
      <c r="K120" s="60"/>
      <c r="L120" s="60"/>
    </row>
    <row r="121" spans="1:12" ht="14.25" customHeight="1">
      <c r="A121" s="72">
        <v>46060</v>
      </c>
      <c r="B121" s="58" t="s">
        <v>121</v>
      </c>
      <c r="C121" s="60" t="s">
        <v>137</v>
      </c>
      <c r="D121" s="61">
        <v>0.80902777777777779</v>
      </c>
      <c r="E121" s="61">
        <v>0.97569444444444453</v>
      </c>
      <c r="F121" s="65">
        <f t="shared" si="2"/>
        <v>0.16666666666666674</v>
      </c>
      <c r="G121" s="59">
        <f t="shared" si="3"/>
        <v>240</v>
      </c>
      <c r="H121" s="70"/>
      <c r="I121" s="70"/>
      <c r="J121" s="60"/>
      <c r="K121" s="60"/>
      <c r="L121" s="60"/>
    </row>
    <row r="122" spans="1:12" ht="14.25" customHeight="1">
      <c r="A122" s="72">
        <v>46060</v>
      </c>
      <c r="B122" s="58" t="s">
        <v>122</v>
      </c>
      <c r="C122" s="60" t="s">
        <v>137</v>
      </c>
      <c r="D122" s="61">
        <v>0.84722222222222221</v>
      </c>
      <c r="E122" s="61">
        <v>0.875</v>
      </c>
      <c r="F122" s="65">
        <f t="shared" si="2"/>
        <v>2.777777777777779E-2</v>
      </c>
      <c r="G122" s="59">
        <f t="shared" si="3"/>
        <v>40</v>
      </c>
      <c r="H122" s="70"/>
      <c r="I122" s="70"/>
      <c r="J122" s="60"/>
      <c r="K122" s="60"/>
      <c r="L122" s="60"/>
    </row>
    <row r="123" spans="1:12" ht="14.25" customHeight="1">
      <c r="A123" s="72">
        <v>46060</v>
      </c>
      <c r="B123" s="58" t="s">
        <v>122</v>
      </c>
      <c r="C123" s="60" t="s">
        <v>137</v>
      </c>
      <c r="D123" s="61">
        <v>6.9444444444444441E-3</v>
      </c>
      <c r="E123" s="61">
        <v>3.4722222222222224E-2</v>
      </c>
      <c r="F123" s="65">
        <f t="shared" si="2"/>
        <v>2.777777777777778E-2</v>
      </c>
      <c r="G123" s="59">
        <f t="shared" si="3"/>
        <v>40</v>
      </c>
      <c r="H123" s="70"/>
      <c r="I123" s="70"/>
      <c r="J123" s="60"/>
      <c r="K123" s="60"/>
      <c r="L123" s="60"/>
    </row>
    <row r="124" spans="1:12" ht="14.25" hidden="1" customHeight="1">
      <c r="A124" s="72">
        <v>46060</v>
      </c>
      <c r="B124" s="58" t="s">
        <v>122</v>
      </c>
      <c r="C124" s="60" t="s">
        <v>143</v>
      </c>
      <c r="D124" s="61">
        <v>0.88541666666666663</v>
      </c>
      <c r="E124" s="61">
        <v>0.89236111111111116</v>
      </c>
      <c r="F124" s="65">
        <f t="shared" si="2"/>
        <v>6.9444444444445308E-3</v>
      </c>
      <c r="G124" s="59">
        <f t="shared" si="3"/>
        <v>10</v>
      </c>
      <c r="H124" s="70"/>
      <c r="I124" s="70"/>
      <c r="J124" s="60">
        <f>INT([2]DOWNTIME!$F124*1440)</f>
        <v>50</v>
      </c>
      <c r="K124" s="60"/>
      <c r="L124" s="60"/>
    </row>
    <row r="125" spans="1:12" ht="14.25" hidden="1" customHeight="1">
      <c r="A125" s="72">
        <v>46060</v>
      </c>
      <c r="B125" s="58" t="s">
        <v>122</v>
      </c>
      <c r="C125" s="60" t="s">
        <v>148</v>
      </c>
      <c r="D125" s="61">
        <v>7.9861111111111105E-2</v>
      </c>
      <c r="E125" s="61">
        <v>9.0277777777777776E-2</v>
      </c>
      <c r="F125" s="65">
        <f t="shared" si="2"/>
        <v>1.0416666666666671E-2</v>
      </c>
      <c r="G125" s="59">
        <f t="shared" si="3"/>
        <v>15</v>
      </c>
      <c r="H125" s="70"/>
      <c r="I125" s="70"/>
      <c r="J125" s="60">
        <f>INT([2]DOWNTIME!$F125*1440)</f>
        <v>30</v>
      </c>
      <c r="K125" s="60"/>
      <c r="L125" s="60"/>
    </row>
    <row r="126" spans="1:12" ht="14.25" hidden="1" customHeight="1">
      <c r="A126" s="72">
        <v>46060</v>
      </c>
      <c r="B126" s="58" t="s">
        <v>122</v>
      </c>
      <c r="C126" s="60" t="s">
        <v>143</v>
      </c>
      <c r="D126" s="61">
        <v>0.1875</v>
      </c>
      <c r="E126" s="61">
        <v>0.20138888888888887</v>
      </c>
      <c r="F126" s="65">
        <f t="shared" si="2"/>
        <v>1.3888888888888867E-2</v>
      </c>
      <c r="G126" s="59">
        <f t="shared" si="3"/>
        <v>20</v>
      </c>
      <c r="H126" s="70"/>
      <c r="I126" s="70"/>
      <c r="J126" s="60"/>
      <c r="K126" s="60"/>
      <c r="L126" s="60"/>
    </row>
    <row r="127" spans="1:12" ht="14.25" customHeight="1">
      <c r="A127" s="72">
        <v>46059</v>
      </c>
      <c r="B127" s="58" t="s">
        <v>123</v>
      </c>
      <c r="C127" s="60" t="s">
        <v>137</v>
      </c>
      <c r="D127" s="61">
        <v>0.79166666666666663</v>
      </c>
      <c r="E127" s="61">
        <v>0.80902777777777779</v>
      </c>
      <c r="F127" s="65">
        <f t="shared" si="2"/>
        <v>1.736111111111116E-2</v>
      </c>
      <c r="G127" s="59">
        <f>INT(F127*1440)</f>
        <v>25</v>
      </c>
      <c r="H127" s="70"/>
      <c r="I127" s="70"/>
      <c r="J127" s="60"/>
      <c r="K127" s="60"/>
      <c r="L127" s="60"/>
    </row>
    <row r="128" spans="1:12">
      <c r="A128" s="72">
        <v>46059</v>
      </c>
      <c r="B128" s="58" t="s">
        <v>123</v>
      </c>
      <c r="C128" s="60" t="s">
        <v>137</v>
      </c>
      <c r="D128" s="61">
        <v>0.83333333333333337</v>
      </c>
      <c r="E128" s="61">
        <v>0.85763888888888884</v>
      </c>
      <c r="F128" s="65">
        <f t="shared" si="2"/>
        <v>2.4305555555555469E-2</v>
      </c>
      <c r="G128" s="59">
        <f t="shared" si="3"/>
        <v>34</v>
      </c>
      <c r="H128" s="70"/>
      <c r="I128" s="70"/>
      <c r="J128" s="60"/>
      <c r="K128" s="60"/>
      <c r="L128" s="60"/>
    </row>
    <row r="129" spans="1:12" ht="14.25" customHeight="1">
      <c r="A129" s="72">
        <v>46059</v>
      </c>
      <c r="B129" s="58" t="s">
        <v>123</v>
      </c>
      <c r="C129" s="60" t="s">
        <v>137</v>
      </c>
      <c r="D129" s="61">
        <v>0.92222222222222217</v>
      </c>
      <c r="E129" s="61">
        <v>0.9375</v>
      </c>
      <c r="F129" s="65">
        <f t="shared" si="2"/>
        <v>1.5277777777777835E-2</v>
      </c>
      <c r="G129" s="59">
        <f t="shared" si="3"/>
        <v>22</v>
      </c>
      <c r="H129" s="70"/>
      <c r="I129" s="70"/>
      <c r="J129" s="60"/>
      <c r="K129" s="60"/>
      <c r="L129" s="60"/>
    </row>
    <row r="130" spans="1:12" ht="14.25" customHeight="1">
      <c r="A130" s="72">
        <v>46059</v>
      </c>
      <c r="B130" s="58" t="s">
        <v>123</v>
      </c>
      <c r="C130" s="60" t="s">
        <v>137</v>
      </c>
      <c r="D130" s="61">
        <v>0</v>
      </c>
      <c r="E130" s="61">
        <v>6.25E-2</v>
      </c>
      <c r="F130" s="65">
        <f t="shared" si="2"/>
        <v>6.25E-2</v>
      </c>
      <c r="G130" s="59">
        <f t="shared" si="3"/>
        <v>90</v>
      </c>
      <c r="H130" s="70"/>
      <c r="I130" s="70"/>
      <c r="J130" s="60"/>
      <c r="K130" s="60"/>
      <c r="L130" s="60"/>
    </row>
    <row r="131" spans="1:12" ht="14.25" hidden="1" customHeight="1">
      <c r="A131" s="72">
        <v>46059</v>
      </c>
      <c r="B131" s="58" t="s">
        <v>123</v>
      </c>
      <c r="C131" s="60" t="s">
        <v>143</v>
      </c>
      <c r="D131" s="61">
        <v>0.91666666666666663</v>
      </c>
      <c r="E131" s="61">
        <v>0.98611111111111116</v>
      </c>
      <c r="F131" s="65">
        <f t="shared" ref="F131:F194" si="4">+(E131-D131)</f>
        <v>6.9444444444444531E-2</v>
      </c>
      <c r="G131" s="59">
        <f t="shared" ref="G131:G162" si="5">INT(F131*1440)</f>
        <v>100</v>
      </c>
      <c r="H131" s="70"/>
      <c r="I131" s="70"/>
      <c r="J131" s="60"/>
      <c r="K131" s="60"/>
      <c r="L131" s="60"/>
    </row>
    <row r="132" spans="1:12" ht="14.25" hidden="1" customHeight="1">
      <c r="A132" s="72">
        <v>46060</v>
      </c>
      <c r="B132" s="58" t="s">
        <v>123</v>
      </c>
      <c r="C132" s="60" t="s">
        <v>138</v>
      </c>
      <c r="D132" s="61">
        <v>0.49305555555555558</v>
      </c>
      <c r="E132" s="61">
        <v>0.50694444444444442</v>
      </c>
      <c r="F132" s="65">
        <f t="shared" si="4"/>
        <v>1.388888888888884E-2</v>
      </c>
      <c r="G132" s="59">
        <f t="shared" si="5"/>
        <v>19</v>
      </c>
      <c r="H132" s="70"/>
      <c r="I132" s="70"/>
      <c r="J132" s="60"/>
      <c r="K132" s="60" t="s">
        <v>159</v>
      </c>
      <c r="L132" s="60" t="s">
        <v>160</v>
      </c>
    </row>
    <row r="133" spans="1:12" ht="14.25" hidden="1" customHeight="1">
      <c r="A133" s="72">
        <v>46060</v>
      </c>
      <c r="B133" s="58" t="s">
        <v>124</v>
      </c>
      <c r="C133" s="60" t="s">
        <v>148</v>
      </c>
      <c r="D133" s="61">
        <v>0.71875</v>
      </c>
      <c r="E133" s="61">
        <v>0.73611111111111116</v>
      </c>
      <c r="F133" s="65">
        <f t="shared" si="4"/>
        <v>1.736111111111116E-2</v>
      </c>
      <c r="G133" s="59">
        <f t="shared" si="5"/>
        <v>25</v>
      </c>
      <c r="H133" s="70"/>
      <c r="I133" s="70"/>
      <c r="J133" s="60"/>
      <c r="K133" s="60"/>
      <c r="L133" s="60"/>
    </row>
    <row r="134" spans="1:12" ht="14.25" hidden="1" customHeight="1">
      <c r="A134" s="72">
        <v>46060</v>
      </c>
      <c r="B134" s="58" t="s">
        <v>124</v>
      </c>
      <c r="C134" s="60" t="s">
        <v>148</v>
      </c>
      <c r="D134" s="61">
        <v>0.93055555555555547</v>
      </c>
      <c r="E134" s="61">
        <v>0.93402777777777779</v>
      </c>
      <c r="F134" s="65">
        <f t="shared" si="4"/>
        <v>3.4722222222223209E-3</v>
      </c>
      <c r="G134" s="59">
        <f t="shared" si="5"/>
        <v>5</v>
      </c>
      <c r="H134" s="70"/>
      <c r="I134" s="70"/>
      <c r="J134" s="60"/>
      <c r="K134" s="60"/>
      <c r="L134" s="60"/>
    </row>
    <row r="135" spans="1:12" ht="14.25" hidden="1" customHeight="1">
      <c r="A135" s="72">
        <v>46060</v>
      </c>
      <c r="B135" s="58" t="s">
        <v>124</v>
      </c>
      <c r="C135" s="60" t="s">
        <v>148</v>
      </c>
      <c r="D135" s="61">
        <v>7.9861111111111105E-2</v>
      </c>
      <c r="E135" s="61">
        <v>9.2361111111111116E-2</v>
      </c>
      <c r="F135" s="65">
        <f t="shared" si="4"/>
        <v>1.2500000000000011E-2</v>
      </c>
      <c r="G135" s="59">
        <f t="shared" si="5"/>
        <v>18</v>
      </c>
      <c r="H135" s="70"/>
      <c r="I135" s="70"/>
      <c r="J135" s="60"/>
      <c r="K135" s="60"/>
      <c r="L135" s="60"/>
    </row>
    <row r="136" spans="1:12" ht="14.25" hidden="1" customHeight="1">
      <c r="A136" s="72">
        <v>46059</v>
      </c>
      <c r="B136" s="58" t="s">
        <v>132</v>
      </c>
      <c r="C136" s="60" t="s">
        <v>138</v>
      </c>
      <c r="D136" s="61">
        <v>0.34027777777777773</v>
      </c>
      <c r="E136" s="61">
        <v>0.37152777777777773</v>
      </c>
      <c r="F136" s="65">
        <f t="shared" si="4"/>
        <v>3.125E-2</v>
      </c>
      <c r="G136" s="59">
        <f t="shared" si="5"/>
        <v>45</v>
      </c>
      <c r="H136" s="70"/>
      <c r="I136" s="70"/>
      <c r="J136" s="60"/>
      <c r="K136" s="60" t="s">
        <v>161</v>
      </c>
      <c r="L136" s="60"/>
    </row>
    <row r="137" spans="1:12" ht="14.25" hidden="1" customHeight="1">
      <c r="A137" s="72">
        <v>46059</v>
      </c>
      <c r="B137" s="58" t="s">
        <v>132</v>
      </c>
      <c r="C137" s="60" t="s">
        <v>138</v>
      </c>
      <c r="D137" s="61">
        <v>0.54513888888888895</v>
      </c>
      <c r="E137" s="61">
        <v>0.55555555555555558</v>
      </c>
      <c r="F137" s="65">
        <f t="shared" si="4"/>
        <v>1.041666666666663E-2</v>
      </c>
      <c r="G137" s="59">
        <f t="shared" si="5"/>
        <v>14</v>
      </c>
      <c r="H137" s="70"/>
      <c r="I137" s="70"/>
      <c r="J137" s="60"/>
      <c r="K137" s="60" t="s">
        <v>156</v>
      </c>
      <c r="L137" s="60"/>
    </row>
    <row r="138" spans="1:12" ht="14.25" hidden="1" customHeight="1">
      <c r="A138" s="72">
        <v>46059</v>
      </c>
      <c r="B138" s="58" t="s">
        <v>132</v>
      </c>
      <c r="C138" s="60" t="s">
        <v>138</v>
      </c>
      <c r="D138" s="61">
        <v>0.64583333333333337</v>
      </c>
      <c r="E138" s="61">
        <v>0.67361111111111116</v>
      </c>
      <c r="F138" s="65">
        <f t="shared" si="4"/>
        <v>2.777777777777779E-2</v>
      </c>
      <c r="G138" s="59">
        <f t="shared" si="5"/>
        <v>40</v>
      </c>
      <c r="H138" s="70"/>
      <c r="I138" s="70"/>
      <c r="J138" s="60"/>
      <c r="K138" s="60" t="s">
        <v>162</v>
      </c>
      <c r="L138" s="66" t="s">
        <v>163</v>
      </c>
    </row>
    <row r="139" spans="1:12" ht="14.25" customHeight="1">
      <c r="A139" s="72">
        <v>46059</v>
      </c>
      <c r="B139" s="58" t="s">
        <v>132</v>
      </c>
      <c r="C139" s="60" t="s">
        <v>137</v>
      </c>
      <c r="D139" s="61">
        <v>0.87847222222222221</v>
      </c>
      <c r="E139" s="61">
        <v>0.89583333333333337</v>
      </c>
      <c r="F139" s="65">
        <f t="shared" si="4"/>
        <v>1.736111111111116E-2</v>
      </c>
      <c r="G139" s="59">
        <f t="shared" si="5"/>
        <v>25</v>
      </c>
      <c r="H139" s="70"/>
      <c r="I139" s="70"/>
      <c r="J139" s="60"/>
      <c r="K139" s="60"/>
      <c r="L139" s="60"/>
    </row>
    <row r="140" spans="1:12" ht="14.25" hidden="1" customHeight="1">
      <c r="A140" s="72">
        <v>46060</v>
      </c>
      <c r="B140" s="58" t="s">
        <v>132</v>
      </c>
      <c r="C140" s="60" t="s">
        <v>164</v>
      </c>
      <c r="D140" s="61">
        <v>0.44444444444444442</v>
      </c>
      <c r="E140" s="61">
        <v>0.45833333333333331</v>
      </c>
      <c r="F140" s="65">
        <f t="shared" si="4"/>
        <v>1.3888888888888895E-2</v>
      </c>
      <c r="G140" s="59">
        <f t="shared" si="5"/>
        <v>20</v>
      </c>
      <c r="H140" s="70"/>
      <c r="I140" s="70"/>
      <c r="J140" s="60"/>
      <c r="K140" s="60"/>
      <c r="L140" s="60"/>
    </row>
    <row r="141" spans="1:12" ht="14.25" customHeight="1">
      <c r="A141" s="72">
        <v>46060</v>
      </c>
      <c r="B141" s="58" t="s">
        <v>132</v>
      </c>
      <c r="C141" s="60" t="s">
        <v>137</v>
      </c>
      <c r="D141" s="61">
        <v>0.97222222222222221</v>
      </c>
      <c r="E141" s="61">
        <v>0.99305555555555547</v>
      </c>
      <c r="F141" s="65">
        <f t="shared" si="4"/>
        <v>2.0833333333333259E-2</v>
      </c>
      <c r="G141" s="59">
        <f t="shared" si="5"/>
        <v>29</v>
      </c>
      <c r="H141" s="70"/>
      <c r="I141" s="70"/>
      <c r="J141" s="60"/>
      <c r="K141" s="60"/>
      <c r="L141" s="60"/>
    </row>
    <row r="142" spans="1:12" ht="14.25" customHeight="1">
      <c r="A142" s="72">
        <v>46062</v>
      </c>
      <c r="B142" s="58" t="s">
        <v>120</v>
      </c>
      <c r="C142" s="60" t="s">
        <v>137</v>
      </c>
      <c r="D142" s="61">
        <v>0.86041666666666661</v>
      </c>
      <c r="E142" s="61">
        <v>0.88263888888888886</v>
      </c>
      <c r="F142" s="65">
        <f t="shared" si="4"/>
        <v>2.2222222222222254E-2</v>
      </c>
      <c r="G142" s="59">
        <f t="shared" si="5"/>
        <v>32</v>
      </c>
      <c r="H142" s="70"/>
      <c r="I142" s="70"/>
      <c r="J142" s="60"/>
      <c r="K142" s="60"/>
      <c r="L142" s="60"/>
    </row>
    <row r="143" spans="1:12" ht="14.25" hidden="1" customHeight="1">
      <c r="A143" s="72">
        <v>46062</v>
      </c>
      <c r="B143" s="58" t="s">
        <v>121</v>
      </c>
      <c r="C143" s="60" t="s">
        <v>138</v>
      </c>
      <c r="D143" s="61">
        <v>0.41666666666666669</v>
      </c>
      <c r="E143" s="61">
        <v>0.43055555555555558</v>
      </c>
      <c r="F143" s="65">
        <f t="shared" si="4"/>
        <v>1.3888888888888895E-2</v>
      </c>
      <c r="G143" s="59">
        <f t="shared" si="5"/>
        <v>20</v>
      </c>
      <c r="H143" s="70"/>
      <c r="I143" s="70"/>
      <c r="J143" s="60"/>
      <c r="K143" s="60" t="s">
        <v>165</v>
      </c>
      <c r="L143" s="60"/>
    </row>
    <row r="144" spans="1:12" ht="14.25" customHeight="1">
      <c r="A144" s="72">
        <v>46062</v>
      </c>
      <c r="B144" s="58" t="s">
        <v>121</v>
      </c>
      <c r="C144" s="60" t="s">
        <v>137</v>
      </c>
      <c r="D144" s="61">
        <v>0.86319444444444438</v>
      </c>
      <c r="E144" s="61">
        <v>0.88750000000000007</v>
      </c>
      <c r="F144" s="65">
        <f t="shared" si="4"/>
        <v>2.4305555555555691E-2</v>
      </c>
      <c r="G144" s="59">
        <f t="shared" si="5"/>
        <v>35</v>
      </c>
      <c r="H144" s="70"/>
      <c r="I144" s="70"/>
      <c r="J144" s="60"/>
      <c r="K144" s="60"/>
      <c r="L144" s="60"/>
    </row>
    <row r="145" spans="1:12" ht="14.25" customHeight="1">
      <c r="A145" s="72">
        <v>46062</v>
      </c>
      <c r="B145" s="58" t="s">
        <v>121</v>
      </c>
      <c r="C145" s="60" t="s">
        <v>137</v>
      </c>
      <c r="D145" s="61">
        <v>0.96388888888888891</v>
      </c>
      <c r="E145" s="61">
        <v>0.97916666666666663</v>
      </c>
      <c r="F145" s="65">
        <f t="shared" si="4"/>
        <v>1.5277777777777724E-2</v>
      </c>
      <c r="G145" s="59">
        <f t="shared" si="5"/>
        <v>21</v>
      </c>
      <c r="H145" s="70"/>
      <c r="I145" s="70"/>
      <c r="J145" s="60"/>
      <c r="K145" s="60"/>
      <c r="L145" s="60"/>
    </row>
    <row r="146" spans="1:12" ht="14.25" hidden="1" customHeight="1">
      <c r="A146" s="72">
        <v>46062</v>
      </c>
      <c r="B146" s="58" t="s">
        <v>121</v>
      </c>
      <c r="C146" s="60" t="s">
        <v>166</v>
      </c>
      <c r="D146" s="61">
        <v>0.1076388888888889</v>
      </c>
      <c r="E146" s="61">
        <v>0.12847222222222224</v>
      </c>
      <c r="F146" s="65">
        <f t="shared" si="4"/>
        <v>2.0833333333333343E-2</v>
      </c>
      <c r="G146" s="59">
        <f t="shared" si="5"/>
        <v>30</v>
      </c>
      <c r="H146" s="70"/>
      <c r="I146" s="70"/>
      <c r="J146" s="60"/>
      <c r="K146" s="66" t="s">
        <v>167</v>
      </c>
      <c r="L146" s="60"/>
    </row>
    <row r="147" spans="1:12" ht="57" hidden="1">
      <c r="A147" s="72">
        <v>46062</v>
      </c>
      <c r="B147" s="58" t="s">
        <v>121</v>
      </c>
      <c r="C147" s="60" t="s">
        <v>166</v>
      </c>
      <c r="D147" s="61">
        <v>0.1388888888888889</v>
      </c>
      <c r="E147" s="61">
        <v>0.20138888888888887</v>
      </c>
      <c r="F147" s="65">
        <f t="shared" si="4"/>
        <v>6.2499999999999972E-2</v>
      </c>
      <c r="G147" s="59">
        <f t="shared" si="5"/>
        <v>90</v>
      </c>
      <c r="H147" s="70"/>
      <c r="I147" s="70"/>
      <c r="J147" s="60"/>
      <c r="K147" s="66" t="s">
        <v>167</v>
      </c>
      <c r="L147" s="60"/>
    </row>
    <row r="148" spans="1:12" ht="14.25" hidden="1" customHeight="1">
      <c r="A148" s="72">
        <v>46062</v>
      </c>
      <c r="B148" s="58" t="s">
        <v>122</v>
      </c>
      <c r="C148" s="60" t="s">
        <v>138</v>
      </c>
      <c r="D148" s="61">
        <v>0.31944444444444448</v>
      </c>
      <c r="E148" s="61">
        <v>0.3923611111111111</v>
      </c>
      <c r="F148" s="65">
        <f t="shared" si="4"/>
        <v>7.291666666666663E-2</v>
      </c>
      <c r="G148" s="59">
        <f t="shared" si="5"/>
        <v>105</v>
      </c>
      <c r="H148" s="70"/>
      <c r="I148" s="70"/>
      <c r="J148" s="60"/>
      <c r="K148" s="60" t="s">
        <v>168</v>
      </c>
      <c r="L148" s="60"/>
    </row>
    <row r="149" spans="1:12" ht="14.25" hidden="1" customHeight="1">
      <c r="A149" s="72">
        <v>46062</v>
      </c>
      <c r="B149" s="58" t="s">
        <v>122</v>
      </c>
      <c r="C149" s="60" t="s">
        <v>138</v>
      </c>
      <c r="D149" s="61">
        <v>0.41666666666666669</v>
      </c>
      <c r="E149" s="61">
        <v>0.43055555555555558</v>
      </c>
      <c r="F149" s="65">
        <f t="shared" si="4"/>
        <v>1.3888888888888895E-2</v>
      </c>
      <c r="G149" s="59">
        <f t="shared" si="5"/>
        <v>20</v>
      </c>
      <c r="H149" s="70"/>
      <c r="I149" s="70"/>
      <c r="J149" s="60"/>
      <c r="K149" s="60" t="s">
        <v>169</v>
      </c>
      <c r="L149" s="60"/>
    </row>
    <row r="150" spans="1:12" ht="14.25" customHeight="1">
      <c r="A150" s="72">
        <v>46062</v>
      </c>
      <c r="B150" s="58" t="s">
        <v>123</v>
      </c>
      <c r="C150" s="60" t="s">
        <v>137</v>
      </c>
      <c r="D150" s="61">
        <v>0.76041666666666663</v>
      </c>
      <c r="E150" s="61">
        <v>0.79166666666666663</v>
      </c>
      <c r="F150" s="65">
        <f t="shared" si="4"/>
        <v>3.125E-2</v>
      </c>
      <c r="G150" s="59">
        <f t="shared" si="5"/>
        <v>45</v>
      </c>
      <c r="H150" s="70"/>
      <c r="I150" s="70"/>
      <c r="J150" s="60"/>
      <c r="K150" s="60"/>
      <c r="L150" s="60"/>
    </row>
    <row r="151" spans="1:12" ht="14.25" customHeight="1">
      <c r="A151" s="72">
        <v>46062</v>
      </c>
      <c r="B151" s="58" t="s">
        <v>123</v>
      </c>
      <c r="C151" s="60" t="s">
        <v>137</v>
      </c>
      <c r="D151" s="61">
        <v>0.84027777777777779</v>
      </c>
      <c r="E151" s="61">
        <v>0.91319444444444453</v>
      </c>
      <c r="F151" s="65">
        <f t="shared" si="4"/>
        <v>7.2916666666666741E-2</v>
      </c>
      <c r="G151" s="59">
        <f t="shared" si="5"/>
        <v>105</v>
      </c>
      <c r="H151" s="70"/>
      <c r="I151" s="70"/>
      <c r="J151" s="60"/>
      <c r="K151" s="60"/>
      <c r="L151" s="60"/>
    </row>
    <row r="152" spans="1:12" ht="14.25" customHeight="1">
      <c r="A152" s="72">
        <v>46062</v>
      </c>
      <c r="B152" s="58" t="s">
        <v>124</v>
      </c>
      <c r="C152" s="60" t="s">
        <v>137</v>
      </c>
      <c r="D152" s="61">
        <v>0.39583333333333331</v>
      </c>
      <c r="E152" s="61">
        <v>0.44791666666666669</v>
      </c>
      <c r="F152" s="65">
        <f t="shared" si="4"/>
        <v>5.208333333333337E-2</v>
      </c>
      <c r="G152" s="59">
        <f t="shared" si="5"/>
        <v>75</v>
      </c>
      <c r="H152" s="70"/>
      <c r="I152" s="70"/>
      <c r="J152" s="60"/>
      <c r="K152" s="60"/>
      <c r="L152" s="60"/>
    </row>
    <row r="153" spans="1:12" ht="14.25" hidden="1" customHeight="1">
      <c r="A153" s="72">
        <v>46062</v>
      </c>
      <c r="B153" s="58" t="s">
        <v>124</v>
      </c>
      <c r="C153" s="60" t="s">
        <v>138</v>
      </c>
      <c r="D153" s="61">
        <v>0.39583333333333331</v>
      </c>
      <c r="E153" s="61">
        <v>0.40277777777777773</v>
      </c>
      <c r="F153" s="65">
        <f t="shared" si="4"/>
        <v>6.9444444444444198E-3</v>
      </c>
      <c r="G153" s="59">
        <f t="shared" si="5"/>
        <v>9</v>
      </c>
      <c r="H153" s="70"/>
      <c r="I153" s="70"/>
      <c r="J153" s="60"/>
      <c r="K153" s="60" t="s">
        <v>170</v>
      </c>
      <c r="L153" s="60"/>
    </row>
    <row r="154" spans="1:12" ht="14.25" hidden="1" customHeight="1">
      <c r="A154" s="72">
        <v>46062</v>
      </c>
      <c r="B154" s="58" t="s">
        <v>124</v>
      </c>
      <c r="C154" s="60" t="s">
        <v>138</v>
      </c>
      <c r="D154" s="61">
        <v>0.48958333333333331</v>
      </c>
      <c r="E154" s="61">
        <v>0.51388888888888895</v>
      </c>
      <c r="F154" s="65">
        <f t="shared" si="4"/>
        <v>2.4305555555555636E-2</v>
      </c>
      <c r="G154" s="59">
        <f t="shared" si="5"/>
        <v>35</v>
      </c>
      <c r="H154" s="70"/>
      <c r="I154" s="70"/>
      <c r="J154" s="60"/>
      <c r="K154" s="60" t="s">
        <v>171</v>
      </c>
      <c r="L154" s="60"/>
    </row>
    <row r="155" spans="1:12" ht="14.25" customHeight="1">
      <c r="A155" s="72">
        <v>46062</v>
      </c>
      <c r="B155" s="58" t="s">
        <v>124</v>
      </c>
      <c r="C155" s="60" t="s">
        <v>137</v>
      </c>
      <c r="D155" s="61">
        <v>0.86805555555555547</v>
      </c>
      <c r="E155" s="61">
        <v>0.88194444444444453</v>
      </c>
      <c r="F155" s="65">
        <f t="shared" si="4"/>
        <v>1.3888888888889062E-2</v>
      </c>
      <c r="G155" s="59">
        <f t="shared" si="5"/>
        <v>20</v>
      </c>
      <c r="H155" s="70"/>
      <c r="I155" s="70"/>
      <c r="J155" s="60"/>
      <c r="K155" s="60"/>
      <c r="L155" s="60"/>
    </row>
    <row r="156" spans="1:12" ht="14.25" customHeight="1">
      <c r="A156" s="72">
        <v>46062</v>
      </c>
      <c r="B156" s="58" t="s">
        <v>132</v>
      </c>
      <c r="C156" s="60" t="s">
        <v>137</v>
      </c>
      <c r="D156" s="61">
        <v>0.3888888888888889</v>
      </c>
      <c r="E156" s="61">
        <v>0.42708333333333331</v>
      </c>
      <c r="F156" s="65">
        <f t="shared" si="4"/>
        <v>3.819444444444442E-2</v>
      </c>
      <c r="G156" s="59">
        <f t="shared" si="5"/>
        <v>55</v>
      </c>
      <c r="H156" s="70"/>
      <c r="I156" s="70"/>
      <c r="J156" s="60"/>
      <c r="K156" s="60"/>
      <c r="L156" s="60"/>
    </row>
    <row r="157" spans="1:12" ht="14.25" customHeight="1">
      <c r="A157" s="72">
        <v>46062</v>
      </c>
      <c r="B157" s="58" t="s">
        <v>132</v>
      </c>
      <c r="C157" s="60" t="s">
        <v>137</v>
      </c>
      <c r="D157" s="61">
        <v>0.4826388888888889</v>
      </c>
      <c r="E157" s="61">
        <v>0.50347222222222221</v>
      </c>
      <c r="F157" s="65">
        <f t="shared" si="4"/>
        <v>2.0833333333333315E-2</v>
      </c>
      <c r="G157" s="59">
        <f t="shared" si="5"/>
        <v>30</v>
      </c>
      <c r="H157" s="70"/>
      <c r="I157" s="70"/>
      <c r="J157" s="60"/>
      <c r="K157" s="60"/>
      <c r="L157" s="60"/>
    </row>
    <row r="158" spans="1:12" ht="14.25" customHeight="1">
      <c r="A158" s="72">
        <v>46062</v>
      </c>
      <c r="B158" s="58" t="s">
        <v>132</v>
      </c>
      <c r="C158" s="60" t="s">
        <v>137</v>
      </c>
      <c r="D158" s="61">
        <v>0.56944444444444442</v>
      </c>
      <c r="E158" s="61">
        <v>0.57986111111111105</v>
      </c>
      <c r="F158" s="65">
        <f t="shared" si="4"/>
        <v>1.041666666666663E-2</v>
      </c>
      <c r="G158" s="59">
        <f t="shared" si="5"/>
        <v>14</v>
      </c>
      <c r="H158" s="70"/>
      <c r="I158" s="70"/>
      <c r="J158" s="60"/>
      <c r="K158" s="60"/>
      <c r="L158" s="60"/>
    </row>
    <row r="159" spans="1:12" ht="14.25" customHeight="1">
      <c r="A159" s="72">
        <v>46062</v>
      </c>
      <c r="B159" s="58" t="s">
        <v>132</v>
      </c>
      <c r="C159" s="60" t="s">
        <v>137</v>
      </c>
      <c r="D159" s="61">
        <v>0.84027777777777779</v>
      </c>
      <c r="E159" s="61">
        <v>0.875</v>
      </c>
      <c r="F159" s="65">
        <f t="shared" si="4"/>
        <v>3.472222222222221E-2</v>
      </c>
      <c r="G159" s="59">
        <f t="shared" si="5"/>
        <v>50</v>
      </c>
      <c r="H159" s="70"/>
      <c r="I159" s="70"/>
      <c r="J159" s="60"/>
      <c r="K159" s="60"/>
      <c r="L159" s="60"/>
    </row>
    <row r="160" spans="1:12" ht="14.25" hidden="1" customHeight="1">
      <c r="A160" s="72">
        <v>46062</v>
      </c>
      <c r="B160" s="58" t="s">
        <v>132</v>
      </c>
      <c r="C160" s="60" t="s">
        <v>138</v>
      </c>
      <c r="D160" s="61">
        <v>6.25E-2</v>
      </c>
      <c r="E160" s="61">
        <v>8.6805555555555566E-2</v>
      </c>
      <c r="F160" s="65">
        <f t="shared" si="4"/>
        <v>2.4305555555555566E-2</v>
      </c>
      <c r="G160" s="59">
        <f t="shared" si="5"/>
        <v>35</v>
      </c>
      <c r="H160" s="70"/>
      <c r="I160" s="70"/>
      <c r="J160" s="60"/>
      <c r="K160" s="60"/>
      <c r="L160" s="60"/>
    </row>
    <row r="161" spans="1:12" ht="14.25" hidden="1" customHeight="1">
      <c r="A161" s="72">
        <v>46063</v>
      </c>
      <c r="B161" s="58" t="s">
        <v>120</v>
      </c>
      <c r="C161" s="60" t="s">
        <v>138</v>
      </c>
      <c r="D161" s="61">
        <v>0.41666666666666669</v>
      </c>
      <c r="E161" s="61">
        <v>0.44444444444444442</v>
      </c>
      <c r="F161" s="65">
        <f t="shared" si="4"/>
        <v>2.7777777777777735E-2</v>
      </c>
      <c r="G161" s="59">
        <f t="shared" si="5"/>
        <v>39</v>
      </c>
      <c r="H161" s="70"/>
      <c r="I161" s="70"/>
      <c r="J161" s="60"/>
      <c r="K161" s="60" t="s">
        <v>172</v>
      </c>
      <c r="L161" s="60"/>
    </row>
    <row r="162" spans="1:12" ht="14.25" customHeight="1">
      <c r="A162" s="72">
        <v>46063</v>
      </c>
      <c r="B162" s="58" t="s">
        <v>120</v>
      </c>
      <c r="C162" s="60" t="s">
        <v>137</v>
      </c>
      <c r="D162" s="61">
        <v>0.75694444444444453</v>
      </c>
      <c r="E162" s="61">
        <v>0.79166666666666663</v>
      </c>
      <c r="F162" s="65">
        <f t="shared" si="4"/>
        <v>3.4722222222222099E-2</v>
      </c>
      <c r="G162" s="59">
        <f t="shared" si="5"/>
        <v>49</v>
      </c>
      <c r="H162" s="70"/>
      <c r="I162" s="70"/>
      <c r="J162" s="60"/>
      <c r="K162" s="60"/>
      <c r="L162" s="60"/>
    </row>
    <row r="163" spans="1:12" ht="14.25" customHeight="1">
      <c r="A163" s="72">
        <v>46063</v>
      </c>
      <c r="B163" s="58" t="s">
        <v>120</v>
      </c>
      <c r="C163" s="60" t="s">
        <v>137</v>
      </c>
      <c r="D163" s="61">
        <v>0.79166666666666663</v>
      </c>
      <c r="E163" s="61">
        <v>0.80208333333333337</v>
      </c>
      <c r="F163" s="65">
        <f t="shared" si="4"/>
        <v>1.0416666666666741E-2</v>
      </c>
      <c r="G163" s="59">
        <f t="shared" ref="G163:G194" si="6">INT(F163*1440)</f>
        <v>15</v>
      </c>
      <c r="H163" s="70"/>
      <c r="I163" s="70"/>
      <c r="J163" s="60"/>
      <c r="K163" s="60"/>
      <c r="L163" s="60"/>
    </row>
    <row r="164" spans="1:12" ht="14.25" hidden="1" customHeight="1">
      <c r="A164" s="72">
        <v>46063</v>
      </c>
      <c r="B164" s="58" t="s">
        <v>122</v>
      </c>
      <c r="C164" s="60" t="s">
        <v>138</v>
      </c>
      <c r="D164" s="61">
        <v>0.29166666666666669</v>
      </c>
      <c r="E164" s="61">
        <v>0.4201388888888889</v>
      </c>
      <c r="F164" s="65">
        <f t="shared" si="4"/>
        <v>0.12847222222222221</v>
      </c>
      <c r="G164" s="59">
        <f t="shared" si="6"/>
        <v>185</v>
      </c>
      <c r="H164" s="70"/>
      <c r="I164" s="70"/>
      <c r="J164" s="60"/>
      <c r="K164" s="60" t="s">
        <v>173</v>
      </c>
      <c r="L164" s="60"/>
    </row>
    <row r="165" spans="1:12" ht="14.25" customHeight="1">
      <c r="A165" s="72">
        <v>46063</v>
      </c>
      <c r="B165" s="58" t="s">
        <v>122</v>
      </c>
      <c r="C165" s="60" t="s">
        <v>137</v>
      </c>
      <c r="D165" s="61">
        <v>0.93055555555555547</v>
      </c>
      <c r="E165" s="61">
        <v>0.94444444444444453</v>
      </c>
      <c r="F165" s="65">
        <f t="shared" si="4"/>
        <v>1.3888888888889062E-2</v>
      </c>
      <c r="G165" s="59">
        <f t="shared" si="6"/>
        <v>20</v>
      </c>
      <c r="H165" s="70"/>
      <c r="I165" s="70"/>
      <c r="J165" s="60">
        <f>INT([2]DOWNTIME!$F165*1440)</f>
        <v>79</v>
      </c>
      <c r="K165" s="60"/>
      <c r="L165" s="60"/>
    </row>
    <row r="166" spans="1:12" ht="14.25" customHeight="1">
      <c r="A166" s="72">
        <v>46063</v>
      </c>
      <c r="B166" s="58" t="s">
        <v>123</v>
      </c>
      <c r="C166" s="60" t="s">
        <v>137</v>
      </c>
      <c r="D166" s="61">
        <v>0.3888888888888889</v>
      </c>
      <c r="E166" s="61">
        <v>0.3888888888888889</v>
      </c>
      <c r="F166" s="65">
        <f t="shared" si="4"/>
        <v>0</v>
      </c>
      <c r="G166" s="59">
        <f t="shared" si="6"/>
        <v>0</v>
      </c>
      <c r="H166" s="70"/>
      <c r="I166" s="70"/>
      <c r="J166" s="60">
        <f>INT([2]DOWNTIME!$F166*1440)</f>
        <v>130</v>
      </c>
      <c r="K166" s="60"/>
      <c r="L166" s="60"/>
    </row>
    <row r="167" spans="1:12" ht="14.25" hidden="1" customHeight="1">
      <c r="A167" s="72">
        <v>46063</v>
      </c>
      <c r="B167" s="58" t="s">
        <v>124</v>
      </c>
      <c r="C167" s="60" t="s">
        <v>140</v>
      </c>
      <c r="D167" s="61">
        <v>0.42499999999999999</v>
      </c>
      <c r="E167" s="61">
        <v>0.4284722222222222</v>
      </c>
      <c r="F167" s="65">
        <f t="shared" si="4"/>
        <v>3.4722222222222099E-3</v>
      </c>
      <c r="G167" s="59">
        <f t="shared" si="6"/>
        <v>4</v>
      </c>
      <c r="H167" s="70"/>
      <c r="I167" s="70"/>
      <c r="J167" s="60"/>
      <c r="K167" s="60"/>
      <c r="L167" s="60"/>
    </row>
    <row r="168" spans="1:12" ht="14.25" hidden="1" customHeight="1">
      <c r="A168" s="72">
        <v>46063</v>
      </c>
      <c r="B168" s="58" t="s">
        <v>124</v>
      </c>
      <c r="C168" s="60" t="s">
        <v>148</v>
      </c>
      <c r="D168" s="61">
        <v>0.62847222222222221</v>
      </c>
      <c r="E168" s="61">
        <v>0.63888888888888895</v>
      </c>
      <c r="F168" s="65">
        <f t="shared" si="4"/>
        <v>1.0416666666666741E-2</v>
      </c>
      <c r="G168" s="59">
        <f t="shared" si="6"/>
        <v>15</v>
      </c>
      <c r="H168" s="70"/>
      <c r="I168" s="70"/>
      <c r="J168" s="60"/>
      <c r="K168" s="60"/>
      <c r="L168" s="60"/>
    </row>
    <row r="169" spans="1:12" ht="14.25" customHeight="1">
      <c r="A169" s="72">
        <v>46063</v>
      </c>
      <c r="B169" s="58" t="s">
        <v>124</v>
      </c>
      <c r="C169" s="60" t="s">
        <v>137</v>
      </c>
      <c r="D169" s="61">
        <v>0.83333333333333337</v>
      </c>
      <c r="E169" s="65">
        <v>0.88888888888888884</v>
      </c>
      <c r="F169" s="65">
        <f t="shared" si="4"/>
        <v>5.5555555555555469E-2</v>
      </c>
      <c r="G169" s="59">
        <f t="shared" si="6"/>
        <v>79</v>
      </c>
      <c r="H169" s="70"/>
      <c r="I169" s="70"/>
      <c r="J169" s="60"/>
      <c r="K169" s="60"/>
      <c r="L169" s="60"/>
    </row>
    <row r="170" spans="1:12" ht="14.25" hidden="1" customHeight="1">
      <c r="A170" s="72">
        <v>46063</v>
      </c>
      <c r="B170" s="58" t="s">
        <v>132</v>
      </c>
      <c r="C170" s="60" t="s">
        <v>143</v>
      </c>
      <c r="D170" s="61">
        <v>0.51736111111111105</v>
      </c>
      <c r="E170" s="61">
        <v>0.52083333333333337</v>
      </c>
      <c r="F170" s="65">
        <f t="shared" si="4"/>
        <v>3.4722222222223209E-3</v>
      </c>
      <c r="G170" s="59">
        <f t="shared" si="6"/>
        <v>5</v>
      </c>
      <c r="H170" s="70"/>
      <c r="I170" s="70"/>
      <c r="J170" s="60"/>
      <c r="K170" s="60"/>
      <c r="L170" s="60"/>
    </row>
    <row r="171" spans="1:12" ht="14.25" hidden="1" customHeight="1">
      <c r="A171" s="72">
        <v>46063</v>
      </c>
      <c r="B171" s="58" t="s">
        <v>132</v>
      </c>
      <c r="C171" s="60" t="s">
        <v>138</v>
      </c>
      <c r="D171" s="61">
        <v>0.73611111111111116</v>
      </c>
      <c r="E171" s="61">
        <v>0.74652777777777779</v>
      </c>
      <c r="F171" s="65">
        <f t="shared" si="4"/>
        <v>1.041666666666663E-2</v>
      </c>
      <c r="G171" s="59">
        <f t="shared" si="6"/>
        <v>14</v>
      </c>
      <c r="H171" s="70"/>
      <c r="I171" s="70"/>
      <c r="J171" s="60"/>
      <c r="K171" s="60" t="s">
        <v>174</v>
      </c>
      <c r="L171" s="60"/>
    </row>
    <row r="172" spans="1:12" ht="14.25" customHeight="1">
      <c r="A172" s="72">
        <v>46063</v>
      </c>
      <c r="B172" s="58" t="s">
        <v>132</v>
      </c>
      <c r="C172" s="60" t="s">
        <v>137</v>
      </c>
      <c r="D172" s="61">
        <v>0.84027777777777779</v>
      </c>
      <c r="E172" s="61">
        <v>1.0416666666666667</v>
      </c>
      <c r="F172" s="65">
        <f t="shared" si="4"/>
        <v>0.20138888888888895</v>
      </c>
      <c r="G172" s="59">
        <f t="shared" si="6"/>
        <v>290</v>
      </c>
      <c r="H172" s="70"/>
      <c r="I172" s="70"/>
      <c r="J172" s="60"/>
      <c r="K172" s="60"/>
      <c r="L172" s="60"/>
    </row>
    <row r="173" spans="1:12" ht="14.25" hidden="1" customHeight="1">
      <c r="A173" s="72">
        <v>45699</v>
      </c>
      <c r="B173" s="58" t="s">
        <v>122</v>
      </c>
      <c r="C173" s="60" t="s">
        <v>138</v>
      </c>
      <c r="D173" s="61">
        <v>0.29166666666666669</v>
      </c>
      <c r="E173" s="61">
        <v>0.40277777777777773</v>
      </c>
      <c r="F173" s="65">
        <f t="shared" si="4"/>
        <v>0.11111111111111105</v>
      </c>
      <c r="G173" s="59">
        <f t="shared" si="6"/>
        <v>160</v>
      </c>
      <c r="H173" s="70"/>
      <c r="I173" s="70"/>
      <c r="J173" s="60"/>
      <c r="K173" s="60" t="s">
        <v>175</v>
      </c>
      <c r="L173" s="60"/>
    </row>
    <row r="174" spans="1:12" ht="14.25" customHeight="1">
      <c r="A174" s="72">
        <v>45699</v>
      </c>
      <c r="B174" s="58" t="s">
        <v>123</v>
      </c>
      <c r="C174" s="60" t="s">
        <v>137</v>
      </c>
      <c r="D174" s="61">
        <v>0.34722222222222227</v>
      </c>
      <c r="E174" s="61">
        <v>0.37847222222222227</v>
      </c>
      <c r="F174" s="65">
        <f t="shared" si="4"/>
        <v>3.125E-2</v>
      </c>
      <c r="G174" s="59">
        <f t="shared" si="6"/>
        <v>45</v>
      </c>
      <c r="H174" s="70"/>
      <c r="I174" s="70"/>
      <c r="J174" s="60"/>
      <c r="K174" s="60"/>
      <c r="L174" s="60"/>
    </row>
    <row r="175" spans="1:12" ht="14.25" customHeight="1">
      <c r="A175" s="72">
        <v>45699</v>
      </c>
      <c r="B175" s="58" t="s">
        <v>124</v>
      </c>
      <c r="C175" s="60" t="s">
        <v>137</v>
      </c>
      <c r="D175" s="61">
        <v>0.85069444444444453</v>
      </c>
      <c r="E175" s="61">
        <v>0.91666666666666663</v>
      </c>
      <c r="F175" s="65">
        <f t="shared" si="4"/>
        <v>6.5972222222222099E-2</v>
      </c>
      <c r="G175" s="59">
        <f t="shared" si="6"/>
        <v>94</v>
      </c>
      <c r="H175" s="70"/>
      <c r="I175" s="70"/>
      <c r="J175" s="60"/>
      <c r="K175" s="60"/>
      <c r="L175" s="60"/>
    </row>
    <row r="176" spans="1:12" ht="14.25" customHeight="1">
      <c r="A176" s="72">
        <v>45699</v>
      </c>
      <c r="B176" s="58" t="s">
        <v>124</v>
      </c>
      <c r="C176" s="60" t="s">
        <v>137</v>
      </c>
      <c r="D176" s="61">
        <v>0.99305555555555547</v>
      </c>
      <c r="E176" s="61">
        <v>1.0208333333333333</v>
      </c>
      <c r="F176" s="65">
        <f t="shared" si="4"/>
        <v>2.777777777777779E-2</v>
      </c>
      <c r="G176" s="59">
        <f t="shared" si="6"/>
        <v>40</v>
      </c>
      <c r="H176" s="70"/>
      <c r="I176" s="70"/>
      <c r="J176" s="60"/>
      <c r="K176" s="60"/>
      <c r="L176" s="60"/>
    </row>
    <row r="177" spans="1:12" ht="14.25" customHeight="1">
      <c r="A177" s="72">
        <v>45699</v>
      </c>
      <c r="B177" s="58" t="s">
        <v>132</v>
      </c>
      <c r="C177" s="60" t="s">
        <v>137</v>
      </c>
      <c r="D177" s="61">
        <v>0.79166666666666663</v>
      </c>
      <c r="E177" s="61">
        <v>0.83333333333333337</v>
      </c>
      <c r="F177" s="65">
        <f t="shared" si="4"/>
        <v>4.1666666666666741E-2</v>
      </c>
      <c r="G177" s="59">
        <f t="shared" si="6"/>
        <v>60</v>
      </c>
      <c r="H177" s="70"/>
      <c r="I177" s="70"/>
      <c r="J177" s="60"/>
      <c r="K177" s="60"/>
      <c r="L177" s="60"/>
    </row>
    <row r="178" spans="1:12" ht="14.25" customHeight="1">
      <c r="A178" s="72">
        <v>45699</v>
      </c>
      <c r="B178" s="58" t="s">
        <v>132</v>
      </c>
      <c r="C178" s="60" t="s">
        <v>137</v>
      </c>
      <c r="D178" s="61">
        <v>0.88541666666666663</v>
      </c>
      <c r="E178" s="61">
        <v>0.97916666666666663</v>
      </c>
      <c r="F178" s="65">
        <f t="shared" si="4"/>
        <v>9.375E-2</v>
      </c>
      <c r="G178" s="59">
        <f t="shared" si="6"/>
        <v>135</v>
      </c>
      <c r="H178" s="70"/>
      <c r="I178" s="70"/>
      <c r="J178" s="60"/>
      <c r="K178" s="60"/>
      <c r="L178" s="60"/>
    </row>
    <row r="179" spans="1:12" ht="14.25" hidden="1" customHeight="1">
      <c r="A179" s="72">
        <v>45700</v>
      </c>
      <c r="B179" s="58" t="s">
        <v>121</v>
      </c>
      <c r="C179" s="60" t="s">
        <v>138</v>
      </c>
      <c r="D179" s="61">
        <v>0.55208333333333337</v>
      </c>
      <c r="E179" s="61">
        <v>0.58333333333333337</v>
      </c>
      <c r="F179" s="65">
        <f t="shared" si="4"/>
        <v>3.125E-2</v>
      </c>
      <c r="G179" s="59">
        <f t="shared" si="6"/>
        <v>45</v>
      </c>
      <c r="H179" s="70"/>
      <c r="I179" s="70"/>
      <c r="J179" s="60"/>
      <c r="K179" s="60" t="s">
        <v>176</v>
      </c>
      <c r="L179" s="60"/>
    </row>
    <row r="180" spans="1:12" ht="14.25" hidden="1" customHeight="1">
      <c r="A180" s="72">
        <v>45700</v>
      </c>
      <c r="B180" s="58" t="s">
        <v>121</v>
      </c>
      <c r="C180" s="60" t="s">
        <v>138</v>
      </c>
      <c r="D180" s="61">
        <v>0.67013888888888884</v>
      </c>
      <c r="E180" s="61">
        <v>0.70486111111111116</v>
      </c>
      <c r="F180" s="65">
        <f t="shared" si="4"/>
        <v>3.4722222222222321E-2</v>
      </c>
      <c r="G180" s="59">
        <f t="shared" si="6"/>
        <v>50</v>
      </c>
      <c r="H180" s="70"/>
      <c r="I180" s="70"/>
      <c r="J180" s="60"/>
      <c r="K180" s="60" t="s">
        <v>176</v>
      </c>
      <c r="L180" s="60"/>
    </row>
    <row r="181" spans="1:12" ht="14.25" hidden="1" customHeight="1">
      <c r="A181" s="72">
        <v>45700</v>
      </c>
      <c r="B181" s="58" t="s">
        <v>122</v>
      </c>
      <c r="C181" s="60" t="s">
        <v>138</v>
      </c>
      <c r="D181" s="61">
        <v>0.38194444444444442</v>
      </c>
      <c r="E181" s="61">
        <v>0.43402777777777773</v>
      </c>
      <c r="F181" s="65">
        <f t="shared" si="4"/>
        <v>5.2083333333333315E-2</v>
      </c>
      <c r="G181" s="59">
        <f t="shared" si="6"/>
        <v>75</v>
      </c>
      <c r="H181" s="70"/>
      <c r="I181" s="70"/>
      <c r="J181" s="60"/>
      <c r="K181" s="67" t="s">
        <v>177</v>
      </c>
      <c r="L181" s="60"/>
    </row>
    <row r="182" spans="1:12" ht="14.25" hidden="1" customHeight="1">
      <c r="A182" s="72">
        <v>45700</v>
      </c>
      <c r="B182" s="58" t="s">
        <v>122</v>
      </c>
      <c r="C182" s="60" t="s">
        <v>140</v>
      </c>
      <c r="D182" s="61">
        <v>0.81597222222222221</v>
      </c>
      <c r="E182" s="61">
        <v>0.86805555555555547</v>
      </c>
      <c r="F182" s="65">
        <f t="shared" si="4"/>
        <v>5.2083333333333259E-2</v>
      </c>
      <c r="G182" s="59">
        <f t="shared" si="6"/>
        <v>74</v>
      </c>
      <c r="H182" s="70"/>
      <c r="I182" s="70"/>
      <c r="J182" s="60"/>
      <c r="K182" s="60"/>
      <c r="L182" s="60"/>
    </row>
    <row r="183" spans="1:12" ht="14.25" customHeight="1">
      <c r="A183" s="72">
        <v>45700</v>
      </c>
      <c r="B183" s="58" t="s">
        <v>132</v>
      </c>
      <c r="C183" s="60" t="s">
        <v>137</v>
      </c>
      <c r="D183" s="61">
        <v>0.72916666666666663</v>
      </c>
      <c r="E183" s="61">
        <v>0.79166666666666663</v>
      </c>
      <c r="F183" s="65">
        <f t="shared" si="4"/>
        <v>6.25E-2</v>
      </c>
      <c r="G183" s="59">
        <f t="shared" si="6"/>
        <v>90</v>
      </c>
      <c r="H183" s="70"/>
      <c r="I183" s="70"/>
      <c r="J183" s="60"/>
      <c r="K183" s="60"/>
      <c r="L183" s="60"/>
    </row>
    <row r="184" spans="1:12" ht="14.25" hidden="1" customHeight="1">
      <c r="A184" s="72">
        <v>46066</v>
      </c>
      <c r="B184" s="58" t="s">
        <v>123</v>
      </c>
      <c r="C184" s="60" t="s">
        <v>138</v>
      </c>
      <c r="D184" s="61">
        <v>0.31944444444444448</v>
      </c>
      <c r="E184" s="61">
        <v>0.40972222222222227</v>
      </c>
      <c r="F184" s="65">
        <f t="shared" si="4"/>
        <v>9.027777777777779E-2</v>
      </c>
      <c r="G184" s="59">
        <f t="shared" si="6"/>
        <v>130</v>
      </c>
      <c r="H184" s="70"/>
      <c r="I184" s="70"/>
      <c r="J184" s="60"/>
      <c r="K184" s="60" t="s">
        <v>178</v>
      </c>
      <c r="L184" s="60"/>
    </row>
    <row r="185" spans="1:12" ht="14.25" customHeight="1">
      <c r="A185" s="72">
        <v>46066</v>
      </c>
      <c r="B185" s="58" t="s">
        <v>124</v>
      </c>
      <c r="C185" s="60" t="s">
        <v>137</v>
      </c>
      <c r="D185" s="61">
        <v>0.60416666666666663</v>
      </c>
      <c r="E185" s="61">
        <v>0.61805555555555558</v>
      </c>
      <c r="F185" s="65">
        <f t="shared" si="4"/>
        <v>1.3888888888888951E-2</v>
      </c>
      <c r="G185" s="59">
        <f t="shared" si="6"/>
        <v>20</v>
      </c>
      <c r="H185" s="70"/>
      <c r="I185" s="70"/>
      <c r="J185" s="60"/>
      <c r="K185" s="60"/>
      <c r="L185" s="60"/>
    </row>
    <row r="186" spans="1:12" ht="14.25" customHeight="1">
      <c r="A186" s="72">
        <v>46066</v>
      </c>
      <c r="B186" s="58" t="s">
        <v>124</v>
      </c>
      <c r="C186" s="60" t="s">
        <v>137</v>
      </c>
      <c r="D186" s="61">
        <v>0.70833333333333337</v>
      </c>
      <c r="E186" s="61">
        <v>0.79166666666666663</v>
      </c>
      <c r="F186" s="65">
        <f t="shared" si="4"/>
        <v>8.3333333333333259E-2</v>
      </c>
      <c r="G186" s="59">
        <f t="shared" si="6"/>
        <v>120</v>
      </c>
      <c r="H186" s="70"/>
      <c r="I186" s="70"/>
      <c r="J186" s="60"/>
      <c r="K186" s="60"/>
      <c r="L186" s="60"/>
    </row>
    <row r="187" spans="1:12" ht="14.25" hidden="1" customHeight="1">
      <c r="A187" s="72">
        <v>46066</v>
      </c>
      <c r="B187" s="58" t="s">
        <v>120</v>
      </c>
      <c r="C187" s="60" t="s">
        <v>138</v>
      </c>
      <c r="D187" s="61">
        <v>0.45833333333333331</v>
      </c>
      <c r="E187" s="61">
        <v>0.47222222222222227</v>
      </c>
      <c r="F187" s="65">
        <f t="shared" si="4"/>
        <v>1.3888888888888951E-2</v>
      </c>
      <c r="G187" s="59">
        <f t="shared" si="6"/>
        <v>20</v>
      </c>
      <c r="H187" s="70"/>
      <c r="I187" s="70"/>
      <c r="J187" s="60"/>
      <c r="K187" s="60" t="s">
        <v>179</v>
      </c>
      <c r="L187" s="60"/>
    </row>
    <row r="188" spans="1:12" ht="14.25" hidden="1" customHeight="1">
      <c r="A188" s="72">
        <v>46066</v>
      </c>
      <c r="B188" s="58" t="s">
        <v>121</v>
      </c>
      <c r="C188" s="60" t="s">
        <v>138</v>
      </c>
      <c r="D188" s="61">
        <v>0.44791666666666669</v>
      </c>
      <c r="E188" s="61">
        <v>0.45833333333333331</v>
      </c>
      <c r="F188" s="65">
        <f t="shared" si="4"/>
        <v>1.041666666666663E-2</v>
      </c>
      <c r="G188" s="59">
        <f t="shared" si="6"/>
        <v>14</v>
      </c>
      <c r="H188" s="70"/>
      <c r="I188" s="70"/>
      <c r="J188" s="60"/>
      <c r="K188" s="60"/>
      <c r="L188" s="60"/>
    </row>
    <row r="189" spans="1:12" ht="14.25" hidden="1" customHeight="1">
      <c r="A189" s="72">
        <v>46066</v>
      </c>
      <c r="B189" s="58" t="s">
        <v>122</v>
      </c>
      <c r="C189" s="60" t="s">
        <v>138</v>
      </c>
      <c r="D189" s="61">
        <v>0.55208333333333337</v>
      </c>
      <c r="E189" s="61">
        <v>0.56944444444444442</v>
      </c>
      <c r="F189" s="65">
        <f t="shared" si="4"/>
        <v>1.7361111111111049E-2</v>
      </c>
      <c r="G189" s="59">
        <f t="shared" si="6"/>
        <v>24</v>
      </c>
      <c r="H189" s="70"/>
      <c r="I189" s="70"/>
      <c r="J189" s="60"/>
      <c r="K189" s="60" t="s">
        <v>180</v>
      </c>
      <c r="L189" s="60"/>
    </row>
    <row r="190" spans="1:12" ht="14.25" hidden="1" customHeight="1">
      <c r="A190" s="72">
        <v>46066</v>
      </c>
      <c r="B190" s="58" t="s">
        <v>122</v>
      </c>
      <c r="C190" s="60" t="s">
        <v>148</v>
      </c>
      <c r="D190" s="61">
        <v>0.69097222222222221</v>
      </c>
      <c r="E190" s="61">
        <v>0.70138888888888884</v>
      </c>
      <c r="F190" s="65">
        <f t="shared" si="4"/>
        <v>1.041666666666663E-2</v>
      </c>
      <c r="G190" s="59">
        <f t="shared" si="6"/>
        <v>14</v>
      </c>
      <c r="H190" s="70"/>
      <c r="I190" s="70"/>
      <c r="J190" s="60"/>
      <c r="K190" s="60"/>
      <c r="L190" s="60"/>
    </row>
    <row r="191" spans="1:12" ht="14.25" hidden="1" customHeight="1">
      <c r="A191" s="72">
        <v>46066</v>
      </c>
      <c r="B191" s="58" t="s">
        <v>124</v>
      </c>
      <c r="C191" s="60" t="s">
        <v>138</v>
      </c>
      <c r="D191" s="61">
        <v>0.60069444444444442</v>
      </c>
      <c r="E191" s="61">
        <v>0.60416666666666663</v>
      </c>
      <c r="F191" s="65">
        <f t="shared" si="4"/>
        <v>3.4722222222222099E-3</v>
      </c>
      <c r="G191" s="59">
        <f t="shared" si="6"/>
        <v>4</v>
      </c>
      <c r="H191" s="70"/>
      <c r="I191" s="70"/>
      <c r="J191" s="60"/>
      <c r="K191" s="60" t="s">
        <v>181</v>
      </c>
      <c r="L191" s="66"/>
    </row>
    <row r="192" spans="1:12" ht="14.25" hidden="1" customHeight="1">
      <c r="A192" s="72">
        <v>46066</v>
      </c>
      <c r="B192" s="58" t="s">
        <v>132</v>
      </c>
      <c r="C192" s="60" t="s">
        <v>138</v>
      </c>
      <c r="D192" s="61">
        <v>0.68402777777777779</v>
      </c>
      <c r="E192" s="61">
        <v>0.69097222222222221</v>
      </c>
      <c r="F192" s="65">
        <f t="shared" si="4"/>
        <v>6.9444444444444198E-3</v>
      </c>
      <c r="G192" s="59">
        <f t="shared" si="6"/>
        <v>9</v>
      </c>
      <c r="H192" s="70"/>
      <c r="I192" s="70"/>
      <c r="J192" s="60"/>
      <c r="K192" s="60" t="s">
        <v>182</v>
      </c>
      <c r="L192" s="66"/>
    </row>
    <row r="193" spans="1:12" ht="14.25" customHeight="1">
      <c r="A193" s="72">
        <v>46066</v>
      </c>
      <c r="B193" s="58" t="s">
        <v>132</v>
      </c>
      <c r="C193" s="60" t="s">
        <v>137</v>
      </c>
      <c r="D193" s="61">
        <v>0.82638888888888884</v>
      </c>
      <c r="E193" s="61">
        <v>0.86111111111111116</v>
      </c>
      <c r="F193" s="65">
        <f t="shared" si="4"/>
        <v>3.4722222222222321E-2</v>
      </c>
      <c r="G193" s="59">
        <f t="shared" si="6"/>
        <v>50</v>
      </c>
      <c r="H193" s="70"/>
      <c r="I193" s="70"/>
      <c r="J193" s="60"/>
      <c r="K193" s="60"/>
      <c r="L193" s="67"/>
    </row>
    <row r="194" spans="1:12" ht="14.25" hidden="1" customHeight="1">
      <c r="A194" s="72">
        <v>46067</v>
      </c>
      <c r="B194" s="58" t="s">
        <v>121</v>
      </c>
      <c r="C194" s="60" t="s">
        <v>138</v>
      </c>
      <c r="D194" s="61">
        <v>0.58333333333333337</v>
      </c>
      <c r="E194" s="61">
        <v>0.59722222222222221</v>
      </c>
      <c r="F194" s="65">
        <f t="shared" si="4"/>
        <v>1.388888888888884E-2</v>
      </c>
      <c r="G194" s="59">
        <f t="shared" si="6"/>
        <v>19</v>
      </c>
      <c r="H194" s="70"/>
      <c r="I194" s="70"/>
      <c r="J194" s="60"/>
      <c r="K194" s="60" t="s">
        <v>183</v>
      </c>
      <c r="L194" s="60"/>
    </row>
    <row r="195" spans="1:12" ht="14.25" hidden="1" customHeight="1">
      <c r="A195" s="72">
        <v>46067</v>
      </c>
      <c r="B195" s="58" t="s">
        <v>122</v>
      </c>
      <c r="C195" s="60" t="s">
        <v>138</v>
      </c>
      <c r="D195" s="61">
        <v>0.84722222222222221</v>
      </c>
      <c r="E195" s="61">
        <v>0.86805555555555547</v>
      </c>
      <c r="F195" s="65">
        <f t="shared" ref="F195:F258" si="7">+(E195-D195)</f>
        <v>2.0833333333333259E-2</v>
      </c>
      <c r="G195" s="59">
        <f t="shared" ref="G195:G258" si="8">INT(F195*1440)</f>
        <v>29</v>
      </c>
      <c r="H195" s="70"/>
      <c r="I195" s="70"/>
      <c r="J195" s="60"/>
      <c r="K195" s="60" t="s">
        <v>184</v>
      </c>
      <c r="L195" s="66" t="s">
        <v>185</v>
      </c>
    </row>
    <row r="196" spans="1:12" ht="14.25" hidden="1" customHeight="1">
      <c r="A196" s="72">
        <v>46067</v>
      </c>
      <c r="B196" s="58" t="s">
        <v>122</v>
      </c>
      <c r="C196" s="60" t="s">
        <v>138</v>
      </c>
      <c r="D196" s="61">
        <v>0.86805555555555547</v>
      </c>
      <c r="E196" s="61">
        <v>0.89583333333333337</v>
      </c>
      <c r="F196" s="65">
        <f t="shared" si="7"/>
        <v>2.7777777777777901E-2</v>
      </c>
      <c r="G196" s="59">
        <f t="shared" si="8"/>
        <v>40</v>
      </c>
      <c r="H196" s="70"/>
      <c r="I196" s="70"/>
      <c r="J196" s="60"/>
      <c r="K196" s="60" t="s">
        <v>186</v>
      </c>
      <c r="L196" s="66" t="s">
        <v>187</v>
      </c>
    </row>
    <row r="197" spans="1:12" ht="14.25" hidden="1" customHeight="1">
      <c r="A197" s="72">
        <v>46067</v>
      </c>
      <c r="B197" s="58" t="s">
        <v>122</v>
      </c>
      <c r="C197" s="60" t="s">
        <v>138</v>
      </c>
      <c r="D197" s="61">
        <v>0.89583333333333337</v>
      </c>
      <c r="E197" s="61">
        <v>1</v>
      </c>
      <c r="F197" s="65">
        <f t="shared" si="7"/>
        <v>0.10416666666666663</v>
      </c>
      <c r="G197" s="59">
        <f t="shared" si="8"/>
        <v>150</v>
      </c>
      <c r="H197" s="70"/>
      <c r="I197" s="70"/>
      <c r="J197" s="60"/>
      <c r="K197" s="60" t="s">
        <v>188</v>
      </c>
      <c r="L197" s="66" t="s">
        <v>189</v>
      </c>
    </row>
    <row r="198" spans="1:12" ht="14.25" hidden="1" customHeight="1">
      <c r="A198" s="72">
        <v>46067</v>
      </c>
      <c r="B198" s="58" t="s">
        <v>122</v>
      </c>
      <c r="C198" s="60" t="s">
        <v>148</v>
      </c>
      <c r="D198" s="61">
        <v>1.8055555555555557E-2</v>
      </c>
      <c r="E198" s="61">
        <v>3.4722222222222224E-2</v>
      </c>
      <c r="F198" s="65">
        <f t="shared" si="7"/>
        <v>1.6666666666666666E-2</v>
      </c>
      <c r="G198" s="59">
        <f t="shared" si="8"/>
        <v>24</v>
      </c>
      <c r="H198" s="70"/>
      <c r="I198" s="70"/>
      <c r="J198" s="60"/>
      <c r="K198" s="60"/>
      <c r="L198" s="67"/>
    </row>
    <row r="199" spans="1:12" ht="14.25" hidden="1" customHeight="1">
      <c r="A199" s="72">
        <v>46067</v>
      </c>
      <c r="B199" s="58" t="s">
        <v>122</v>
      </c>
      <c r="C199" s="60" t="s">
        <v>138</v>
      </c>
      <c r="D199" s="61">
        <v>5.5555555555555552E-2</v>
      </c>
      <c r="E199" s="61">
        <v>0.125</v>
      </c>
      <c r="F199" s="65">
        <f t="shared" si="7"/>
        <v>6.9444444444444448E-2</v>
      </c>
      <c r="G199" s="59">
        <f t="shared" si="8"/>
        <v>100</v>
      </c>
      <c r="H199" s="70"/>
      <c r="I199" s="70"/>
      <c r="J199" s="60"/>
      <c r="K199" s="60"/>
      <c r="L199" s="66"/>
    </row>
    <row r="200" spans="1:12" ht="14.25" hidden="1" customHeight="1">
      <c r="A200" s="72">
        <v>46067</v>
      </c>
      <c r="B200" s="58" t="s">
        <v>122</v>
      </c>
      <c r="C200" s="60" t="s">
        <v>138</v>
      </c>
      <c r="D200" s="61">
        <v>0.44444444444444442</v>
      </c>
      <c r="E200" s="61">
        <v>0.49305555555555558</v>
      </c>
      <c r="F200" s="65">
        <f t="shared" si="7"/>
        <v>4.861111111111116E-2</v>
      </c>
      <c r="G200" s="59">
        <f t="shared" si="8"/>
        <v>70</v>
      </c>
      <c r="H200" s="70"/>
      <c r="I200" s="70"/>
      <c r="J200" s="60"/>
      <c r="K200" s="60" t="s">
        <v>190</v>
      </c>
      <c r="L200" s="67"/>
    </row>
    <row r="201" spans="1:12" ht="14.25" hidden="1" customHeight="1">
      <c r="A201" s="72">
        <v>46067</v>
      </c>
      <c r="B201" s="58" t="s">
        <v>122</v>
      </c>
      <c r="C201" s="60" t="s">
        <v>138</v>
      </c>
      <c r="D201" s="61">
        <v>0.5625</v>
      </c>
      <c r="E201" s="61">
        <v>0.58333333333333337</v>
      </c>
      <c r="F201" s="65">
        <f t="shared" si="7"/>
        <v>2.083333333333337E-2</v>
      </c>
      <c r="G201" s="59">
        <f t="shared" si="8"/>
        <v>30</v>
      </c>
      <c r="H201" s="70"/>
      <c r="I201" s="70"/>
      <c r="J201" s="60"/>
      <c r="K201" s="60" t="s">
        <v>191</v>
      </c>
      <c r="L201" s="67"/>
    </row>
    <row r="202" spans="1:12" ht="14.25" hidden="1" customHeight="1">
      <c r="A202" s="72">
        <v>46067</v>
      </c>
      <c r="B202" s="58" t="s">
        <v>122</v>
      </c>
      <c r="C202" s="60" t="s">
        <v>138</v>
      </c>
      <c r="D202" s="61">
        <v>0.59722222222222221</v>
      </c>
      <c r="E202" s="61">
        <v>0.61805555555555558</v>
      </c>
      <c r="F202" s="65">
        <f t="shared" si="7"/>
        <v>2.083333333333337E-2</v>
      </c>
      <c r="G202" s="59">
        <f t="shared" si="8"/>
        <v>30</v>
      </c>
      <c r="H202" s="70"/>
      <c r="I202" s="70"/>
      <c r="J202" s="60"/>
      <c r="K202" s="60" t="s">
        <v>184</v>
      </c>
      <c r="L202" s="66" t="s">
        <v>192</v>
      </c>
    </row>
    <row r="203" spans="1:12" ht="14.25" hidden="1" customHeight="1">
      <c r="A203" s="72">
        <v>46067</v>
      </c>
      <c r="B203" s="58" t="s">
        <v>122</v>
      </c>
      <c r="C203" s="60" t="s">
        <v>138</v>
      </c>
      <c r="D203" s="61">
        <v>0.63194444444444442</v>
      </c>
      <c r="E203" s="61">
        <v>0.79861111111111116</v>
      </c>
      <c r="F203" s="65">
        <f t="shared" si="7"/>
        <v>0.16666666666666674</v>
      </c>
      <c r="G203" s="59">
        <f t="shared" si="8"/>
        <v>240</v>
      </c>
      <c r="H203" s="70"/>
      <c r="I203" s="70"/>
      <c r="J203" s="60"/>
      <c r="K203" s="60" t="s">
        <v>193</v>
      </c>
      <c r="L203" s="60"/>
    </row>
    <row r="204" spans="1:12" ht="14.25" hidden="1" customHeight="1">
      <c r="A204" s="72">
        <v>46067</v>
      </c>
      <c r="B204" s="58" t="s">
        <v>123</v>
      </c>
      <c r="C204" s="60" t="s">
        <v>138</v>
      </c>
      <c r="D204" s="61">
        <v>0.30208333333333331</v>
      </c>
      <c r="E204" s="75">
        <v>0.3125</v>
      </c>
      <c r="F204" s="65">
        <f t="shared" si="7"/>
        <v>1.0416666666666685E-2</v>
      </c>
      <c r="G204" s="59">
        <f t="shared" si="8"/>
        <v>15</v>
      </c>
      <c r="H204" s="70"/>
      <c r="I204" s="70"/>
      <c r="J204" s="60"/>
      <c r="K204" s="60"/>
      <c r="L204" s="60"/>
    </row>
    <row r="205" spans="1:12" ht="14.25" hidden="1" customHeight="1">
      <c r="A205" s="72">
        <v>46067</v>
      </c>
      <c r="B205" s="58" t="s">
        <v>124</v>
      </c>
      <c r="C205" s="60" t="s">
        <v>138</v>
      </c>
      <c r="D205" s="61">
        <v>0.30555555555555552</v>
      </c>
      <c r="E205" s="61">
        <v>0.30902777777777779</v>
      </c>
      <c r="F205" s="65">
        <f t="shared" si="7"/>
        <v>3.4722222222222654E-3</v>
      </c>
      <c r="G205" s="59">
        <f t="shared" si="8"/>
        <v>5</v>
      </c>
      <c r="H205" s="70"/>
      <c r="I205" s="70"/>
      <c r="J205" s="60">
        <f>INT([2]DOWNTIME!$F205*1440)</f>
        <v>180</v>
      </c>
      <c r="K205" s="60" t="s">
        <v>184</v>
      </c>
      <c r="L205" s="66"/>
    </row>
    <row r="206" spans="1:12" ht="14.25" hidden="1" customHeight="1">
      <c r="A206" s="72">
        <v>46067</v>
      </c>
      <c r="B206" s="58" t="s">
        <v>124</v>
      </c>
      <c r="C206" s="60" t="s">
        <v>138</v>
      </c>
      <c r="D206" s="61">
        <v>0.69791666666666663</v>
      </c>
      <c r="E206" s="61">
        <v>0.70833333333333337</v>
      </c>
      <c r="F206" s="65">
        <f t="shared" si="7"/>
        <v>1.0416666666666741E-2</v>
      </c>
      <c r="G206" s="59">
        <f t="shared" si="8"/>
        <v>15</v>
      </c>
      <c r="H206" s="70"/>
      <c r="I206" s="70"/>
      <c r="J206" s="60">
        <f>INT([2]DOWNTIME!$F206*1440)</f>
        <v>130</v>
      </c>
      <c r="K206" s="60" t="s">
        <v>184</v>
      </c>
      <c r="L206" s="66"/>
    </row>
    <row r="207" spans="1:12" ht="14.25" customHeight="1">
      <c r="A207" s="72">
        <v>46067</v>
      </c>
      <c r="B207" s="58" t="s">
        <v>124</v>
      </c>
      <c r="C207" s="60" t="s">
        <v>137</v>
      </c>
      <c r="D207" s="61">
        <v>0.76388888888888884</v>
      </c>
      <c r="E207" s="61">
        <v>0.79166666666666663</v>
      </c>
      <c r="F207" s="65">
        <f t="shared" si="7"/>
        <v>2.777777777777779E-2</v>
      </c>
      <c r="G207" s="59">
        <f t="shared" si="8"/>
        <v>40</v>
      </c>
      <c r="H207" s="70"/>
      <c r="I207" s="70"/>
      <c r="J207" s="60"/>
      <c r="K207" s="60"/>
      <c r="L207" s="66"/>
    </row>
    <row r="208" spans="1:12" ht="14.25" hidden="1" customHeight="1">
      <c r="A208" s="72">
        <v>46067</v>
      </c>
      <c r="B208" s="58" t="s">
        <v>132</v>
      </c>
      <c r="C208" s="60" t="s">
        <v>148</v>
      </c>
      <c r="D208" s="61">
        <v>0.65972222222222221</v>
      </c>
      <c r="E208" s="61">
        <v>0.67013888888888884</v>
      </c>
      <c r="F208" s="65">
        <f t="shared" si="7"/>
        <v>1.041666666666663E-2</v>
      </c>
      <c r="G208" s="59">
        <f t="shared" si="8"/>
        <v>14</v>
      </c>
      <c r="H208" s="70"/>
      <c r="I208" s="70"/>
      <c r="J208" s="60"/>
      <c r="K208" s="60"/>
      <c r="L208" s="67"/>
    </row>
    <row r="209" spans="1:12" ht="14.25" hidden="1" customHeight="1">
      <c r="A209" s="72">
        <v>46069</v>
      </c>
      <c r="B209" s="58" t="s">
        <v>122</v>
      </c>
      <c r="C209" s="60" t="s">
        <v>138</v>
      </c>
      <c r="D209" s="61">
        <v>0.31041666666666667</v>
      </c>
      <c r="E209" s="61">
        <v>0.44444444444444442</v>
      </c>
      <c r="F209" s="65">
        <f t="shared" si="7"/>
        <v>0.13402777777777775</v>
      </c>
      <c r="G209" s="59">
        <f t="shared" si="8"/>
        <v>193</v>
      </c>
      <c r="H209" s="70"/>
      <c r="I209" s="70"/>
      <c r="J209" s="60"/>
      <c r="K209" s="60" t="s">
        <v>194</v>
      </c>
      <c r="L209" s="66"/>
    </row>
    <row r="210" spans="1:12" ht="12" hidden="1" customHeight="1">
      <c r="A210" s="72">
        <v>46069</v>
      </c>
      <c r="B210" s="58" t="s">
        <v>122</v>
      </c>
      <c r="C210" s="60" t="s">
        <v>138</v>
      </c>
      <c r="D210" s="61">
        <v>0.52083333333333337</v>
      </c>
      <c r="E210" s="61">
        <v>0.55555555555555558</v>
      </c>
      <c r="F210" s="65">
        <f t="shared" si="7"/>
        <v>3.472222222222221E-2</v>
      </c>
      <c r="G210" s="59">
        <f t="shared" si="8"/>
        <v>50</v>
      </c>
      <c r="H210" s="70"/>
      <c r="I210" s="70"/>
      <c r="J210" s="60"/>
      <c r="K210" s="60" t="s">
        <v>195</v>
      </c>
      <c r="L210" s="66"/>
    </row>
    <row r="211" spans="1:12" ht="14.25" hidden="1" customHeight="1">
      <c r="A211" s="72">
        <v>46069</v>
      </c>
      <c r="B211" s="58" t="s">
        <v>122</v>
      </c>
      <c r="C211" s="60" t="s">
        <v>138</v>
      </c>
      <c r="D211" s="61">
        <v>0.54166666666666663</v>
      </c>
      <c r="E211" s="61">
        <v>0.72222222222222221</v>
      </c>
      <c r="F211" s="65">
        <f t="shared" si="7"/>
        <v>0.18055555555555558</v>
      </c>
      <c r="G211" s="59">
        <f t="shared" si="8"/>
        <v>260</v>
      </c>
      <c r="H211" s="70"/>
      <c r="I211" s="70"/>
      <c r="J211" s="60"/>
      <c r="K211" s="60"/>
      <c r="L211" s="60"/>
    </row>
    <row r="212" spans="1:12" ht="14.25" hidden="1" customHeight="1">
      <c r="A212" s="72">
        <v>46069</v>
      </c>
      <c r="B212" s="58" t="s">
        <v>122</v>
      </c>
      <c r="C212" s="60" t="s">
        <v>138</v>
      </c>
      <c r="D212" s="61">
        <v>0.79166666666666663</v>
      </c>
      <c r="E212" s="61">
        <v>0.82291666666666663</v>
      </c>
      <c r="F212" s="65">
        <f t="shared" si="7"/>
        <v>3.125E-2</v>
      </c>
      <c r="G212" s="59">
        <f t="shared" si="8"/>
        <v>45</v>
      </c>
      <c r="H212" s="70"/>
      <c r="I212" s="70"/>
      <c r="J212" s="60"/>
      <c r="K212" s="60"/>
      <c r="L212" s="60"/>
    </row>
    <row r="213" spans="1:12" ht="14.25" hidden="1" customHeight="1">
      <c r="A213" s="72">
        <v>46069</v>
      </c>
      <c r="B213" s="58" t="s">
        <v>122</v>
      </c>
      <c r="C213" s="60" t="s">
        <v>138</v>
      </c>
      <c r="D213" s="61">
        <v>0.86458333333333337</v>
      </c>
      <c r="E213" s="61">
        <v>0.875</v>
      </c>
      <c r="F213" s="65">
        <f t="shared" si="7"/>
        <v>1.041666666666663E-2</v>
      </c>
      <c r="G213" s="59">
        <f t="shared" si="8"/>
        <v>14</v>
      </c>
      <c r="H213" s="70"/>
      <c r="I213" s="70"/>
      <c r="J213" s="60"/>
      <c r="K213" s="60"/>
      <c r="L213" s="60"/>
    </row>
    <row r="214" spans="1:12" ht="14.25" hidden="1" customHeight="1">
      <c r="A214" s="72">
        <v>46069</v>
      </c>
      <c r="B214" s="58" t="s">
        <v>122</v>
      </c>
      <c r="C214" s="60" t="s">
        <v>138</v>
      </c>
      <c r="D214" s="61">
        <v>0.89930555555555547</v>
      </c>
      <c r="E214" s="61">
        <v>0.91319444444444453</v>
      </c>
      <c r="F214" s="65">
        <f t="shared" si="7"/>
        <v>1.3888888888889062E-2</v>
      </c>
      <c r="G214" s="59">
        <f t="shared" si="8"/>
        <v>20</v>
      </c>
      <c r="H214" s="70"/>
      <c r="I214" s="70"/>
      <c r="J214" s="60"/>
      <c r="K214" s="60"/>
      <c r="L214" s="60"/>
    </row>
    <row r="215" spans="1:12" ht="14.25" hidden="1" customHeight="1">
      <c r="A215" s="72">
        <v>46069</v>
      </c>
      <c r="B215" s="58" t="s">
        <v>122</v>
      </c>
      <c r="C215" s="60" t="s">
        <v>138</v>
      </c>
      <c r="D215" s="61">
        <v>0.91666666666666663</v>
      </c>
      <c r="E215" s="61">
        <v>0.92361111111111116</v>
      </c>
      <c r="F215" s="65">
        <f t="shared" si="7"/>
        <v>6.9444444444445308E-3</v>
      </c>
      <c r="G215" s="59">
        <f t="shared" si="8"/>
        <v>10</v>
      </c>
      <c r="H215" s="70"/>
      <c r="I215" s="70"/>
      <c r="J215" s="60"/>
      <c r="K215" s="60"/>
      <c r="L215" s="60"/>
    </row>
    <row r="216" spans="1:12" ht="14.25" hidden="1" customHeight="1">
      <c r="A216" s="72">
        <v>46069</v>
      </c>
      <c r="B216" s="58" t="s">
        <v>122</v>
      </c>
      <c r="C216" s="60" t="s">
        <v>140</v>
      </c>
      <c r="D216" s="61">
        <v>0.17708333333333334</v>
      </c>
      <c r="E216" s="61">
        <v>0.1875</v>
      </c>
      <c r="F216" s="65">
        <f t="shared" si="7"/>
        <v>1.0416666666666657E-2</v>
      </c>
      <c r="G216" s="59">
        <f t="shared" si="8"/>
        <v>15</v>
      </c>
      <c r="H216" s="70"/>
      <c r="I216" s="70"/>
      <c r="J216" s="60"/>
      <c r="K216" s="60"/>
      <c r="L216" s="60"/>
    </row>
    <row r="217" spans="1:12" ht="14.25" hidden="1" customHeight="1">
      <c r="A217" s="72">
        <v>46069</v>
      </c>
      <c r="B217" s="58" t="s">
        <v>123</v>
      </c>
      <c r="C217" s="60" t="s">
        <v>138</v>
      </c>
      <c r="D217" s="61">
        <v>0.63888888888888895</v>
      </c>
      <c r="E217" s="61">
        <v>0.65277777777777779</v>
      </c>
      <c r="F217" s="65">
        <f t="shared" si="7"/>
        <v>1.388888888888884E-2</v>
      </c>
      <c r="G217" s="59">
        <f t="shared" si="8"/>
        <v>19</v>
      </c>
      <c r="H217" s="70"/>
      <c r="I217" s="70"/>
      <c r="J217" s="60"/>
      <c r="K217" s="60" t="s">
        <v>196</v>
      </c>
      <c r="L217" s="60"/>
    </row>
    <row r="218" spans="1:12" ht="14.25" hidden="1" customHeight="1">
      <c r="A218" s="72">
        <v>46069</v>
      </c>
      <c r="B218" s="58" t="s">
        <v>123</v>
      </c>
      <c r="C218" s="60" t="s">
        <v>143</v>
      </c>
      <c r="D218" s="61">
        <v>0.99305555555555547</v>
      </c>
      <c r="E218" s="61">
        <v>1</v>
      </c>
      <c r="F218" s="65">
        <f t="shared" si="7"/>
        <v>6.9444444444445308E-3</v>
      </c>
      <c r="G218" s="59">
        <f t="shared" si="8"/>
        <v>10</v>
      </c>
      <c r="H218" s="70"/>
      <c r="I218" s="70"/>
      <c r="J218" s="60"/>
      <c r="K218" s="60"/>
      <c r="L218" s="60"/>
    </row>
    <row r="219" spans="1:12" ht="14.25" hidden="1" customHeight="1">
      <c r="A219" s="72">
        <v>46069</v>
      </c>
      <c r="B219" s="58" t="s">
        <v>123</v>
      </c>
      <c r="C219" s="60" t="s">
        <v>143</v>
      </c>
      <c r="D219" s="61">
        <v>4.8611111111111112E-2</v>
      </c>
      <c r="E219" s="61">
        <v>5.5555555555555552E-2</v>
      </c>
      <c r="F219" s="65">
        <f t="shared" si="7"/>
        <v>6.9444444444444406E-3</v>
      </c>
      <c r="G219" s="59">
        <f t="shared" si="8"/>
        <v>9</v>
      </c>
      <c r="H219" s="70"/>
      <c r="I219" s="70"/>
      <c r="J219" s="60"/>
      <c r="K219" s="60"/>
      <c r="L219" s="60"/>
    </row>
    <row r="220" spans="1:12" ht="14.25" customHeight="1">
      <c r="A220" s="72">
        <v>46069</v>
      </c>
      <c r="B220" s="58" t="s">
        <v>124</v>
      </c>
      <c r="C220" s="60" t="s">
        <v>137</v>
      </c>
      <c r="D220" s="61">
        <v>0.58680555555555558</v>
      </c>
      <c r="E220" s="61">
        <v>0.61111111111111105</v>
      </c>
      <c r="F220" s="65">
        <f t="shared" si="7"/>
        <v>2.4305555555555469E-2</v>
      </c>
      <c r="G220" s="59">
        <f t="shared" si="8"/>
        <v>34</v>
      </c>
      <c r="H220" s="70"/>
      <c r="I220" s="70"/>
      <c r="J220" s="60"/>
      <c r="K220" s="60"/>
      <c r="L220" s="60"/>
    </row>
    <row r="221" spans="1:12" ht="14.25" customHeight="1">
      <c r="A221" s="72">
        <v>46069</v>
      </c>
      <c r="B221" s="58" t="s">
        <v>124</v>
      </c>
      <c r="C221" s="60" t="s">
        <v>137</v>
      </c>
      <c r="D221" s="61">
        <v>0.62152777777777779</v>
      </c>
      <c r="E221" s="61">
        <v>0.63888888888888895</v>
      </c>
      <c r="F221" s="65">
        <f t="shared" si="7"/>
        <v>1.736111111111116E-2</v>
      </c>
      <c r="G221" s="59">
        <f t="shared" si="8"/>
        <v>25</v>
      </c>
      <c r="H221" s="70"/>
      <c r="I221" s="70"/>
      <c r="J221" s="60"/>
      <c r="K221" s="60"/>
      <c r="L221" s="60"/>
    </row>
    <row r="222" spans="1:12" ht="14.25" customHeight="1">
      <c r="A222" s="72">
        <v>46069</v>
      </c>
      <c r="B222" s="58" t="s">
        <v>124</v>
      </c>
      <c r="C222" s="60" t="s">
        <v>137</v>
      </c>
      <c r="D222" s="61">
        <v>0.93055555555555547</v>
      </c>
      <c r="E222" s="61">
        <v>0.95138888888888884</v>
      </c>
      <c r="F222" s="65">
        <f t="shared" si="7"/>
        <v>2.083333333333337E-2</v>
      </c>
      <c r="G222" s="59">
        <f t="shared" si="8"/>
        <v>30</v>
      </c>
      <c r="H222" s="70"/>
      <c r="I222" s="70"/>
      <c r="J222" s="60"/>
      <c r="K222" s="60"/>
      <c r="L222" s="60"/>
    </row>
    <row r="223" spans="1:12" ht="14.25" customHeight="1">
      <c r="A223" s="72">
        <v>46069</v>
      </c>
      <c r="B223" s="58" t="s">
        <v>124</v>
      </c>
      <c r="C223" s="60" t="s">
        <v>137</v>
      </c>
      <c r="D223" s="61">
        <v>4.8611111111111112E-2</v>
      </c>
      <c r="E223" s="61">
        <v>5.5555555555555552E-2</v>
      </c>
      <c r="F223" s="65">
        <f t="shared" si="7"/>
        <v>6.9444444444444406E-3</v>
      </c>
      <c r="G223" s="59">
        <f t="shared" si="8"/>
        <v>9</v>
      </c>
      <c r="H223" s="70"/>
      <c r="I223" s="70"/>
      <c r="J223" s="60"/>
      <c r="K223" s="60"/>
      <c r="L223" s="66"/>
    </row>
    <row r="224" spans="1:12" ht="14.25" hidden="1" customHeight="1">
      <c r="A224" s="72">
        <v>46069</v>
      </c>
      <c r="B224" s="58" t="s">
        <v>124</v>
      </c>
      <c r="C224" s="60" t="s">
        <v>158</v>
      </c>
      <c r="D224" s="61">
        <v>0.1423611111111111</v>
      </c>
      <c r="E224" s="61">
        <v>0.15833333333333333</v>
      </c>
      <c r="F224" s="65">
        <f t="shared" si="7"/>
        <v>1.5972222222222221E-2</v>
      </c>
      <c r="G224" s="59">
        <f t="shared" si="8"/>
        <v>23</v>
      </c>
      <c r="H224" s="70"/>
      <c r="I224" s="70"/>
      <c r="J224" s="60"/>
      <c r="K224" s="60"/>
      <c r="L224" s="60"/>
    </row>
    <row r="225" spans="1:12" ht="14.25" customHeight="1">
      <c r="A225" s="72">
        <v>46069</v>
      </c>
      <c r="B225" s="58" t="s">
        <v>132</v>
      </c>
      <c r="C225" s="60" t="s">
        <v>137</v>
      </c>
      <c r="D225" s="61">
        <v>0.43402777777777773</v>
      </c>
      <c r="E225" s="61">
        <v>0.58333333333333337</v>
      </c>
      <c r="F225" s="65">
        <f t="shared" si="7"/>
        <v>0.14930555555555564</v>
      </c>
      <c r="G225" s="59">
        <f t="shared" si="8"/>
        <v>215</v>
      </c>
      <c r="H225" s="70"/>
      <c r="I225" s="70"/>
      <c r="J225" s="60"/>
      <c r="K225" s="60"/>
      <c r="L225" s="60"/>
    </row>
    <row r="226" spans="1:12" ht="14.25" hidden="1" customHeight="1">
      <c r="A226" s="72">
        <v>46069</v>
      </c>
      <c r="B226" s="58" t="s">
        <v>132</v>
      </c>
      <c r="C226" s="60" t="s">
        <v>138</v>
      </c>
      <c r="D226" s="61">
        <v>0.5</v>
      </c>
      <c r="E226" s="61">
        <v>0.57638888888888895</v>
      </c>
      <c r="F226" s="65">
        <f t="shared" si="7"/>
        <v>7.6388888888888951E-2</v>
      </c>
      <c r="G226" s="59">
        <f t="shared" si="8"/>
        <v>110</v>
      </c>
      <c r="H226" s="70"/>
      <c r="I226" s="70"/>
      <c r="J226" s="60"/>
      <c r="K226" s="60"/>
      <c r="L226" s="60"/>
    </row>
    <row r="227" spans="1:12" ht="14.25" customHeight="1">
      <c r="A227" s="72">
        <v>46069</v>
      </c>
      <c r="B227" s="58" t="s">
        <v>132</v>
      </c>
      <c r="C227" s="60" t="s">
        <v>137</v>
      </c>
      <c r="D227" s="61">
        <v>0.875</v>
      </c>
      <c r="E227" s="61">
        <v>0.95138888888888884</v>
      </c>
      <c r="F227" s="65">
        <f t="shared" si="7"/>
        <v>7.638888888888884E-2</v>
      </c>
      <c r="G227" s="59">
        <f t="shared" si="8"/>
        <v>110</v>
      </c>
      <c r="H227" s="70"/>
      <c r="I227" s="70"/>
      <c r="J227" s="60"/>
      <c r="K227" s="60"/>
      <c r="L227" s="60"/>
    </row>
    <row r="228" spans="1:12" ht="14.25" customHeight="1">
      <c r="A228" s="72">
        <v>46069</v>
      </c>
      <c r="B228" s="58" t="s">
        <v>132</v>
      </c>
      <c r="C228" s="60" t="s">
        <v>137</v>
      </c>
      <c r="D228" s="61">
        <v>2.7777777777777776E-2</v>
      </c>
      <c r="E228" s="61">
        <v>5.5555555555555552E-2</v>
      </c>
      <c r="F228" s="65">
        <f t="shared" si="7"/>
        <v>2.7777777777777776E-2</v>
      </c>
      <c r="G228" s="59">
        <f t="shared" si="8"/>
        <v>40</v>
      </c>
      <c r="H228" s="70"/>
      <c r="I228" s="70"/>
      <c r="J228" s="60"/>
      <c r="K228" s="60"/>
      <c r="L228" s="60"/>
    </row>
    <row r="229" spans="1:12" ht="14.25" customHeight="1">
      <c r="A229" s="72">
        <v>46070</v>
      </c>
      <c r="B229" s="58" t="s">
        <v>120</v>
      </c>
      <c r="C229" s="60" t="s">
        <v>137</v>
      </c>
      <c r="D229" s="61">
        <v>0.82638888888888884</v>
      </c>
      <c r="E229" s="61">
        <v>0.86111111111111116</v>
      </c>
      <c r="F229" s="65">
        <f t="shared" si="7"/>
        <v>3.4722222222222321E-2</v>
      </c>
      <c r="G229" s="59">
        <f t="shared" si="8"/>
        <v>50</v>
      </c>
      <c r="H229" s="70"/>
      <c r="I229" s="70"/>
      <c r="J229" s="60"/>
      <c r="K229" s="60"/>
      <c r="L229" s="60"/>
    </row>
    <row r="230" spans="1:12" ht="14.25" customHeight="1">
      <c r="A230" s="72">
        <v>46070</v>
      </c>
      <c r="B230" s="58" t="s">
        <v>120</v>
      </c>
      <c r="C230" s="60" t="s">
        <v>137</v>
      </c>
      <c r="D230" s="61">
        <v>0.90277777777777779</v>
      </c>
      <c r="E230" s="61">
        <v>0.92013888888888884</v>
      </c>
      <c r="F230" s="65">
        <f t="shared" si="7"/>
        <v>1.7361111111111049E-2</v>
      </c>
      <c r="G230" s="59">
        <f t="shared" si="8"/>
        <v>24</v>
      </c>
      <c r="H230" s="70"/>
      <c r="I230" s="70"/>
      <c r="J230" s="60"/>
      <c r="K230" s="60"/>
      <c r="L230" s="60"/>
    </row>
    <row r="231" spans="1:12" ht="14.25" hidden="1" customHeight="1">
      <c r="A231" s="72">
        <v>46070</v>
      </c>
      <c r="B231" s="58" t="s">
        <v>122</v>
      </c>
      <c r="C231" s="60" t="s">
        <v>148</v>
      </c>
      <c r="D231" s="61">
        <v>0.39027777777777778</v>
      </c>
      <c r="E231" s="61">
        <v>0.45833333333333331</v>
      </c>
      <c r="F231" s="65">
        <f t="shared" si="7"/>
        <v>6.8055555555555536E-2</v>
      </c>
      <c r="G231" s="59">
        <f t="shared" si="8"/>
        <v>98</v>
      </c>
      <c r="H231" s="70"/>
      <c r="I231" s="70"/>
      <c r="J231" s="60"/>
      <c r="K231" s="60" t="s">
        <v>196</v>
      </c>
      <c r="L231" s="60"/>
    </row>
    <row r="232" spans="1:12" ht="14.25" customHeight="1">
      <c r="A232" s="72">
        <v>46070</v>
      </c>
      <c r="B232" s="58" t="s">
        <v>122</v>
      </c>
      <c r="C232" s="60" t="s">
        <v>137</v>
      </c>
      <c r="D232" s="61">
        <v>0.83333333333333337</v>
      </c>
      <c r="E232" s="61">
        <v>0.85763888888888884</v>
      </c>
      <c r="F232" s="65">
        <f t="shared" si="7"/>
        <v>2.4305555555555469E-2</v>
      </c>
      <c r="G232" s="59">
        <f t="shared" si="8"/>
        <v>34</v>
      </c>
      <c r="H232" s="70"/>
      <c r="I232" s="70"/>
      <c r="J232" s="60"/>
      <c r="K232" s="60"/>
      <c r="L232" s="60"/>
    </row>
    <row r="233" spans="1:12" ht="14.25" hidden="1" customHeight="1">
      <c r="A233" s="72">
        <v>46070</v>
      </c>
      <c r="B233" s="58" t="s">
        <v>122</v>
      </c>
      <c r="C233" s="60" t="s">
        <v>148</v>
      </c>
      <c r="D233" s="61">
        <v>0.875</v>
      </c>
      <c r="E233" s="61">
        <v>0.88541666666666663</v>
      </c>
      <c r="F233" s="65">
        <f t="shared" si="7"/>
        <v>1.041666666666663E-2</v>
      </c>
      <c r="G233" s="59">
        <f t="shared" si="8"/>
        <v>14</v>
      </c>
      <c r="H233" s="70"/>
      <c r="I233" s="70"/>
      <c r="J233" s="60"/>
      <c r="K233" s="60"/>
      <c r="L233" s="60"/>
    </row>
    <row r="234" spans="1:12" ht="14.25" hidden="1" customHeight="1">
      <c r="A234" s="72">
        <v>46070</v>
      </c>
      <c r="B234" s="58" t="s">
        <v>122</v>
      </c>
      <c r="C234" s="60" t="s">
        <v>148</v>
      </c>
      <c r="D234" s="61">
        <v>0.94791666666666663</v>
      </c>
      <c r="E234" s="61">
        <v>0.95833333333333337</v>
      </c>
      <c r="F234" s="65">
        <f t="shared" si="7"/>
        <v>1.0416666666666741E-2</v>
      </c>
      <c r="G234" s="59">
        <f t="shared" si="8"/>
        <v>15</v>
      </c>
      <c r="H234" s="70"/>
      <c r="I234" s="70"/>
      <c r="J234" s="60"/>
      <c r="K234" s="60"/>
      <c r="L234" s="60"/>
    </row>
    <row r="235" spans="1:12" ht="14.25" hidden="1" customHeight="1">
      <c r="A235" s="72">
        <v>46070</v>
      </c>
      <c r="B235" s="58" t="s">
        <v>122</v>
      </c>
      <c r="C235" s="60" t="s">
        <v>148</v>
      </c>
      <c r="D235" s="61">
        <v>0.98402777777777783</v>
      </c>
      <c r="E235" s="61">
        <v>0.99097222222222225</v>
      </c>
      <c r="F235" s="65">
        <f t="shared" si="7"/>
        <v>6.9444444444444198E-3</v>
      </c>
      <c r="G235" s="59">
        <f t="shared" si="8"/>
        <v>9</v>
      </c>
      <c r="H235" s="70"/>
      <c r="I235" s="70"/>
      <c r="J235" s="60"/>
      <c r="K235" s="60"/>
      <c r="L235" s="60"/>
    </row>
    <row r="236" spans="1:12" ht="14.25" hidden="1" customHeight="1">
      <c r="A236" s="72">
        <v>46070</v>
      </c>
      <c r="B236" s="58" t="s">
        <v>122</v>
      </c>
      <c r="C236" s="60" t="s">
        <v>138</v>
      </c>
      <c r="D236" s="61">
        <v>4.1666666666666664E-2</v>
      </c>
      <c r="E236" s="61">
        <v>0.14583333333333334</v>
      </c>
      <c r="F236" s="65">
        <f t="shared" si="7"/>
        <v>0.10416666666666669</v>
      </c>
      <c r="G236" s="59">
        <f t="shared" si="8"/>
        <v>150</v>
      </c>
      <c r="H236" s="70"/>
      <c r="I236" s="70"/>
      <c r="J236" s="60"/>
      <c r="K236" s="60"/>
      <c r="L236" s="60"/>
    </row>
    <row r="237" spans="1:12" ht="14.25" hidden="1" customHeight="1">
      <c r="A237" s="72">
        <v>46070</v>
      </c>
      <c r="B237" s="58" t="s">
        <v>122</v>
      </c>
      <c r="C237" s="60" t="s">
        <v>148</v>
      </c>
      <c r="D237" s="61">
        <v>0.1875</v>
      </c>
      <c r="E237" s="61">
        <v>0.19791666666666666</v>
      </c>
      <c r="F237" s="65">
        <f t="shared" si="7"/>
        <v>1.0416666666666657E-2</v>
      </c>
      <c r="G237" s="59">
        <f t="shared" si="8"/>
        <v>15</v>
      </c>
      <c r="H237" s="70"/>
      <c r="I237" s="70"/>
      <c r="J237" s="60"/>
      <c r="K237" s="60"/>
      <c r="L237" s="60"/>
    </row>
    <row r="238" spans="1:12" ht="14.25" hidden="1" customHeight="1">
      <c r="A238" s="72">
        <v>46070</v>
      </c>
      <c r="B238" s="58" t="s">
        <v>122</v>
      </c>
      <c r="C238" s="60" t="s">
        <v>148</v>
      </c>
      <c r="D238" s="61">
        <v>0.20833333333333334</v>
      </c>
      <c r="E238" s="61">
        <v>0.21527777777777779</v>
      </c>
      <c r="F238" s="65">
        <f t="shared" si="7"/>
        <v>6.9444444444444475E-3</v>
      </c>
      <c r="G238" s="59">
        <f t="shared" si="8"/>
        <v>10</v>
      </c>
      <c r="H238" s="70"/>
      <c r="I238" s="70"/>
      <c r="J238" s="60"/>
      <c r="K238" s="60"/>
      <c r="L238" s="60"/>
    </row>
    <row r="239" spans="1:12" ht="14.25" hidden="1" customHeight="1">
      <c r="A239" s="72">
        <v>46070</v>
      </c>
      <c r="B239" s="58" t="s">
        <v>122</v>
      </c>
      <c r="C239" s="60" t="s">
        <v>148</v>
      </c>
      <c r="D239" s="61">
        <v>0.22916666666666666</v>
      </c>
      <c r="E239" s="61">
        <v>0.23611111111111113</v>
      </c>
      <c r="F239" s="65">
        <f t="shared" si="7"/>
        <v>6.9444444444444753E-3</v>
      </c>
      <c r="G239" s="59">
        <f t="shared" si="8"/>
        <v>10</v>
      </c>
      <c r="H239" s="70"/>
      <c r="I239" s="70"/>
      <c r="J239" s="60"/>
      <c r="K239" s="60"/>
      <c r="L239" s="60"/>
    </row>
    <row r="240" spans="1:12" ht="14.25" hidden="1" customHeight="1">
      <c r="A240" s="72">
        <v>46070</v>
      </c>
      <c r="B240" s="58" t="s">
        <v>122</v>
      </c>
      <c r="C240" s="60" t="s">
        <v>140</v>
      </c>
      <c r="D240" s="61">
        <v>0.23958333333333334</v>
      </c>
      <c r="E240" s="61">
        <v>0.24652777777777779</v>
      </c>
      <c r="F240" s="65">
        <f t="shared" si="7"/>
        <v>6.9444444444444475E-3</v>
      </c>
      <c r="G240" s="59">
        <f t="shared" si="8"/>
        <v>10</v>
      </c>
      <c r="H240" s="70"/>
      <c r="I240" s="70"/>
      <c r="J240" s="60"/>
      <c r="K240" s="60"/>
      <c r="L240" s="67"/>
    </row>
    <row r="241" spans="1:12" ht="14.25" customHeight="1">
      <c r="A241" s="72">
        <v>46070</v>
      </c>
      <c r="B241" s="58" t="s">
        <v>124</v>
      </c>
      <c r="C241" s="60" t="s">
        <v>137</v>
      </c>
      <c r="D241" s="61">
        <v>0.41666666666666669</v>
      </c>
      <c r="E241" s="61">
        <v>0.4375</v>
      </c>
      <c r="F241" s="65">
        <f t="shared" si="7"/>
        <v>2.0833333333333315E-2</v>
      </c>
      <c r="G241" s="59">
        <f t="shared" si="8"/>
        <v>30</v>
      </c>
      <c r="H241" s="70"/>
      <c r="I241" s="70"/>
      <c r="J241" s="60"/>
      <c r="K241" s="60"/>
      <c r="L241" s="60"/>
    </row>
    <row r="242" spans="1:12" ht="14.25" hidden="1" customHeight="1">
      <c r="A242" s="72">
        <v>46070</v>
      </c>
      <c r="B242" s="58" t="s">
        <v>124</v>
      </c>
      <c r="C242" s="60" t="s">
        <v>140</v>
      </c>
      <c r="D242" s="61">
        <v>0.89583333333333337</v>
      </c>
      <c r="E242" s="61">
        <v>0.90277777777777779</v>
      </c>
      <c r="F242" s="65">
        <f t="shared" si="7"/>
        <v>6.9444444444444198E-3</v>
      </c>
      <c r="G242" s="59">
        <f t="shared" si="8"/>
        <v>9</v>
      </c>
      <c r="H242" s="70"/>
      <c r="I242" s="70"/>
      <c r="J242" s="60"/>
      <c r="K242" s="60"/>
      <c r="L242" s="60"/>
    </row>
    <row r="243" spans="1:12" ht="14.25" hidden="1" customHeight="1">
      <c r="A243" s="72">
        <v>46070</v>
      </c>
      <c r="B243" s="58" t="s">
        <v>132</v>
      </c>
      <c r="C243" s="60" t="s">
        <v>138</v>
      </c>
      <c r="D243" s="61">
        <v>0.29166666666666669</v>
      </c>
      <c r="E243" s="61">
        <v>0.31597222222222221</v>
      </c>
      <c r="F243" s="65">
        <f t="shared" si="7"/>
        <v>2.4305555555555525E-2</v>
      </c>
      <c r="G243" s="59">
        <f t="shared" si="8"/>
        <v>35</v>
      </c>
      <c r="H243" s="70"/>
      <c r="I243" s="70"/>
      <c r="J243" s="60"/>
      <c r="K243" s="60" t="s">
        <v>197</v>
      </c>
      <c r="L243" s="60"/>
    </row>
    <row r="244" spans="1:12" ht="14.25" customHeight="1">
      <c r="A244" s="72">
        <v>46070</v>
      </c>
      <c r="B244" s="58" t="s">
        <v>132</v>
      </c>
      <c r="C244" s="60" t="s">
        <v>137</v>
      </c>
      <c r="D244" s="61">
        <v>0.47222222222222227</v>
      </c>
      <c r="E244" s="61">
        <v>0.5</v>
      </c>
      <c r="F244" s="65">
        <f t="shared" si="7"/>
        <v>2.7777777777777735E-2</v>
      </c>
      <c r="G244" s="59">
        <f t="shared" si="8"/>
        <v>39</v>
      </c>
      <c r="H244" s="70"/>
      <c r="I244" s="70"/>
      <c r="J244" s="60"/>
      <c r="K244" s="60"/>
      <c r="L244" s="71"/>
    </row>
    <row r="245" spans="1:12" ht="14.25" hidden="1" customHeight="1">
      <c r="A245" s="72">
        <v>46070</v>
      </c>
      <c r="B245" s="58" t="s">
        <v>132</v>
      </c>
      <c r="C245" s="60" t="s">
        <v>138</v>
      </c>
      <c r="D245" s="61">
        <v>0.52777777777777779</v>
      </c>
      <c r="E245" s="61">
        <v>0.67013888888888884</v>
      </c>
      <c r="F245" s="65">
        <f t="shared" si="7"/>
        <v>0.14236111111111105</v>
      </c>
      <c r="G245" s="59">
        <f t="shared" si="8"/>
        <v>205</v>
      </c>
      <c r="H245" s="70"/>
      <c r="I245" s="70"/>
      <c r="J245" s="60"/>
      <c r="K245" s="60" t="s">
        <v>198</v>
      </c>
      <c r="L245" s="60"/>
    </row>
    <row r="246" spans="1:12" ht="14.25" customHeight="1">
      <c r="A246" s="72">
        <v>46070</v>
      </c>
      <c r="B246" s="58" t="s">
        <v>132</v>
      </c>
      <c r="C246" s="60" t="s">
        <v>137</v>
      </c>
      <c r="D246" s="61">
        <v>1</v>
      </c>
      <c r="E246" s="61">
        <v>1.0138888888888888</v>
      </c>
      <c r="F246" s="65">
        <f t="shared" si="7"/>
        <v>1.388888888888884E-2</v>
      </c>
      <c r="G246" s="59">
        <f t="shared" si="8"/>
        <v>19</v>
      </c>
      <c r="H246" s="70"/>
      <c r="I246" s="70"/>
      <c r="J246" s="60"/>
      <c r="K246" s="60"/>
      <c r="L246" s="60"/>
    </row>
    <row r="247" spans="1:12" ht="14.25" customHeight="1">
      <c r="A247" s="72">
        <v>46070</v>
      </c>
      <c r="B247" s="58" t="s">
        <v>132</v>
      </c>
      <c r="C247" s="60" t="s">
        <v>137</v>
      </c>
      <c r="D247" s="61">
        <v>4.1666666666666664E-2</v>
      </c>
      <c r="E247" s="61">
        <v>0.12152777777777778</v>
      </c>
      <c r="F247" s="65">
        <f t="shared" si="7"/>
        <v>7.9861111111111105E-2</v>
      </c>
      <c r="G247" s="59">
        <f t="shared" si="8"/>
        <v>115</v>
      </c>
      <c r="H247" s="70"/>
      <c r="I247" s="70"/>
      <c r="J247" s="60"/>
      <c r="K247" s="60"/>
      <c r="L247" s="60"/>
    </row>
    <row r="248" spans="1:12" ht="14.25" hidden="1" customHeight="1">
      <c r="A248" s="72">
        <v>46070</v>
      </c>
      <c r="B248" s="58" t="s">
        <v>132</v>
      </c>
      <c r="C248" s="60" t="s">
        <v>143</v>
      </c>
      <c r="D248" s="61">
        <v>0.16319444444444445</v>
      </c>
      <c r="E248" s="61">
        <v>0.17013888888888887</v>
      </c>
      <c r="F248" s="65">
        <f t="shared" si="7"/>
        <v>6.9444444444444198E-3</v>
      </c>
      <c r="G248" s="59">
        <f t="shared" si="8"/>
        <v>9</v>
      </c>
      <c r="H248" s="70"/>
      <c r="I248" s="70"/>
      <c r="J248" s="60"/>
      <c r="K248" s="60"/>
      <c r="L248" s="60"/>
    </row>
    <row r="249" spans="1:12" ht="14.25" hidden="1" customHeight="1">
      <c r="A249" s="72">
        <v>46070</v>
      </c>
      <c r="B249" s="58" t="s">
        <v>132</v>
      </c>
      <c r="C249" s="60" t="s">
        <v>148</v>
      </c>
      <c r="D249" s="61">
        <v>0.27777777777777779</v>
      </c>
      <c r="E249" s="61">
        <v>0.29166666666666669</v>
      </c>
      <c r="F249" s="65">
        <f t="shared" si="7"/>
        <v>1.3888888888888895E-2</v>
      </c>
      <c r="G249" s="59">
        <f t="shared" si="8"/>
        <v>20</v>
      </c>
      <c r="H249" s="70"/>
      <c r="I249" s="70"/>
      <c r="J249" s="60"/>
      <c r="K249" s="60"/>
      <c r="L249" s="67"/>
    </row>
    <row r="250" spans="1:12" ht="14.25" hidden="1" customHeight="1">
      <c r="A250" s="72">
        <v>46071</v>
      </c>
      <c r="B250" s="58" t="s">
        <v>120</v>
      </c>
      <c r="C250" s="60" t="s">
        <v>138</v>
      </c>
      <c r="D250" s="61">
        <v>0.57638888888888895</v>
      </c>
      <c r="E250" s="61">
        <v>0.625</v>
      </c>
      <c r="F250" s="65">
        <f t="shared" si="7"/>
        <v>4.8611111111111049E-2</v>
      </c>
      <c r="G250" s="59">
        <f t="shared" si="8"/>
        <v>69</v>
      </c>
      <c r="H250" s="70"/>
      <c r="I250" s="70"/>
      <c r="J250" s="60"/>
      <c r="K250" s="60" t="s">
        <v>199</v>
      </c>
      <c r="L250" s="60" t="s">
        <v>200</v>
      </c>
    </row>
    <row r="251" spans="1:12" ht="14.25" hidden="1" customHeight="1">
      <c r="A251" s="72">
        <v>46071</v>
      </c>
      <c r="B251" s="58" t="s">
        <v>122</v>
      </c>
      <c r="C251" s="60" t="s">
        <v>140</v>
      </c>
      <c r="D251" s="61">
        <v>0.29652777777777778</v>
      </c>
      <c r="E251" s="61">
        <v>0.53472222222222221</v>
      </c>
      <c r="F251" s="65">
        <f t="shared" si="7"/>
        <v>0.23819444444444443</v>
      </c>
      <c r="G251" s="59">
        <f t="shared" si="8"/>
        <v>343</v>
      </c>
      <c r="H251" s="70"/>
      <c r="I251" s="70"/>
      <c r="J251" s="60"/>
      <c r="K251" s="66" t="s">
        <v>201</v>
      </c>
      <c r="L251" s="60"/>
    </row>
    <row r="252" spans="1:12" ht="14.25" hidden="1" customHeight="1">
      <c r="A252" s="72">
        <v>46071</v>
      </c>
      <c r="B252" s="58" t="s">
        <v>122</v>
      </c>
      <c r="C252" s="60" t="s">
        <v>140</v>
      </c>
      <c r="D252" s="74">
        <v>0.54166666666666663</v>
      </c>
      <c r="E252" s="61">
        <v>0.70833333333333337</v>
      </c>
      <c r="F252" s="65">
        <f t="shared" si="7"/>
        <v>0.16666666666666674</v>
      </c>
      <c r="G252" s="59">
        <f t="shared" si="8"/>
        <v>240</v>
      </c>
      <c r="H252" s="70"/>
      <c r="I252" s="70"/>
      <c r="J252" s="60"/>
      <c r="K252" s="66" t="s">
        <v>202</v>
      </c>
      <c r="L252" s="60"/>
    </row>
    <row r="253" spans="1:12" ht="14.25" hidden="1" customHeight="1">
      <c r="A253" s="72">
        <v>46071</v>
      </c>
      <c r="B253" s="58" t="s">
        <v>122</v>
      </c>
      <c r="C253" s="60" t="s">
        <v>140</v>
      </c>
      <c r="D253" s="61">
        <v>0.73263888888888884</v>
      </c>
      <c r="E253" s="61">
        <v>0.80555555555555547</v>
      </c>
      <c r="F253" s="65">
        <f t="shared" si="7"/>
        <v>7.291666666666663E-2</v>
      </c>
      <c r="G253" s="59">
        <f t="shared" si="8"/>
        <v>105</v>
      </c>
      <c r="H253" s="70"/>
      <c r="I253" s="70"/>
      <c r="J253" s="60"/>
      <c r="K253" s="60" t="s">
        <v>203</v>
      </c>
      <c r="L253" s="60"/>
    </row>
    <row r="254" spans="1:12" ht="14.25" hidden="1" customHeight="1">
      <c r="A254" s="72">
        <v>46071</v>
      </c>
      <c r="B254" s="58" t="s">
        <v>122</v>
      </c>
      <c r="C254" s="60" t="s">
        <v>138</v>
      </c>
      <c r="D254" s="61">
        <v>0.81944444444444453</v>
      </c>
      <c r="E254" s="61">
        <v>0.82986111111111116</v>
      </c>
      <c r="F254" s="65">
        <f t="shared" si="7"/>
        <v>1.041666666666663E-2</v>
      </c>
      <c r="G254" s="59">
        <f t="shared" si="8"/>
        <v>14</v>
      </c>
      <c r="H254" s="70"/>
      <c r="I254" s="70"/>
      <c r="J254" s="60"/>
      <c r="K254" s="60" t="s">
        <v>204</v>
      </c>
      <c r="L254" s="60"/>
    </row>
    <row r="255" spans="1:12" ht="14.25" hidden="1" customHeight="1">
      <c r="A255" s="72">
        <v>46071</v>
      </c>
      <c r="B255" s="58" t="s">
        <v>122</v>
      </c>
      <c r="C255" s="60" t="s">
        <v>148</v>
      </c>
      <c r="D255" s="61">
        <v>0.84722222222222221</v>
      </c>
      <c r="E255" s="61">
        <v>0.85069444444444453</v>
      </c>
      <c r="F255" s="65">
        <f t="shared" si="7"/>
        <v>3.4722222222223209E-3</v>
      </c>
      <c r="G255" s="59">
        <f t="shared" si="8"/>
        <v>5</v>
      </c>
      <c r="H255" s="70"/>
      <c r="I255" s="70"/>
      <c r="J255" s="60"/>
      <c r="K255" s="60"/>
      <c r="L255" s="60"/>
    </row>
    <row r="256" spans="1:12" ht="14.25" hidden="1" customHeight="1">
      <c r="A256" s="72">
        <v>46071</v>
      </c>
      <c r="B256" s="58" t="s">
        <v>124</v>
      </c>
      <c r="C256" s="60" t="s">
        <v>143</v>
      </c>
      <c r="D256" s="61">
        <v>0.12847222222222224</v>
      </c>
      <c r="E256" s="61">
        <v>0.13541666666666666</v>
      </c>
      <c r="F256" s="65">
        <f t="shared" si="7"/>
        <v>6.9444444444444198E-3</v>
      </c>
      <c r="G256" s="59">
        <f t="shared" si="8"/>
        <v>9</v>
      </c>
      <c r="H256" s="70"/>
      <c r="I256" s="70"/>
      <c r="J256" s="60"/>
      <c r="K256" s="60"/>
      <c r="L256" s="60"/>
    </row>
    <row r="257" spans="1:12" ht="14.25" hidden="1" customHeight="1">
      <c r="A257" s="72">
        <v>46071</v>
      </c>
      <c r="B257" s="58" t="s">
        <v>132</v>
      </c>
      <c r="C257" s="60" t="s">
        <v>205</v>
      </c>
      <c r="D257" s="61">
        <v>0.43958333333333338</v>
      </c>
      <c r="E257" s="61">
        <v>0.44791666666666669</v>
      </c>
      <c r="F257" s="65">
        <f t="shared" si="7"/>
        <v>8.3333333333333037E-3</v>
      </c>
      <c r="G257" s="59">
        <f t="shared" si="8"/>
        <v>12</v>
      </c>
      <c r="H257" s="70"/>
      <c r="I257" s="70"/>
      <c r="J257" s="60"/>
      <c r="K257" s="60"/>
      <c r="L257" s="60"/>
    </row>
    <row r="258" spans="1:12" ht="14.25" hidden="1" customHeight="1">
      <c r="A258" s="72">
        <v>46071</v>
      </c>
      <c r="B258" s="58" t="s">
        <v>132</v>
      </c>
      <c r="C258" s="60" t="s">
        <v>143</v>
      </c>
      <c r="D258" s="61">
        <v>0.99305555555555547</v>
      </c>
      <c r="E258" s="61">
        <v>1</v>
      </c>
      <c r="F258" s="65">
        <f t="shared" si="7"/>
        <v>6.9444444444445308E-3</v>
      </c>
      <c r="G258" s="59">
        <f t="shared" si="8"/>
        <v>10</v>
      </c>
      <c r="H258" s="70"/>
      <c r="I258" s="70"/>
      <c r="J258" s="60"/>
      <c r="K258" s="60"/>
      <c r="L258" s="60"/>
    </row>
    <row r="259" spans="1:12" ht="14.25" hidden="1" customHeight="1">
      <c r="A259" s="72">
        <v>46071</v>
      </c>
      <c r="B259" s="58" t="s">
        <v>132</v>
      </c>
      <c r="C259" s="60" t="s">
        <v>164</v>
      </c>
      <c r="D259" s="61">
        <v>5.5555555555555552E-2</v>
      </c>
      <c r="E259" s="61">
        <v>6.25E-2</v>
      </c>
      <c r="F259" s="65">
        <f t="shared" ref="F259:F322" si="9">+(E259-D259)</f>
        <v>6.9444444444444475E-3</v>
      </c>
      <c r="G259" s="59">
        <f t="shared" ref="G259:G322" si="10">INT(F259*1440)</f>
        <v>10</v>
      </c>
      <c r="H259" s="70"/>
      <c r="I259" s="70"/>
      <c r="J259" s="60"/>
      <c r="K259" s="60"/>
      <c r="L259" s="60"/>
    </row>
    <row r="260" spans="1:12" ht="14.25" hidden="1" customHeight="1">
      <c r="A260" s="72">
        <v>46072</v>
      </c>
      <c r="B260" s="58" t="s">
        <v>120</v>
      </c>
      <c r="C260" s="60" t="s">
        <v>138</v>
      </c>
      <c r="D260" s="61">
        <v>0.8125</v>
      </c>
      <c r="E260" s="61">
        <v>0.875</v>
      </c>
      <c r="F260" s="65">
        <f t="shared" si="9"/>
        <v>6.25E-2</v>
      </c>
      <c r="G260" s="59">
        <f t="shared" si="10"/>
        <v>90</v>
      </c>
      <c r="H260" s="70"/>
      <c r="I260" s="70"/>
      <c r="J260" s="60"/>
      <c r="K260" s="60" t="s">
        <v>206</v>
      </c>
      <c r="L260" s="60"/>
    </row>
    <row r="261" spans="1:12" ht="14.25" hidden="1" customHeight="1">
      <c r="A261" s="72">
        <v>46072</v>
      </c>
      <c r="B261" s="58" t="s">
        <v>123</v>
      </c>
      <c r="C261" s="60" t="s">
        <v>138</v>
      </c>
      <c r="D261" s="61">
        <v>0.54861111111111105</v>
      </c>
      <c r="E261" s="65">
        <v>0.55555555555555558</v>
      </c>
      <c r="F261" s="65">
        <f t="shared" si="9"/>
        <v>6.9444444444445308E-3</v>
      </c>
      <c r="G261" s="59">
        <f t="shared" si="10"/>
        <v>10</v>
      </c>
      <c r="H261" s="70"/>
      <c r="I261" s="70"/>
      <c r="J261" s="60"/>
      <c r="K261" s="60" t="s">
        <v>207</v>
      </c>
      <c r="L261" s="60"/>
    </row>
    <row r="262" spans="1:12" ht="14.25" customHeight="1">
      <c r="A262" s="72">
        <v>46073</v>
      </c>
      <c r="B262" s="58" t="s">
        <v>120</v>
      </c>
      <c r="C262" s="60" t="s">
        <v>137</v>
      </c>
      <c r="D262" s="61">
        <v>0.41319444444444442</v>
      </c>
      <c r="E262" s="61">
        <v>0.4375</v>
      </c>
      <c r="F262" s="65">
        <f t="shared" si="9"/>
        <v>2.430555555555558E-2</v>
      </c>
      <c r="G262" s="59">
        <f t="shared" si="10"/>
        <v>35</v>
      </c>
      <c r="H262" s="70"/>
      <c r="I262" s="70"/>
      <c r="J262" s="60"/>
      <c r="K262" s="60"/>
      <c r="L262" s="60"/>
    </row>
    <row r="263" spans="1:12" ht="14.25" customHeight="1">
      <c r="A263" s="72">
        <v>46073</v>
      </c>
      <c r="B263" s="58" t="s">
        <v>120</v>
      </c>
      <c r="C263" s="60" t="s">
        <v>137</v>
      </c>
      <c r="D263" s="61">
        <v>0.83333333333333337</v>
      </c>
      <c r="E263" s="61">
        <v>0.88541666666666663</v>
      </c>
      <c r="F263" s="65">
        <f t="shared" si="9"/>
        <v>5.2083333333333259E-2</v>
      </c>
      <c r="G263" s="59">
        <f t="shared" si="10"/>
        <v>74</v>
      </c>
      <c r="H263" s="70"/>
      <c r="I263" s="70"/>
      <c r="J263" s="60"/>
      <c r="K263" s="60"/>
      <c r="L263" s="60"/>
    </row>
    <row r="264" spans="1:12" ht="14.25" hidden="1" customHeight="1">
      <c r="A264" s="72">
        <v>46073</v>
      </c>
      <c r="B264" s="58" t="s">
        <v>121</v>
      </c>
      <c r="C264" s="60" t="s">
        <v>143</v>
      </c>
      <c r="D264" s="61">
        <v>0.82638888888888884</v>
      </c>
      <c r="E264" s="61">
        <v>0.83680555555555547</v>
      </c>
      <c r="F264" s="65">
        <f t="shared" si="9"/>
        <v>1.041666666666663E-2</v>
      </c>
      <c r="G264" s="59">
        <f t="shared" si="10"/>
        <v>14</v>
      </c>
      <c r="H264" s="70"/>
      <c r="I264" s="70"/>
      <c r="J264" s="60"/>
      <c r="K264" s="60"/>
      <c r="L264" s="60"/>
    </row>
    <row r="265" spans="1:12" ht="14.25" customHeight="1">
      <c r="A265" s="72">
        <v>46073</v>
      </c>
      <c r="B265" s="58" t="s">
        <v>121</v>
      </c>
      <c r="C265" s="60" t="s">
        <v>137</v>
      </c>
      <c r="D265" s="61">
        <v>0.99305555555555547</v>
      </c>
      <c r="E265" s="61">
        <v>1.0555555555555556</v>
      </c>
      <c r="F265" s="65">
        <f t="shared" si="9"/>
        <v>6.2500000000000111E-2</v>
      </c>
      <c r="G265" s="59">
        <f t="shared" si="10"/>
        <v>90</v>
      </c>
      <c r="H265" s="70"/>
      <c r="I265" s="70"/>
      <c r="J265" s="60"/>
      <c r="K265" s="60"/>
      <c r="L265" s="60"/>
    </row>
    <row r="266" spans="1:12" ht="14.25" customHeight="1">
      <c r="A266" s="72">
        <v>46073</v>
      </c>
      <c r="B266" s="58" t="s">
        <v>123</v>
      </c>
      <c r="C266" s="60" t="s">
        <v>137</v>
      </c>
      <c r="D266" s="61">
        <v>0.54513888888888895</v>
      </c>
      <c r="E266" s="61">
        <v>0.58333333333333337</v>
      </c>
      <c r="F266" s="65">
        <f t="shared" si="9"/>
        <v>3.819444444444442E-2</v>
      </c>
      <c r="G266" s="59">
        <f t="shared" si="10"/>
        <v>55</v>
      </c>
      <c r="H266" s="70"/>
      <c r="I266" s="70"/>
      <c r="J266" s="60"/>
      <c r="K266" s="60"/>
      <c r="L266" s="60"/>
    </row>
    <row r="267" spans="1:12" ht="14.25" customHeight="1">
      <c r="A267" s="72">
        <v>46073</v>
      </c>
      <c r="B267" s="58" t="s">
        <v>123</v>
      </c>
      <c r="C267" s="60" t="s">
        <v>137</v>
      </c>
      <c r="D267" s="61">
        <v>0.85416666666666663</v>
      </c>
      <c r="E267" s="61">
        <v>0.89930555555555547</v>
      </c>
      <c r="F267" s="65">
        <f t="shared" si="9"/>
        <v>4.513888888888884E-2</v>
      </c>
      <c r="G267" s="59">
        <f t="shared" si="10"/>
        <v>64</v>
      </c>
      <c r="H267" s="70"/>
      <c r="I267" s="70"/>
      <c r="J267" s="60"/>
      <c r="K267" s="60"/>
      <c r="L267" s="60"/>
    </row>
    <row r="268" spans="1:12" ht="14.25" hidden="1" customHeight="1">
      <c r="A268" s="72">
        <v>46073</v>
      </c>
      <c r="B268" s="60" t="s">
        <v>132</v>
      </c>
      <c r="C268" s="60" t="s">
        <v>208</v>
      </c>
      <c r="D268" s="61">
        <v>0.95138888888888884</v>
      </c>
      <c r="E268" s="61">
        <v>0.98263888888888884</v>
      </c>
      <c r="F268" s="65">
        <f t="shared" si="9"/>
        <v>3.125E-2</v>
      </c>
      <c r="G268" s="59">
        <f t="shared" si="10"/>
        <v>45</v>
      </c>
      <c r="H268" s="70"/>
      <c r="I268" s="70"/>
      <c r="J268" s="60"/>
      <c r="K268" s="60"/>
      <c r="L268" s="60"/>
    </row>
    <row r="269" spans="1:12" ht="14.25" customHeight="1">
      <c r="A269" s="72">
        <v>46074</v>
      </c>
      <c r="B269" s="58" t="s">
        <v>120</v>
      </c>
      <c r="C269" s="60" t="s">
        <v>137</v>
      </c>
      <c r="D269" s="61">
        <v>0.37152777777777773</v>
      </c>
      <c r="E269" s="61">
        <v>0.39930555555555558</v>
      </c>
      <c r="F269" s="65">
        <f t="shared" si="9"/>
        <v>2.7777777777777846E-2</v>
      </c>
      <c r="G269" s="59">
        <f t="shared" si="10"/>
        <v>40</v>
      </c>
      <c r="H269" s="70"/>
      <c r="I269" s="70"/>
      <c r="J269" s="60"/>
      <c r="K269" s="60"/>
      <c r="L269" s="60"/>
    </row>
    <row r="270" spans="1:12" ht="14.25" hidden="1" customHeight="1">
      <c r="A270" s="72">
        <v>46074</v>
      </c>
      <c r="B270" s="58" t="s">
        <v>120</v>
      </c>
      <c r="C270" s="60" t="s">
        <v>166</v>
      </c>
      <c r="D270" s="61">
        <v>9.0277777777777776E-2</v>
      </c>
      <c r="E270" s="61">
        <v>0.10416666666666667</v>
      </c>
      <c r="F270" s="65">
        <f t="shared" si="9"/>
        <v>1.3888888888888895E-2</v>
      </c>
      <c r="G270" s="59">
        <f t="shared" si="10"/>
        <v>20</v>
      </c>
      <c r="H270" s="70"/>
      <c r="I270" s="70"/>
      <c r="J270" s="60"/>
      <c r="K270" s="60"/>
      <c r="L270" s="60"/>
    </row>
    <row r="271" spans="1:12" ht="14.25" hidden="1" customHeight="1">
      <c r="A271" s="72">
        <v>46074</v>
      </c>
      <c r="B271" s="58" t="s">
        <v>121</v>
      </c>
      <c r="C271" s="60" t="s">
        <v>138</v>
      </c>
      <c r="D271" s="61">
        <v>0.4826388888888889</v>
      </c>
      <c r="E271" s="61">
        <v>0.51736111111111105</v>
      </c>
      <c r="F271" s="65">
        <f t="shared" si="9"/>
        <v>3.4722222222222154E-2</v>
      </c>
      <c r="G271" s="59">
        <f t="shared" si="10"/>
        <v>49</v>
      </c>
      <c r="H271" s="70"/>
      <c r="I271" s="70"/>
      <c r="J271" s="60"/>
      <c r="K271" s="60" t="s">
        <v>209</v>
      </c>
      <c r="L271" s="60"/>
    </row>
    <row r="272" spans="1:12" ht="14.25" hidden="1" customHeight="1">
      <c r="A272" s="72">
        <v>46074</v>
      </c>
      <c r="B272" s="58" t="s">
        <v>122</v>
      </c>
      <c r="C272" s="60" t="s">
        <v>143</v>
      </c>
      <c r="D272" s="61">
        <v>8.3333333333333329E-2</v>
      </c>
      <c r="E272" s="61">
        <v>9.375E-2</v>
      </c>
      <c r="F272" s="65">
        <f t="shared" si="9"/>
        <v>1.0416666666666671E-2</v>
      </c>
      <c r="G272" s="59">
        <f t="shared" si="10"/>
        <v>15</v>
      </c>
      <c r="H272" s="70"/>
      <c r="I272" s="70"/>
      <c r="J272" s="60"/>
      <c r="K272" s="60"/>
      <c r="L272" s="60"/>
    </row>
    <row r="273" spans="1:12" ht="14.25" hidden="1" customHeight="1">
      <c r="A273" s="72">
        <v>46074</v>
      </c>
      <c r="B273" s="58" t="s">
        <v>122</v>
      </c>
      <c r="C273" s="60" t="s">
        <v>148</v>
      </c>
      <c r="D273" s="61">
        <v>0.11805555555555557</v>
      </c>
      <c r="E273" s="61">
        <v>0.13194444444444445</v>
      </c>
      <c r="F273" s="65">
        <f t="shared" si="9"/>
        <v>1.3888888888888881E-2</v>
      </c>
      <c r="G273" s="59">
        <f t="shared" si="10"/>
        <v>20</v>
      </c>
      <c r="H273" s="70"/>
      <c r="I273" s="70"/>
      <c r="J273" s="60"/>
      <c r="K273" s="60"/>
      <c r="L273" s="60"/>
    </row>
    <row r="274" spans="1:12" ht="14.25" hidden="1" customHeight="1">
      <c r="A274" s="72">
        <v>46074</v>
      </c>
      <c r="B274" s="58" t="s">
        <v>123</v>
      </c>
      <c r="C274" s="60" t="s">
        <v>143</v>
      </c>
      <c r="D274" s="61">
        <v>0.80208333333333337</v>
      </c>
      <c r="E274" s="61">
        <v>0.81805555555555554</v>
      </c>
      <c r="F274" s="65">
        <f t="shared" si="9"/>
        <v>1.5972222222222165E-2</v>
      </c>
      <c r="G274" s="59">
        <f t="shared" si="10"/>
        <v>22</v>
      </c>
      <c r="H274" s="70"/>
      <c r="I274" s="70"/>
      <c r="J274" s="60"/>
      <c r="K274" s="60"/>
      <c r="L274" s="60"/>
    </row>
    <row r="275" spans="1:12" ht="14.25" customHeight="1">
      <c r="A275" s="72">
        <v>46074</v>
      </c>
      <c r="B275" s="58" t="s">
        <v>123</v>
      </c>
      <c r="C275" s="60" t="s">
        <v>137</v>
      </c>
      <c r="D275" s="61">
        <v>0.94444444444444453</v>
      </c>
      <c r="E275" s="61">
        <v>0.95833333333333337</v>
      </c>
      <c r="F275" s="65">
        <f t="shared" si="9"/>
        <v>1.388888888888884E-2</v>
      </c>
      <c r="G275" s="59">
        <f t="shared" si="10"/>
        <v>19</v>
      </c>
      <c r="H275" s="70"/>
      <c r="I275" s="70"/>
      <c r="J275" s="60"/>
      <c r="K275" s="60"/>
      <c r="L275" s="60"/>
    </row>
    <row r="276" spans="1:12" ht="14.25" hidden="1" customHeight="1">
      <c r="A276" s="72">
        <v>46074</v>
      </c>
      <c r="B276" s="58" t="s">
        <v>124</v>
      </c>
      <c r="C276" s="60" t="s">
        <v>140</v>
      </c>
      <c r="D276" s="61">
        <v>0.56388888888888888</v>
      </c>
      <c r="E276" s="61">
        <v>0.56597222222222221</v>
      </c>
      <c r="F276" s="65">
        <f t="shared" si="9"/>
        <v>2.0833333333333259E-3</v>
      </c>
      <c r="G276" s="59">
        <f t="shared" si="10"/>
        <v>2</v>
      </c>
      <c r="H276" s="70"/>
      <c r="I276" s="70"/>
      <c r="J276" s="60"/>
      <c r="K276" s="60"/>
      <c r="L276" s="60"/>
    </row>
    <row r="277" spans="1:12" ht="14.25" hidden="1" customHeight="1">
      <c r="A277" s="72">
        <v>46074</v>
      </c>
      <c r="B277" s="58" t="s">
        <v>124</v>
      </c>
      <c r="C277" s="60" t="s">
        <v>140</v>
      </c>
      <c r="D277" s="61">
        <v>0.10416666666666667</v>
      </c>
      <c r="E277" s="61">
        <v>0.1361111111111111</v>
      </c>
      <c r="F277" s="65">
        <f t="shared" si="9"/>
        <v>3.1944444444444428E-2</v>
      </c>
      <c r="G277" s="59">
        <f t="shared" si="10"/>
        <v>46</v>
      </c>
      <c r="H277" s="70"/>
      <c r="I277" s="70"/>
      <c r="J277" s="60"/>
      <c r="K277" s="60"/>
      <c r="L277" s="60"/>
    </row>
    <row r="278" spans="1:12" ht="14.25" hidden="1" customHeight="1">
      <c r="A278" s="72">
        <v>46074</v>
      </c>
      <c r="B278" s="58" t="s">
        <v>132</v>
      </c>
      <c r="C278" s="60" t="s">
        <v>138</v>
      </c>
      <c r="D278" s="61">
        <v>0.3125</v>
      </c>
      <c r="E278" s="61">
        <v>0.32291666666666669</v>
      </c>
      <c r="F278" s="65">
        <f t="shared" si="9"/>
        <v>1.0416666666666685E-2</v>
      </c>
      <c r="G278" s="59">
        <f t="shared" si="10"/>
        <v>15</v>
      </c>
      <c r="H278" s="70"/>
      <c r="I278" s="70"/>
      <c r="J278" s="60"/>
      <c r="K278" s="60" t="s">
        <v>210</v>
      </c>
      <c r="L278" s="60"/>
    </row>
    <row r="279" spans="1:12" ht="14.25" hidden="1" customHeight="1">
      <c r="A279" s="72">
        <v>46074</v>
      </c>
      <c r="B279" s="58" t="s">
        <v>132</v>
      </c>
      <c r="C279" s="60" t="s">
        <v>164</v>
      </c>
      <c r="D279" s="61">
        <v>1.0048611111111112</v>
      </c>
      <c r="E279" s="61">
        <v>1.0138888888888888</v>
      </c>
      <c r="F279" s="65">
        <f t="shared" si="9"/>
        <v>9.0277777777776347E-3</v>
      </c>
      <c r="G279" s="59">
        <f t="shared" si="10"/>
        <v>12</v>
      </c>
      <c r="H279" s="70"/>
      <c r="I279" s="70"/>
      <c r="J279" s="60"/>
      <c r="K279" s="60"/>
      <c r="L279" s="60"/>
    </row>
    <row r="280" spans="1:12" ht="14.25" hidden="1" customHeight="1">
      <c r="A280" s="72">
        <v>46074</v>
      </c>
      <c r="B280" s="58" t="s">
        <v>132</v>
      </c>
      <c r="C280" s="60" t="s">
        <v>143</v>
      </c>
      <c r="D280" s="61">
        <v>8.3333333333333329E-2</v>
      </c>
      <c r="E280" s="61">
        <v>0.1013888888888889</v>
      </c>
      <c r="F280" s="65">
        <f t="shared" si="9"/>
        <v>1.8055555555555575E-2</v>
      </c>
      <c r="G280" s="59">
        <f t="shared" si="10"/>
        <v>26</v>
      </c>
      <c r="H280" s="70"/>
      <c r="I280" s="70"/>
      <c r="J280" s="60"/>
      <c r="K280" s="60"/>
      <c r="L280" s="60"/>
    </row>
    <row r="281" spans="1:12" ht="14.25" customHeight="1">
      <c r="A281" s="72">
        <v>46076</v>
      </c>
      <c r="B281" s="60" t="s">
        <v>120</v>
      </c>
      <c r="C281" s="60" t="s">
        <v>137</v>
      </c>
      <c r="D281" s="61">
        <v>0.3888888888888889</v>
      </c>
      <c r="E281" s="61">
        <v>0.51388888888888895</v>
      </c>
      <c r="F281" s="65">
        <f t="shared" si="9"/>
        <v>0.12500000000000006</v>
      </c>
      <c r="G281" s="59">
        <f t="shared" si="10"/>
        <v>180</v>
      </c>
      <c r="H281" s="70"/>
      <c r="I281" s="70"/>
      <c r="J281" s="60"/>
      <c r="K281" s="60"/>
      <c r="L281" s="60"/>
    </row>
    <row r="282" spans="1:12" ht="14.25" customHeight="1">
      <c r="A282" s="72">
        <v>46076</v>
      </c>
      <c r="B282" s="60" t="s">
        <v>120</v>
      </c>
      <c r="C282" s="60" t="s">
        <v>137</v>
      </c>
      <c r="D282" s="61">
        <v>0.62152777777777779</v>
      </c>
      <c r="E282" s="61">
        <v>0.63541666666666663</v>
      </c>
      <c r="F282" s="65">
        <f t="shared" si="9"/>
        <v>1.388888888888884E-2</v>
      </c>
      <c r="G282" s="59">
        <f t="shared" si="10"/>
        <v>19</v>
      </c>
      <c r="H282" s="70"/>
      <c r="I282" s="70"/>
      <c r="J282" s="60"/>
      <c r="K282" s="60"/>
      <c r="L282" s="60"/>
    </row>
    <row r="283" spans="1:12" ht="14.25" customHeight="1">
      <c r="A283" s="72">
        <v>46076</v>
      </c>
      <c r="B283" s="60" t="s">
        <v>120</v>
      </c>
      <c r="C283" s="60" t="s">
        <v>137</v>
      </c>
      <c r="D283" s="61">
        <v>0.71527777777777779</v>
      </c>
      <c r="E283" s="61">
        <v>0.73611111111111116</v>
      </c>
      <c r="F283" s="65">
        <f t="shared" si="9"/>
        <v>2.083333333333337E-2</v>
      </c>
      <c r="G283" s="59">
        <f t="shared" si="10"/>
        <v>30</v>
      </c>
      <c r="H283" s="70"/>
      <c r="I283" s="70"/>
      <c r="J283" s="60"/>
      <c r="K283" s="60"/>
      <c r="L283" s="60"/>
    </row>
    <row r="284" spans="1:12" ht="14.25" customHeight="1">
      <c r="A284" s="72">
        <v>46076</v>
      </c>
      <c r="B284" s="60" t="s">
        <v>120</v>
      </c>
      <c r="C284" s="60" t="s">
        <v>137</v>
      </c>
      <c r="D284" s="61">
        <v>0.85</v>
      </c>
      <c r="E284" s="61">
        <v>0.89513888888888893</v>
      </c>
      <c r="F284" s="65">
        <f t="shared" si="9"/>
        <v>4.5138888888888951E-2</v>
      </c>
      <c r="G284" s="59">
        <f t="shared" si="10"/>
        <v>65</v>
      </c>
      <c r="H284" s="70"/>
      <c r="I284" s="70"/>
      <c r="J284" s="60"/>
      <c r="K284" s="60"/>
      <c r="L284" s="66"/>
    </row>
    <row r="285" spans="1:12" ht="14.25" customHeight="1">
      <c r="A285" s="72">
        <v>46076</v>
      </c>
      <c r="B285" s="60" t="s">
        <v>120</v>
      </c>
      <c r="C285" s="60" t="s">
        <v>137</v>
      </c>
      <c r="D285" s="61">
        <v>0.95000000000000007</v>
      </c>
      <c r="E285" s="61">
        <v>0.97430555555555554</v>
      </c>
      <c r="F285" s="65">
        <f t="shared" si="9"/>
        <v>2.4305555555555469E-2</v>
      </c>
      <c r="G285" s="59">
        <f t="shared" si="10"/>
        <v>34</v>
      </c>
      <c r="H285" s="70"/>
      <c r="I285" s="70"/>
      <c r="J285" s="60"/>
      <c r="K285" s="60"/>
      <c r="L285" s="60"/>
    </row>
    <row r="286" spans="1:12" ht="14.25" customHeight="1">
      <c r="A286" s="72">
        <v>46076</v>
      </c>
      <c r="B286" s="60" t="s">
        <v>121</v>
      </c>
      <c r="C286" s="60" t="s">
        <v>137</v>
      </c>
      <c r="D286" s="61">
        <v>0.44444444444444442</v>
      </c>
      <c r="E286" s="61">
        <v>0.50694444444444442</v>
      </c>
      <c r="F286" s="65">
        <f t="shared" si="9"/>
        <v>6.25E-2</v>
      </c>
      <c r="G286" s="59">
        <f t="shared" si="10"/>
        <v>90</v>
      </c>
      <c r="H286" s="70"/>
      <c r="I286" s="70"/>
      <c r="J286" s="60"/>
      <c r="K286" s="60"/>
      <c r="L286" s="60"/>
    </row>
    <row r="287" spans="1:12" ht="14.25" customHeight="1">
      <c r="A287" s="72">
        <v>46076</v>
      </c>
      <c r="B287" s="60" t="s">
        <v>121</v>
      </c>
      <c r="C287" s="60" t="s">
        <v>137</v>
      </c>
      <c r="D287" s="61">
        <v>0.53472222222222221</v>
      </c>
      <c r="E287" s="61">
        <v>0.54861111111111105</v>
      </c>
      <c r="F287" s="65">
        <f t="shared" si="9"/>
        <v>1.388888888888884E-2</v>
      </c>
      <c r="G287" s="59">
        <f t="shared" si="10"/>
        <v>19</v>
      </c>
      <c r="H287" s="70"/>
      <c r="I287" s="70"/>
      <c r="J287" s="60"/>
      <c r="K287" s="60"/>
      <c r="L287" s="60"/>
    </row>
    <row r="288" spans="1:12" ht="14.25" customHeight="1">
      <c r="A288" s="72">
        <v>46076</v>
      </c>
      <c r="B288" s="60" t="s">
        <v>121</v>
      </c>
      <c r="C288" s="60" t="s">
        <v>137</v>
      </c>
      <c r="D288" s="61">
        <v>0.58333333333333337</v>
      </c>
      <c r="E288" s="61">
        <v>0.61458333333333337</v>
      </c>
      <c r="F288" s="65">
        <f t="shared" si="9"/>
        <v>3.125E-2</v>
      </c>
      <c r="G288" s="59">
        <f t="shared" si="10"/>
        <v>45</v>
      </c>
      <c r="H288" s="70"/>
      <c r="I288" s="70"/>
      <c r="J288" s="60"/>
      <c r="K288" s="60"/>
      <c r="L288" s="60"/>
    </row>
    <row r="289" spans="1:12" ht="14.25" customHeight="1">
      <c r="A289" s="72">
        <v>46076</v>
      </c>
      <c r="B289" s="60" t="s">
        <v>121</v>
      </c>
      <c r="C289" s="60" t="s">
        <v>137</v>
      </c>
      <c r="D289" s="61">
        <v>0.75</v>
      </c>
      <c r="E289" s="61">
        <v>0.79166666666666663</v>
      </c>
      <c r="F289" s="65">
        <f t="shared" si="9"/>
        <v>4.166666666666663E-2</v>
      </c>
      <c r="G289" s="59">
        <f t="shared" si="10"/>
        <v>59</v>
      </c>
      <c r="H289" s="70"/>
      <c r="I289" s="70"/>
      <c r="J289" s="60"/>
      <c r="K289" s="60"/>
      <c r="L289" s="60"/>
    </row>
    <row r="290" spans="1:12" ht="14.25" customHeight="1">
      <c r="A290" s="72">
        <v>46076</v>
      </c>
      <c r="B290" s="60" t="s">
        <v>121</v>
      </c>
      <c r="C290" s="60" t="s">
        <v>137</v>
      </c>
      <c r="D290" s="61">
        <v>0.80763888888888891</v>
      </c>
      <c r="E290" s="61">
        <v>0.84236111111111101</v>
      </c>
      <c r="F290" s="65">
        <f t="shared" si="9"/>
        <v>3.4722222222222099E-2</v>
      </c>
      <c r="G290" s="59">
        <f t="shared" si="10"/>
        <v>49</v>
      </c>
      <c r="H290" s="70"/>
      <c r="I290" s="70"/>
      <c r="J290" s="60"/>
      <c r="K290" s="60"/>
      <c r="L290" s="66"/>
    </row>
    <row r="291" spans="1:12" ht="14.25" customHeight="1">
      <c r="A291" s="72">
        <v>46076</v>
      </c>
      <c r="B291" s="60" t="s">
        <v>121</v>
      </c>
      <c r="C291" s="60" t="s">
        <v>137</v>
      </c>
      <c r="D291" s="61">
        <v>0.86805555555555547</v>
      </c>
      <c r="E291" s="61">
        <v>0.88680555555555562</v>
      </c>
      <c r="F291" s="65">
        <f t="shared" si="9"/>
        <v>1.8750000000000155E-2</v>
      </c>
      <c r="G291" s="59">
        <f t="shared" si="10"/>
        <v>27</v>
      </c>
      <c r="H291" s="70"/>
      <c r="I291" s="70"/>
      <c r="J291" s="60"/>
      <c r="K291" s="60"/>
      <c r="L291" s="60"/>
    </row>
    <row r="292" spans="1:12" ht="14.25" customHeight="1">
      <c r="A292" s="72">
        <v>46076</v>
      </c>
      <c r="B292" s="60" t="s">
        <v>121</v>
      </c>
      <c r="C292" s="60" t="s">
        <v>137</v>
      </c>
      <c r="D292" s="74">
        <v>0.99305555555555547</v>
      </c>
      <c r="E292" s="61">
        <v>1.0326388888888889</v>
      </c>
      <c r="F292" s="65">
        <f t="shared" si="9"/>
        <v>3.9583333333333415E-2</v>
      </c>
      <c r="G292" s="59">
        <f t="shared" si="10"/>
        <v>57</v>
      </c>
      <c r="H292" s="70"/>
      <c r="I292" s="70"/>
      <c r="J292" s="60"/>
      <c r="K292" s="60"/>
      <c r="L292" s="60"/>
    </row>
    <row r="293" spans="1:12" ht="14.25" customHeight="1">
      <c r="A293" s="72">
        <v>46076</v>
      </c>
      <c r="B293" s="60" t="s">
        <v>122</v>
      </c>
      <c r="C293" s="60" t="s">
        <v>137</v>
      </c>
      <c r="D293" s="61">
        <v>0.4548611111111111</v>
      </c>
      <c r="E293" s="61">
        <v>0.48958333333333331</v>
      </c>
      <c r="F293" s="65">
        <f t="shared" si="9"/>
        <v>3.472222222222221E-2</v>
      </c>
      <c r="G293" s="59">
        <f t="shared" si="10"/>
        <v>50</v>
      </c>
      <c r="H293" s="70"/>
      <c r="I293" s="70"/>
      <c r="J293" s="60"/>
      <c r="K293" s="60"/>
      <c r="L293" s="60"/>
    </row>
    <row r="294" spans="1:12" ht="14.25" hidden="1" customHeight="1">
      <c r="A294" s="72">
        <v>46076</v>
      </c>
      <c r="B294" s="60" t="s">
        <v>122</v>
      </c>
      <c r="C294" s="60" t="s">
        <v>138</v>
      </c>
      <c r="D294" s="61">
        <v>0.53055555555555556</v>
      </c>
      <c r="E294" s="61">
        <v>0.55555555555555558</v>
      </c>
      <c r="F294" s="65">
        <f t="shared" si="9"/>
        <v>2.5000000000000022E-2</v>
      </c>
      <c r="G294" s="59">
        <f t="shared" si="10"/>
        <v>36</v>
      </c>
      <c r="H294" s="70"/>
      <c r="I294" s="70"/>
      <c r="J294" s="60"/>
      <c r="K294" s="60" t="s">
        <v>211</v>
      </c>
      <c r="L294" s="60"/>
    </row>
    <row r="295" spans="1:12" ht="14.25" hidden="1" customHeight="1">
      <c r="A295" s="72">
        <v>46076</v>
      </c>
      <c r="B295" s="60" t="s">
        <v>122</v>
      </c>
      <c r="C295" s="60" t="s">
        <v>138</v>
      </c>
      <c r="D295" s="61">
        <v>0.63541666666666663</v>
      </c>
      <c r="E295" s="61">
        <v>0.65277777777777779</v>
      </c>
      <c r="F295" s="65">
        <f t="shared" si="9"/>
        <v>1.736111111111116E-2</v>
      </c>
      <c r="G295" s="59">
        <f t="shared" si="10"/>
        <v>25</v>
      </c>
      <c r="H295" s="70"/>
      <c r="I295" s="70"/>
      <c r="J295" s="60"/>
      <c r="K295" s="66" t="s">
        <v>212</v>
      </c>
      <c r="L295" s="60"/>
    </row>
    <row r="296" spans="1:12" ht="14.25" hidden="1" customHeight="1">
      <c r="A296" s="72">
        <v>46076</v>
      </c>
      <c r="B296" s="60" t="s">
        <v>122</v>
      </c>
      <c r="C296" s="60" t="s">
        <v>148</v>
      </c>
      <c r="D296" s="61">
        <v>0.71527777777777779</v>
      </c>
      <c r="E296" s="61">
        <v>0.71805555555555556</v>
      </c>
      <c r="F296" s="65">
        <f t="shared" si="9"/>
        <v>2.7777777777777679E-3</v>
      </c>
      <c r="G296" s="59">
        <f t="shared" si="10"/>
        <v>3</v>
      </c>
      <c r="H296" s="70"/>
      <c r="I296" s="70"/>
      <c r="J296" s="60"/>
      <c r="K296" s="60"/>
      <c r="L296" s="60"/>
    </row>
    <row r="297" spans="1:12" ht="14.25" customHeight="1">
      <c r="A297" s="72">
        <v>46076</v>
      </c>
      <c r="B297" s="60" t="s">
        <v>122</v>
      </c>
      <c r="C297" s="60" t="s">
        <v>137</v>
      </c>
      <c r="D297" s="61">
        <v>0.79791666666666661</v>
      </c>
      <c r="E297" s="61">
        <v>0.80625000000000002</v>
      </c>
      <c r="F297" s="65">
        <f t="shared" si="9"/>
        <v>8.3333333333334147E-3</v>
      </c>
      <c r="G297" s="59">
        <f t="shared" si="10"/>
        <v>12</v>
      </c>
      <c r="H297" s="70"/>
      <c r="I297" s="70"/>
      <c r="J297" s="60"/>
      <c r="K297" s="60"/>
      <c r="L297" s="60"/>
    </row>
    <row r="298" spans="1:12" ht="14.25" customHeight="1">
      <c r="A298" s="72">
        <v>46076</v>
      </c>
      <c r="B298" s="60" t="s">
        <v>122</v>
      </c>
      <c r="C298" s="60" t="s">
        <v>137</v>
      </c>
      <c r="D298" s="61">
        <v>0.83194444444444438</v>
      </c>
      <c r="E298" s="61">
        <v>0.88263888888888886</v>
      </c>
      <c r="F298" s="65">
        <f t="shared" si="9"/>
        <v>5.0694444444444486E-2</v>
      </c>
      <c r="G298" s="59">
        <f t="shared" si="10"/>
        <v>73</v>
      </c>
      <c r="H298" s="70"/>
      <c r="I298" s="70"/>
      <c r="J298" s="60"/>
      <c r="K298" s="60"/>
      <c r="L298" s="60"/>
    </row>
    <row r="299" spans="1:12" ht="14.25" hidden="1" customHeight="1">
      <c r="A299" s="72">
        <v>46076</v>
      </c>
      <c r="B299" s="60" t="s">
        <v>122</v>
      </c>
      <c r="C299" s="60" t="s">
        <v>138</v>
      </c>
      <c r="D299" s="61">
        <v>0.88611111111111107</v>
      </c>
      <c r="E299" s="61">
        <v>0.90625</v>
      </c>
      <c r="F299" s="65">
        <f t="shared" si="9"/>
        <v>2.0138888888888928E-2</v>
      </c>
      <c r="G299" s="59">
        <f t="shared" si="10"/>
        <v>29</v>
      </c>
      <c r="H299" s="70"/>
      <c r="I299" s="70"/>
      <c r="J299" s="60"/>
      <c r="K299" s="60"/>
      <c r="L299" s="60"/>
    </row>
    <row r="300" spans="1:12" ht="14.25" hidden="1" customHeight="1">
      <c r="A300" s="72">
        <v>46076</v>
      </c>
      <c r="B300" s="60" t="s">
        <v>123</v>
      </c>
      <c r="C300" s="60" t="s">
        <v>138</v>
      </c>
      <c r="D300" s="61">
        <v>0.3263888888888889</v>
      </c>
      <c r="E300" s="61">
        <v>0.3611111111111111</v>
      </c>
      <c r="F300" s="65">
        <f t="shared" si="9"/>
        <v>3.472222222222221E-2</v>
      </c>
      <c r="G300" s="59">
        <f t="shared" si="10"/>
        <v>50</v>
      </c>
      <c r="H300" s="70"/>
      <c r="I300" s="70"/>
      <c r="J300" s="60"/>
      <c r="K300" s="60" t="s">
        <v>213</v>
      </c>
      <c r="L300" s="60"/>
    </row>
    <row r="301" spans="1:12" ht="14.25" hidden="1" customHeight="1">
      <c r="A301" s="72">
        <v>46076</v>
      </c>
      <c r="B301" s="60" t="s">
        <v>123</v>
      </c>
      <c r="C301" s="60" t="s">
        <v>138</v>
      </c>
      <c r="D301" s="61">
        <v>0.40972222222222227</v>
      </c>
      <c r="E301" s="61">
        <v>0.4375</v>
      </c>
      <c r="F301" s="65">
        <f t="shared" si="9"/>
        <v>2.7777777777777735E-2</v>
      </c>
      <c r="G301" s="59">
        <f t="shared" si="10"/>
        <v>39</v>
      </c>
      <c r="H301" s="70"/>
      <c r="I301" s="70"/>
      <c r="J301" s="60"/>
      <c r="K301" s="60" t="s">
        <v>214</v>
      </c>
      <c r="L301" s="66"/>
    </row>
    <row r="302" spans="1:12" ht="14.25" hidden="1" customHeight="1">
      <c r="A302" s="72">
        <v>46076</v>
      </c>
      <c r="B302" s="60" t="s">
        <v>123</v>
      </c>
      <c r="C302" s="60" t="s">
        <v>138</v>
      </c>
      <c r="D302" s="61">
        <v>0.4375</v>
      </c>
      <c r="E302" s="61">
        <v>0.4513888888888889</v>
      </c>
      <c r="F302" s="65">
        <f t="shared" si="9"/>
        <v>1.3888888888888895E-2</v>
      </c>
      <c r="G302" s="59">
        <f t="shared" si="10"/>
        <v>20</v>
      </c>
      <c r="H302" s="70"/>
      <c r="I302" s="70"/>
      <c r="J302" s="60"/>
      <c r="K302" s="60" t="s">
        <v>214</v>
      </c>
      <c r="L302" s="60"/>
    </row>
    <row r="303" spans="1:12" ht="14.25" customHeight="1">
      <c r="A303" s="72">
        <v>46076</v>
      </c>
      <c r="B303" s="60" t="s">
        <v>123</v>
      </c>
      <c r="C303" s="60" t="s">
        <v>137</v>
      </c>
      <c r="D303" s="61">
        <v>0.68055555555555547</v>
      </c>
      <c r="E303" s="61">
        <v>0.75694444444444453</v>
      </c>
      <c r="F303" s="65">
        <f t="shared" si="9"/>
        <v>7.6388888888889062E-2</v>
      </c>
      <c r="G303" s="59">
        <f t="shared" si="10"/>
        <v>110</v>
      </c>
      <c r="H303" s="70"/>
      <c r="I303" s="70"/>
      <c r="J303" s="60"/>
      <c r="K303" s="60"/>
      <c r="L303" s="60"/>
    </row>
    <row r="304" spans="1:12" ht="14.25" customHeight="1">
      <c r="A304" s="72">
        <v>46076</v>
      </c>
      <c r="B304" s="60" t="s">
        <v>123</v>
      </c>
      <c r="C304" s="60" t="s">
        <v>137</v>
      </c>
      <c r="D304" s="61">
        <v>0.83680555555555547</v>
      </c>
      <c r="E304" s="61">
        <v>0.8847222222222223</v>
      </c>
      <c r="F304" s="65">
        <f t="shared" si="9"/>
        <v>4.7916666666666829E-2</v>
      </c>
      <c r="G304" s="59">
        <f t="shared" si="10"/>
        <v>69</v>
      </c>
      <c r="H304" s="70"/>
      <c r="I304" s="70"/>
      <c r="J304" s="60"/>
      <c r="K304" s="60"/>
      <c r="L304" s="60"/>
    </row>
    <row r="305" spans="1:12" ht="14.25" hidden="1" customHeight="1">
      <c r="A305" s="72">
        <v>46076</v>
      </c>
      <c r="B305" s="60" t="s">
        <v>123</v>
      </c>
      <c r="C305" s="60" t="s">
        <v>138</v>
      </c>
      <c r="D305" s="61">
        <v>0.89583333333333337</v>
      </c>
      <c r="E305" s="61">
        <v>0.90972222222222221</v>
      </c>
      <c r="F305" s="65">
        <f t="shared" si="9"/>
        <v>1.388888888888884E-2</v>
      </c>
      <c r="G305" s="59">
        <f t="shared" si="10"/>
        <v>19</v>
      </c>
      <c r="H305" s="70"/>
      <c r="I305" s="70"/>
      <c r="J305" s="60"/>
      <c r="K305" s="60"/>
      <c r="L305" s="60"/>
    </row>
    <row r="306" spans="1:12" ht="14.25" hidden="1" customHeight="1">
      <c r="A306" s="72">
        <v>46076</v>
      </c>
      <c r="B306" s="60" t="s">
        <v>124</v>
      </c>
      <c r="C306" s="60" t="s">
        <v>215</v>
      </c>
      <c r="D306" s="61">
        <v>0.34861111111111115</v>
      </c>
      <c r="E306" s="61">
        <v>0.35069444444444442</v>
      </c>
      <c r="F306" s="65">
        <f t="shared" si="9"/>
        <v>2.0833333333332704E-3</v>
      </c>
      <c r="G306" s="59">
        <f t="shared" si="10"/>
        <v>2</v>
      </c>
      <c r="H306" s="70"/>
      <c r="I306" s="70"/>
      <c r="J306" s="60"/>
      <c r="K306" s="60"/>
      <c r="L306" s="60"/>
    </row>
    <row r="307" spans="1:12" ht="14.25" hidden="1" customHeight="1">
      <c r="A307" s="72">
        <v>46076</v>
      </c>
      <c r="B307" s="60" t="s">
        <v>124</v>
      </c>
      <c r="C307" s="60" t="s">
        <v>140</v>
      </c>
      <c r="D307" s="61">
        <v>0.6875</v>
      </c>
      <c r="E307" s="61">
        <v>0.69097222222222221</v>
      </c>
      <c r="F307" s="65">
        <f t="shared" si="9"/>
        <v>3.4722222222222099E-3</v>
      </c>
      <c r="G307" s="59">
        <f t="shared" si="10"/>
        <v>4</v>
      </c>
      <c r="H307" s="70"/>
      <c r="I307" s="70"/>
      <c r="J307" s="60"/>
      <c r="K307" s="60"/>
      <c r="L307" s="60"/>
    </row>
    <row r="308" spans="1:12" ht="14.25" hidden="1" customHeight="1">
      <c r="A308" s="72">
        <v>46076</v>
      </c>
      <c r="B308" s="60" t="s">
        <v>132</v>
      </c>
      <c r="C308" s="60" t="s">
        <v>208</v>
      </c>
      <c r="D308" s="61">
        <v>0.51041666666666663</v>
      </c>
      <c r="E308" s="61">
        <v>0.51388888888888895</v>
      </c>
      <c r="F308" s="65">
        <f t="shared" si="9"/>
        <v>3.4722222222223209E-3</v>
      </c>
      <c r="G308" s="59">
        <f t="shared" si="10"/>
        <v>5</v>
      </c>
      <c r="H308" s="70"/>
      <c r="I308" s="70"/>
      <c r="J308" s="60"/>
      <c r="K308" s="60"/>
      <c r="L308" s="60"/>
    </row>
    <row r="309" spans="1:12" hidden="1">
      <c r="A309" s="72">
        <v>46077</v>
      </c>
      <c r="B309" s="60" t="s">
        <v>120</v>
      </c>
      <c r="C309" s="60" t="s">
        <v>138</v>
      </c>
      <c r="D309" s="61">
        <v>0.33680555555555558</v>
      </c>
      <c r="E309" s="61">
        <v>0.34722222222222227</v>
      </c>
      <c r="F309" s="65">
        <f t="shared" si="9"/>
        <v>1.0416666666666685E-2</v>
      </c>
      <c r="G309" s="59">
        <f t="shared" si="10"/>
        <v>15</v>
      </c>
      <c r="H309" s="70"/>
      <c r="I309" s="70"/>
      <c r="J309" s="60"/>
      <c r="K309" s="60" t="s">
        <v>216</v>
      </c>
      <c r="L309" s="60"/>
    </row>
    <row r="310" spans="1:12" ht="14.25" hidden="1" customHeight="1">
      <c r="A310" s="72">
        <v>46077</v>
      </c>
      <c r="B310" s="60" t="s">
        <v>120</v>
      </c>
      <c r="C310" s="60" t="s">
        <v>138</v>
      </c>
      <c r="D310" s="61">
        <v>0.36458333333333331</v>
      </c>
      <c r="E310" s="61">
        <v>0.39583333333333331</v>
      </c>
      <c r="F310" s="65">
        <f t="shared" si="9"/>
        <v>3.125E-2</v>
      </c>
      <c r="G310" s="59">
        <f t="shared" si="10"/>
        <v>45</v>
      </c>
      <c r="H310" s="70"/>
      <c r="I310" s="70"/>
      <c r="J310" s="60"/>
      <c r="K310" s="60"/>
      <c r="L310" s="60"/>
    </row>
    <row r="311" spans="1:12" ht="14.25" customHeight="1">
      <c r="A311" s="72">
        <v>46077</v>
      </c>
      <c r="B311" s="60" t="s">
        <v>120</v>
      </c>
      <c r="C311" s="60" t="s">
        <v>137</v>
      </c>
      <c r="D311" s="61">
        <v>0.45833333333333331</v>
      </c>
      <c r="E311" s="61">
        <v>0.4826388888888889</v>
      </c>
      <c r="F311" s="65">
        <f t="shared" si="9"/>
        <v>2.430555555555558E-2</v>
      </c>
      <c r="G311" s="59">
        <f t="shared" si="10"/>
        <v>35</v>
      </c>
      <c r="H311" s="70"/>
      <c r="I311" s="70"/>
      <c r="J311" s="60"/>
      <c r="K311" s="60"/>
      <c r="L311" s="60"/>
    </row>
    <row r="312" spans="1:12" ht="28.5" hidden="1" customHeight="1">
      <c r="A312" s="72">
        <v>46077</v>
      </c>
      <c r="B312" s="60" t="s">
        <v>120</v>
      </c>
      <c r="C312" s="60" t="s">
        <v>138</v>
      </c>
      <c r="D312" s="61">
        <v>0.49652777777777773</v>
      </c>
      <c r="E312" s="61">
        <v>0.51388888888888895</v>
      </c>
      <c r="F312" s="65">
        <f t="shared" si="9"/>
        <v>1.7361111111111216E-2</v>
      </c>
      <c r="G312" s="59">
        <f t="shared" si="10"/>
        <v>25</v>
      </c>
      <c r="H312" s="70"/>
      <c r="I312" s="70"/>
      <c r="J312" s="60"/>
      <c r="K312" s="60" t="s">
        <v>217</v>
      </c>
      <c r="L312" s="67"/>
    </row>
    <row r="313" spans="1:12" ht="14.25" customHeight="1">
      <c r="A313" s="72">
        <v>46077</v>
      </c>
      <c r="B313" s="60" t="s">
        <v>120</v>
      </c>
      <c r="C313" s="60" t="s">
        <v>137</v>
      </c>
      <c r="D313" s="61">
        <v>0.70486111111111116</v>
      </c>
      <c r="E313" s="61">
        <v>0.73611111111111116</v>
      </c>
      <c r="F313" s="65">
        <f t="shared" si="9"/>
        <v>3.125E-2</v>
      </c>
      <c r="G313" s="59">
        <f t="shared" si="10"/>
        <v>45</v>
      </c>
      <c r="H313" s="70"/>
      <c r="I313" s="70"/>
      <c r="J313" s="60"/>
      <c r="K313" s="60"/>
      <c r="L313" s="60"/>
    </row>
    <row r="314" spans="1:12" ht="14.25" customHeight="1">
      <c r="A314" s="72">
        <v>46077</v>
      </c>
      <c r="B314" s="60" t="s">
        <v>120</v>
      </c>
      <c r="C314" s="60" t="s">
        <v>137</v>
      </c>
      <c r="D314" s="61">
        <v>0.94097222222222221</v>
      </c>
      <c r="E314" s="61">
        <v>1.0104166666666667</v>
      </c>
      <c r="F314" s="65">
        <f t="shared" si="9"/>
        <v>6.9444444444444531E-2</v>
      </c>
      <c r="G314" s="59">
        <f t="shared" si="10"/>
        <v>100</v>
      </c>
      <c r="H314" s="70"/>
      <c r="I314" s="70"/>
      <c r="J314" s="60"/>
      <c r="K314" s="60"/>
      <c r="L314" s="60"/>
    </row>
    <row r="315" spans="1:12" ht="14.25" customHeight="1">
      <c r="A315" s="72">
        <v>46077</v>
      </c>
      <c r="B315" s="60" t="s">
        <v>123</v>
      </c>
      <c r="C315" s="60" t="s">
        <v>137</v>
      </c>
      <c r="D315" s="61">
        <v>0.34722222222222227</v>
      </c>
      <c r="E315" s="61">
        <v>0.3659722222222222</v>
      </c>
      <c r="F315" s="65">
        <f t="shared" si="9"/>
        <v>1.8749999999999933E-2</v>
      </c>
      <c r="G315" s="59">
        <f t="shared" si="10"/>
        <v>26</v>
      </c>
      <c r="H315" s="70"/>
      <c r="I315" s="70"/>
      <c r="J315" s="60"/>
      <c r="K315" s="60"/>
      <c r="L315" s="60"/>
    </row>
    <row r="316" spans="1:12" ht="14.25" hidden="1" customHeight="1">
      <c r="A316" s="72">
        <v>46077</v>
      </c>
      <c r="B316" s="60" t="s">
        <v>123</v>
      </c>
      <c r="C316" s="60" t="s">
        <v>148</v>
      </c>
      <c r="D316" s="61">
        <v>0.47013888888888888</v>
      </c>
      <c r="E316" s="61">
        <v>0.4826388888888889</v>
      </c>
      <c r="F316" s="65">
        <f t="shared" si="9"/>
        <v>1.2500000000000011E-2</v>
      </c>
      <c r="G316" s="59">
        <f t="shared" si="10"/>
        <v>18</v>
      </c>
      <c r="H316" s="70"/>
      <c r="I316" s="70"/>
      <c r="J316" s="60"/>
      <c r="K316" s="60"/>
      <c r="L316" s="71"/>
    </row>
    <row r="317" spans="1:12" ht="14.25" hidden="1" customHeight="1">
      <c r="A317" s="72">
        <v>46077</v>
      </c>
      <c r="B317" s="60" t="s">
        <v>123</v>
      </c>
      <c r="C317" s="60" t="s">
        <v>140</v>
      </c>
      <c r="D317" s="61">
        <v>0.57291666666666663</v>
      </c>
      <c r="E317" s="61">
        <v>0.57430555555555551</v>
      </c>
      <c r="F317" s="65">
        <f t="shared" si="9"/>
        <v>1.388888888888884E-3</v>
      </c>
      <c r="G317" s="59">
        <f t="shared" si="10"/>
        <v>1</v>
      </c>
      <c r="H317" s="70"/>
      <c r="I317" s="70"/>
      <c r="J317" s="60"/>
      <c r="K317" s="60"/>
      <c r="L317" s="66"/>
    </row>
    <row r="318" spans="1:12" ht="14.25" customHeight="1">
      <c r="A318" s="72">
        <v>46077</v>
      </c>
      <c r="B318" s="60" t="s">
        <v>121</v>
      </c>
      <c r="C318" s="60" t="s">
        <v>137</v>
      </c>
      <c r="D318" s="61">
        <v>0.34375</v>
      </c>
      <c r="E318" s="61">
        <v>0.3611111111111111</v>
      </c>
      <c r="F318" s="65">
        <f t="shared" si="9"/>
        <v>1.7361111111111105E-2</v>
      </c>
      <c r="G318" s="59">
        <f t="shared" si="10"/>
        <v>25</v>
      </c>
      <c r="H318" s="70"/>
      <c r="I318" s="70"/>
      <c r="J318" s="60"/>
      <c r="K318" s="60"/>
      <c r="L318" s="60"/>
    </row>
    <row r="319" spans="1:12" ht="14.25" hidden="1" customHeight="1">
      <c r="A319" s="72">
        <v>46077</v>
      </c>
      <c r="B319" s="60" t="s">
        <v>121</v>
      </c>
      <c r="C319" s="60" t="s">
        <v>143</v>
      </c>
      <c r="D319" s="61">
        <v>0.68472222222222223</v>
      </c>
      <c r="E319" s="61">
        <v>0.6875</v>
      </c>
      <c r="F319" s="65">
        <f t="shared" si="9"/>
        <v>2.7777777777777679E-3</v>
      </c>
      <c r="G319" s="59">
        <f t="shared" si="10"/>
        <v>3</v>
      </c>
      <c r="H319" s="70"/>
      <c r="I319" s="70"/>
      <c r="J319" s="60"/>
      <c r="K319" s="60"/>
      <c r="L319" s="60"/>
    </row>
    <row r="320" spans="1:12" ht="14.25" customHeight="1">
      <c r="A320" s="72">
        <v>46077</v>
      </c>
      <c r="B320" s="60" t="s">
        <v>121</v>
      </c>
      <c r="C320" s="60" t="s">
        <v>137</v>
      </c>
      <c r="D320" s="61">
        <v>0.76736111111111116</v>
      </c>
      <c r="E320" s="61">
        <v>0.79166666666666663</v>
      </c>
      <c r="F320" s="65">
        <f t="shared" si="9"/>
        <v>2.4305555555555469E-2</v>
      </c>
      <c r="G320" s="59">
        <f t="shared" si="10"/>
        <v>34</v>
      </c>
      <c r="H320" s="70"/>
      <c r="I320" s="70"/>
      <c r="J320" s="60"/>
      <c r="K320" s="60"/>
      <c r="L320" s="66"/>
    </row>
    <row r="321" spans="1:12" ht="14.25" customHeight="1">
      <c r="A321" s="72">
        <v>46077</v>
      </c>
      <c r="B321" s="60" t="s">
        <v>121</v>
      </c>
      <c r="C321" s="60" t="s">
        <v>137</v>
      </c>
      <c r="D321" s="61">
        <v>0.79166666666666663</v>
      </c>
      <c r="E321" s="61">
        <v>0.83194444444444438</v>
      </c>
      <c r="F321" s="65">
        <f t="shared" si="9"/>
        <v>4.0277777777777746E-2</v>
      </c>
      <c r="G321" s="59">
        <f t="shared" si="10"/>
        <v>58</v>
      </c>
      <c r="H321" s="70"/>
      <c r="I321" s="70"/>
      <c r="J321" s="60"/>
      <c r="K321" s="60"/>
      <c r="L321" s="67"/>
    </row>
    <row r="322" spans="1:12" ht="14.25" customHeight="1">
      <c r="A322" s="72">
        <v>46077</v>
      </c>
      <c r="B322" s="60" t="s">
        <v>121</v>
      </c>
      <c r="C322" s="60" t="s">
        <v>137</v>
      </c>
      <c r="D322" s="61">
        <v>0.93402777777777779</v>
      </c>
      <c r="E322" s="61">
        <v>0.98541666666666661</v>
      </c>
      <c r="F322" s="65">
        <f t="shared" si="9"/>
        <v>5.1388888888888817E-2</v>
      </c>
      <c r="G322" s="59">
        <f t="shared" si="10"/>
        <v>73</v>
      </c>
      <c r="H322" s="70"/>
      <c r="I322" s="70"/>
      <c r="J322" s="60"/>
      <c r="K322" s="60"/>
      <c r="L322" s="71"/>
    </row>
    <row r="323" spans="1:12" ht="14.25" customHeight="1">
      <c r="A323" s="72">
        <v>46077</v>
      </c>
      <c r="B323" s="60" t="s">
        <v>122</v>
      </c>
      <c r="C323" s="60" t="s">
        <v>137</v>
      </c>
      <c r="D323" s="61">
        <v>0.43055555555555558</v>
      </c>
      <c r="E323" s="61">
        <v>0.4861111111111111</v>
      </c>
      <c r="F323" s="65">
        <f t="shared" ref="F323:F363" si="11">+(E323-D323)</f>
        <v>5.5555555555555525E-2</v>
      </c>
      <c r="G323" s="59">
        <f t="shared" ref="G323:G363" si="12">INT(F323*1440)</f>
        <v>80</v>
      </c>
      <c r="H323" s="70"/>
      <c r="I323" s="70"/>
      <c r="J323" s="60"/>
      <c r="K323" s="60"/>
      <c r="L323" s="60"/>
    </row>
    <row r="324" spans="1:12" ht="14.25" customHeight="1">
      <c r="A324" s="72">
        <v>46077</v>
      </c>
      <c r="B324" s="60" t="s">
        <v>122</v>
      </c>
      <c r="C324" s="60" t="s">
        <v>137</v>
      </c>
      <c r="D324" s="61">
        <v>0.66319444444444442</v>
      </c>
      <c r="E324" s="61">
        <v>0.68055555555555547</v>
      </c>
      <c r="F324" s="65">
        <f t="shared" si="11"/>
        <v>1.7361111111111049E-2</v>
      </c>
      <c r="G324" s="59">
        <f t="shared" si="12"/>
        <v>24</v>
      </c>
      <c r="H324" s="70"/>
      <c r="I324" s="70"/>
      <c r="J324" s="60"/>
      <c r="K324" s="60"/>
      <c r="L324" s="60"/>
    </row>
    <row r="325" spans="1:12" ht="14.25" customHeight="1">
      <c r="A325" s="72">
        <v>46077</v>
      </c>
      <c r="B325" s="60" t="s">
        <v>124</v>
      </c>
      <c r="C325" s="60" t="s">
        <v>137</v>
      </c>
      <c r="D325" s="61">
        <v>0.37152777777777773</v>
      </c>
      <c r="E325" s="61">
        <v>0.37847222222222227</v>
      </c>
      <c r="F325" s="65">
        <f t="shared" si="11"/>
        <v>6.9444444444445308E-3</v>
      </c>
      <c r="G325" s="59">
        <f t="shared" si="12"/>
        <v>10</v>
      </c>
      <c r="H325" s="70"/>
      <c r="I325" s="70"/>
      <c r="J325" s="60"/>
      <c r="K325" s="60"/>
      <c r="L325" s="60"/>
    </row>
    <row r="326" spans="1:12" ht="14.25" customHeight="1">
      <c r="A326" s="72">
        <v>46077</v>
      </c>
      <c r="B326" s="60" t="s">
        <v>124</v>
      </c>
      <c r="C326" s="60" t="s">
        <v>137</v>
      </c>
      <c r="D326" s="61">
        <v>0.56597222222222221</v>
      </c>
      <c r="E326" s="61">
        <v>0.58333333333333337</v>
      </c>
      <c r="F326" s="65">
        <f t="shared" si="11"/>
        <v>1.736111111111116E-2</v>
      </c>
      <c r="G326" s="59">
        <f t="shared" si="12"/>
        <v>25</v>
      </c>
      <c r="H326" s="70"/>
      <c r="I326" s="70"/>
      <c r="J326" s="60"/>
      <c r="K326" s="60"/>
      <c r="L326" s="60"/>
    </row>
    <row r="327" spans="1:12" ht="14.25" customHeight="1">
      <c r="A327" s="72">
        <v>46077</v>
      </c>
      <c r="B327" s="60" t="s">
        <v>124</v>
      </c>
      <c r="C327" s="60" t="s">
        <v>137</v>
      </c>
      <c r="D327" s="61">
        <v>0.63541666666666663</v>
      </c>
      <c r="E327" s="61">
        <v>0.66666666666666663</v>
      </c>
      <c r="F327" s="65">
        <f t="shared" si="11"/>
        <v>3.125E-2</v>
      </c>
      <c r="G327" s="59">
        <f t="shared" si="12"/>
        <v>45</v>
      </c>
      <c r="H327" s="70"/>
      <c r="I327" s="70"/>
      <c r="J327" s="60"/>
      <c r="K327" s="60"/>
      <c r="L327" s="60"/>
    </row>
    <row r="328" spans="1:12" ht="14.25" customHeight="1">
      <c r="A328" s="72">
        <v>46077</v>
      </c>
      <c r="B328" s="60" t="s">
        <v>132</v>
      </c>
      <c r="C328" s="60" t="s">
        <v>137</v>
      </c>
      <c r="D328" s="61">
        <v>0.3576388888888889</v>
      </c>
      <c r="E328" s="61">
        <v>0.38541666666666669</v>
      </c>
      <c r="F328" s="65">
        <f t="shared" si="11"/>
        <v>2.777777777777779E-2</v>
      </c>
      <c r="G328" s="59">
        <f t="shared" si="12"/>
        <v>40</v>
      </c>
      <c r="H328" s="70"/>
      <c r="I328" s="70"/>
      <c r="J328" s="60"/>
      <c r="K328" s="60"/>
      <c r="L328" s="60"/>
    </row>
    <row r="329" spans="1:12" ht="14.25" customHeight="1">
      <c r="A329" s="72">
        <v>46077</v>
      </c>
      <c r="B329" s="60" t="s">
        <v>132</v>
      </c>
      <c r="C329" s="60" t="s">
        <v>137</v>
      </c>
      <c r="D329" s="61">
        <v>0.40972222222222227</v>
      </c>
      <c r="E329" s="61">
        <v>0.52777777777777779</v>
      </c>
      <c r="F329" s="65">
        <f t="shared" si="11"/>
        <v>0.11805555555555552</v>
      </c>
      <c r="G329" s="59">
        <f t="shared" si="12"/>
        <v>170</v>
      </c>
      <c r="H329" s="70"/>
      <c r="I329" s="70"/>
      <c r="J329" s="60"/>
      <c r="K329" s="60"/>
      <c r="L329" s="60"/>
    </row>
    <row r="330" spans="1:12" ht="14.25" hidden="1" customHeight="1">
      <c r="A330" s="72">
        <v>46077</v>
      </c>
      <c r="B330" s="60" t="s">
        <v>132</v>
      </c>
      <c r="C330" s="60" t="s">
        <v>138</v>
      </c>
      <c r="D330" s="61">
        <v>0.6479166666666667</v>
      </c>
      <c r="E330" s="61">
        <v>0.65625</v>
      </c>
      <c r="F330" s="65">
        <f t="shared" si="11"/>
        <v>8.3333333333333037E-3</v>
      </c>
      <c r="G330" s="59">
        <f t="shared" si="12"/>
        <v>12</v>
      </c>
      <c r="H330" s="70"/>
      <c r="I330" s="70"/>
      <c r="J330" s="60"/>
      <c r="K330" s="60" t="s">
        <v>218</v>
      </c>
      <c r="L330" s="60"/>
    </row>
    <row r="331" spans="1:12" ht="14.25" customHeight="1">
      <c r="A331" s="72">
        <v>46077</v>
      </c>
      <c r="B331" s="60" t="s">
        <v>132</v>
      </c>
      <c r="C331" s="60" t="s">
        <v>137</v>
      </c>
      <c r="D331" s="61">
        <v>0.69791666666666663</v>
      </c>
      <c r="E331" s="61">
        <v>0.70486111111111116</v>
      </c>
      <c r="F331" s="65">
        <f t="shared" si="11"/>
        <v>6.9444444444445308E-3</v>
      </c>
      <c r="G331" s="59">
        <f t="shared" si="12"/>
        <v>10</v>
      </c>
      <c r="H331" s="70"/>
      <c r="I331" s="70"/>
      <c r="J331" s="60"/>
      <c r="K331" s="60"/>
      <c r="L331" s="60"/>
    </row>
    <row r="332" spans="1:12" ht="14.25" customHeight="1">
      <c r="A332" s="72">
        <v>46077</v>
      </c>
      <c r="B332" s="60" t="s">
        <v>132</v>
      </c>
      <c r="C332" s="60" t="s">
        <v>137</v>
      </c>
      <c r="D332" s="61">
        <v>0.88194444444444453</v>
      </c>
      <c r="E332" s="61">
        <v>0.91666666666666663</v>
      </c>
      <c r="F332" s="65">
        <f t="shared" si="11"/>
        <v>3.4722222222222099E-2</v>
      </c>
      <c r="G332" s="59">
        <f t="shared" si="12"/>
        <v>49</v>
      </c>
      <c r="H332" s="70"/>
      <c r="I332" s="70"/>
      <c r="J332" s="60"/>
      <c r="K332" s="60"/>
      <c r="L332" s="60"/>
    </row>
    <row r="333" spans="1:12" ht="14.25" hidden="1" customHeight="1">
      <c r="A333" s="72">
        <v>46078</v>
      </c>
      <c r="B333" s="60" t="s">
        <v>120</v>
      </c>
      <c r="C333" s="60" t="s">
        <v>138</v>
      </c>
      <c r="D333" s="61">
        <v>0.33680555555555558</v>
      </c>
      <c r="E333" s="61">
        <v>0.35416666666666669</v>
      </c>
      <c r="F333" s="65">
        <f t="shared" si="11"/>
        <v>1.7361111111111105E-2</v>
      </c>
      <c r="G333" s="59">
        <f t="shared" si="12"/>
        <v>25</v>
      </c>
      <c r="H333" s="70"/>
      <c r="I333" s="70"/>
      <c r="J333" s="60"/>
      <c r="K333" s="60" t="s">
        <v>219</v>
      </c>
      <c r="L333" s="60"/>
    </row>
    <row r="334" spans="1:12" ht="14.25" hidden="1" customHeight="1">
      <c r="A334" s="72">
        <v>46078</v>
      </c>
      <c r="B334" s="60" t="s">
        <v>120</v>
      </c>
      <c r="C334" s="60" t="s">
        <v>138</v>
      </c>
      <c r="D334" s="61">
        <v>0.36944444444444446</v>
      </c>
      <c r="E334" s="61">
        <v>0.38194444444444442</v>
      </c>
      <c r="F334" s="65">
        <f t="shared" si="11"/>
        <v>1.2499999999999956E-2</v>
      </c>
      <c r="G334" s="59">
        <f t="shared" si="12"/>
        <v>17</v>
      </c>
      <c r="H334" s="70"/>
      <c r="I334" s="70"/>
      <c r="J334" s="60"/>
      <c r="K334" s="60"/>
      <c r="L334" s="60"/>
    </row>
    <row r="335" spans="1:12" ht="14.25" hidden="1" customHeight="1">
      <c r="A335" s="72">
        <v>46078</v>
      </c>
      <c r="B335" s="60" t="s">
        <v>120</v>
      </c>
      <c r="C335" s="60" t="s">
        <v>208</v>
      </c>
      <c r="D335" s="61">
        <v>0.66041666666666665</v>
      </c>
      <c r="E335" s="61">
        <v>0.66319444444444442</v>
      </c>
      <c r="F335" s="65">
        <f t="shared" si="11"/>
        <v>2.7777777777777679E-3</v>
      </c>
      <c r="G335" s="59">
        <f t="shared" si="12"/>
        <v>3</v>
      </c>
      <c r="H335" s="70"/>
      <c r="I335" s="70"/>
      <c r="J335" s="60"/>
      <c r="K335" s="60"/>
      <c r="L335" s="60"/>
    </row>
    <row r="336" spans="1:12" ht="14.25" customHeight="1">
      <c r="A336" s="72">
        <v>46078</v>
      </c>
      <c r="B336" s="60" t="s">
        <v>123</v>
      </c>
      <c r="C336" s="60" t="s">
        <v>137</v>
      </c>
      <c r="D336" s="61">
        <v>0.47222222222222227</v>
      </c>
      <c r="E336" s="61">
        <v>0.49305555555555558</v>
      </c>
      <c r="F336" s="65">
        <f t="shared" si="11"/>
        <v>2.0833333333333315E-2</v>
      </c>
      <c r="G336" s="59">
        <f t="shared" si="12"/>
        <v>30</v>
      </c>
      <c r="H336" s="70"/>
      <c r="I336" s="70"/>
      <c r="J336" s="60"/>
      <c r="K336" s="60"/>
      <c r="L336" s="60"/>
    </row>
    <row r="337" spans="1:12" ht="14.25" customHeight="1">
      <c r="A337" s="72">
        <v>46078</v>
      </c>
      <c r="B337" s="60" t="s">
        <v>124</v>
      </c>
      <c r="C337" s="60" t="s">
        <v>137</v>
      </c>
      <c r="D337" s="61">
        <v>0.4513888888888889</v>
      </c>
      <c r="E337" s="61">
        <v>0.46875</v>
      </c>
      <c r="F337" s="65">
        <f t="shared" si="11"/>
        <v>1.7361111111111105E-2</v>
      </c>
      <c r="G337" s="59">
        <f t="shared" si="12"/>
        <v>25</v>
      </c>
      <c r="H337" s="70"/>
      <c r="I337" s="70"/>
      <c r="J337" s="60"/>
      <c r="K337" s="60"/>
      <c r="L337" s="71"/>
    </row>
    <row r="338" spans="1:12" ht="14.25" customHeight="1">
      <c r="A338" s="72">
        <v>46078</v>
      </c>
      <c r="B338" s="60" t="s">
        <v>132</v>
      </c>
      <c r="C338" s="60" t="s">
        <v>137</v>
      </c>
      <c r="D338" s="61">
        <v>0.44791666666666669</v>
      </c>
      <c r="E338" s="61">
        <v>0.46736111111111112</v>
      </c>
      <c r="F338" s="65">
        <f t="shared" si="11"/>
        <v>1.9444444444444431E-2</v>
      </c>
      <c r="G338" s="59">
        <f t="shared" si="12"/>
        <v>28</v>
      </c>
      <c r="H338" s="70"/>
      <c r="I338" s="70"/>
      <c r="J338" s="60"/>
      <c r="K338" s="60"/>
      <c r="L338" s="60"/>
    </row>
    <row r="339" spans="1:12" ht="14.25" customHeight="1">
      <c r="A339" s="72">
        <v>46078</v>
      </c>
      <c r="B339" s="60" t="s">
        <v>132</v>
      </c>
      <c r="C339" s="60" t="s">
        <v>137</v>
      </c>
      <c r="D339" s="61">
        <v>0.52083333333333337</v>
      </c>
      <c r="E339" s="61">
        <v>0.53819444444444442</v>
      </c>
      <c r="F339" s="65">
        <f t="shared" si="11"/>
        <v>1.7361111111111049E-2</v>
      </c>
      <c r="G339" s="59">
        <f t="shared" si="12"/>
        <v>24</v>
      </c>
      <c r="H339" s="70"/>
      <c r="I339" s="70"/>
      <c r="J339" s="60"/>
      <c r="K339" s="60"/>
      <c r="L339" s="60"/>
    </row>
    <row r="340" spans="1:12" ht="14.25" customHeight="1">
      <c r="A340" s="72">
        <v>46079</v>
      </c>
      <c r="B340" s="60" t="s">
        <v>120</v>
      </c>
      <c r="C340" s="60" t="s">
        <v>137</v>
      </c>
      <c r="D340" s="61">
        <v>0.36458333333333331</v>
      </c>
      <c r="E340" s="61">
        <v>0.40277777777777773</v>
      </c>
      <c r="F340" s="65">
        <f t="shared" si="11"/>
        <v>3.819444444444442E-2</v>
      </c>
      <c r="G340" s="59">
        <f t="shared" si="12"/>
        <v>55</v>
      </c>
      <c r="H340" s="70"/>
      <c r="I340" s="70"/>
      <c r="J340" s="60"/>
      <c r="K340" s="60"/>
      <c r="L340" s="60"/>
    </row>
    <row r="341" spans="1:12" ht="14.25" customHeight="1">
      <c r="A341" s="72">
        <v>46079</v>
      </c>
      <c r="B341" s="60" t="s">
        <v>120</v>
      </c>
      <c r="C341" s="60" t="s">
        <v>137</v>
      </c>
      <c r="D341" s="61">
        <v>0.4826388888888889</v>
      </c>
      <c r="E341" s="61">
        <v>0.50694444444444442</v>
      </c>
      <c r="F341" s="65">
        <f t="shared" si="11"/>
        <v>2.4305555555555525E-2</v>
      </c>
      <c r="G341" s="59">
        <f t="shared" si="12"/>
        <v>35</v>
      </c>
      <c r="H341" s="70"/>
      <c r="I341" s="70"/>
      <c r="J341" s="60"/>
      <c r="K341" s="60"/>
      <c r="L341" s="60"/>
    </row>
    <row r="342" spans="1:12" ht="14.25" customHeight="1">
      <c r="A342" s="72">
        <v>46079</v>
      </c>
      <c r="B342" s="60" t="s">
        <v>120</v>
      </c>
      <c r="C342" s="60" t="s">
        <v>137</v>
      </c>
      <c r="D342" s="61">
        <v>0.5625</v>
      </c>
      <c r="E342" s="61">
        <v>0.60763888888888895</v>
      </c>
      <c r="F342" s="65">
        <f t="shared" si="11"/>
        <v>4.5138888888888951E-2</v>
      </c>
      <c r="G342" s="59">
        <f t="shared" si="12"/>
        <v>65</v>
      </c>
      <c r="H342" s="70"/>
      <c r="I342" s="70"/>
      <c r="J342" s="60"/>
      <c r="K342" s="60"/>
      <c r="L342" s="60"/>
    </row>
    <row r="343" spans="1:12" ht="14.25" customHeight="1">
      <c r="A343" s="72">
        <v>46079</v>
      </c>
      <c r="B343" s="60" t="s">
        <v>120</v>
      </c>
      <c r="C343" s="60" t="s">
        <v>137</v>
      </c>
      <c r="D343" s="61">
        <v>0.66666666666666663</v>
      </c>
      <c r="E343" s="61">
        <v>0.70138888888888884</v>
      </c>
      <c r="F343" s="65">
        <f t="shared" si="11"/>
        <v>3.472222222222221E-2</v>
      </c>
      <c r="G343" s="59">
        <f t="shared" si="12"/>
        <v>50</v>
      </c>
      <c r="H343" s="70"/>
      <c r="I343" s="70"/>
      <c r="J343" s="60"/>
      <c r="K343" s="60"/>
      <c r="L343" s="60"/>
    </row>
    <row r="344" spans="1:12" ht="14.25" hidden="1" customHeight="1">
      <c r="A344" s="72">
        <v>46079</v>
      </c>
      <c r="B344" s="60" t="s">
        <v>120</v>
      </c>
      <c r="C344" s="60" t="s">
        <v>208</v>
      </c>
      <c r="D344" s="61">
        <v>0.73263888888888884</v>
      </c>
      <c r="E344" s="61">
        <v>0.73958333333333337</v>
      </c>
      <c r="F344" s="65">
        <f t="shared" si="11"/>
        <v>6.9444444444445308E-3</v>
      </c>
      <c r="G344" s="59">
        <f t="shared" si="12"/>
        <v>10</v>
      </c>
      <c r="H344" s="70"/>
      <c r="I344" s="70"/>
      <c r="J344" s="60"/>
      <c r="K344" s="60"/>
      <c r="L344" s="60"/>
    </row>
    <row r="345" spans="1:12" ht="14.25" customHeight="1">
      <c r="A345" s="72">
        <v>46079</v>
      </c>
      <c r="B345" s="60" t="s">
        <v>120</v>
      </c>
      <c r="C345" s="60" t="s">
        <v>137</v>
      </c>
      <c r="D345" s="61">
        <v>0.76388888888888884</v>
      </c>
      <c r="E345" s="61">
        <v>0.79166666666666663</v>
      </c>
      <c r="F345" s="65">
        <f t="shared" si="11"/>
        <v>2.777777777777779E-2</v>
      </c>
      <c r="G345" s="59">
        <f t="shared" si="12"/>
        <v>40</v>
      </c>
      <c r="H345" s="70"/>
      <c r="I345" s="70"/>
      <c r="J345" s="60"/>
      <c r="K345" s="60"/>
      <c r="L345" s="71"/>
    </row>
    <row r="346" spans="1:12" ht="14.25" customHeight="1">
      <c r="A346" s="72">
        <v>46079</v>
      </c>
      <c r="B346" s="60" t="s">
        <v>120</v>
      </c>
      <c r="C346" s="60" t="s">
        <v>137</v>
      </c>
      <c r="D346" s="61">
        <v>0.79166666666666663</v>
      </c>
      <c r="E346" s="61">
        <v>0.86805555555555547</v>
      </c>
      <c r="F346" s="65">
        <f t="shared" si="11"/>
        <v>7.638888888888884E-2</v>
      </c>
      <c r="G346" s="59">
        <f t="shared" si="12"/>
        <v>110</v>
      </c>
      <c r="H346" s="70"/>
      <c r="I346" s="70"/>
      <c r="J346" s="60"/>
      <c r="K346" s="60"/>
      <c r="L346" s="60"/>
    </row>
    <row r="347" spans="1:12" ht="14.25" customHeight="1">
      <c r="A347" s="72">
        <v>46079</v>
      </c>
      <c r="B347" s="60" t="s">
        <v>120</v>
      </c>
      <c r="C347" s="60" t="s">
        <v>137</v>
      </c>
      <c r="D347" s="61">
        <v>0.95138888888888884</v>
      </c>
      <c r="E347" s="61">
        <v>0.97638888888888886</v>
      </c>
      <c r="F347" s="65">
        <f t="shared" si="11"/>
        <v>2.5000000000000022E-2</v>
      </c>
      <c r="G347" s="59">
        <f t="shared" si="12"/>
        <v>36</v>
      </c>
      <c r="H347" s="70"/>
      <c r="I347" s="70"/>
      <c r="J347" s="60"/>
      <c r="K347" s="60"/>
      <c r="L347" s="60"/>
    </row>
    <row r="348" spans="1:12" ht="28.5" hidden="1" customHeight="1">
      <c r="A348" s="72">
        <v>46079</v>
      </c>
      <c r="B348" s="60" t="s">
        <v>121</v>
      </c>
      <c r="C348" s="60" t="s">
        <v>138</v>
      </c>
      <c r="D348" s="61">
        <v>0.33749999999999997</v>
      </c>
      <c r="E348" s="61">
        <v>0.34513888888888888</v>
      </c>
      <c r="F348" s="65">
        <f t="shared" si="11"/>
        <v>7.6388888888889173E-3</v>
      </c>
      <c r="G348" s="59">
        <f t="shared" si="12"/>
        <v>11</v>
      </c>
      <c r="H348" s="70"/>
      <c r="I348" s="70"/>
      <c r="J348" s="60"/>
      <c r="K348" s="60" t="s">
        <v>156</v>
      </c>
      <c r="L348" s="67"/>
    </row>
    <row r="349" spans="1:12" ht="14.25" hidden="1" customHeight="1">
      <c r="A349" s="72">
        <v>46079</v>
      </c>
      <c r="B349" s="60" t="s">
        <v>121</v>
      </c>
      <c r="C349" s="60" t="s">
        <v>138</v>
      </c>
      <c r="D349" s="61">
        <v>0.36041666666666666</v>
      </c>
      <c r="E349" s="61">
        <v>0.37013888888888885</v>
      </c>
      <c r="F349" s="65">
        <f t="shared" si="11"/>
        <v>9.7222222222221877E-3</v>
      </c>
      <c r="G349" s="59">
        <f t="shared" si="12"/>
        <v>14</v>
      </c>
      <c r="H349" s="70"/>
      <c r="I349" s="70"/>
      <c r="J349" s="60"/>
      <c r="K349" s="60"/>
      <c r="L349" s="60"/>
    </row>
    <row r="350" spans="1:12" ht="14.25" hidden="1" customHeight="1">
      <c r="A350" s="72">
        <v>46079</v>
      </c>
      <c r="B350" s="60" t="s">
        <v>121</v>
      </c>
      <c r="C350" s="60" t="s">
        <v>138</v>
      </c>
      <c r="D350" s="61">
        <v>0.3611111111111111</v>
      </c>
      <c r="E350" s="61">
        <v>0.36805555555555558</v>
      </c>
      <c r="F350" s="65">
        <f t="shared" si="11"/>
        <v>6.9444444444444753E-3</v>
      </c>
      <c r="G350" s="59">
        <f t="shared" si="12"/>
        <v>10</v>
      </c>
      <c r="H350" s="70"/>
      <c r="I350" s="70"/>
      <c r="J350" s="60"/>
      <c r="K350" s="60"/>
      <c r="L350" s="66"/>
    </row>
    <row r="351" spans="1:12" ht="14.25" hidden="1" customHeight="1">
      <c r="A351" s="72">
        <v>46079</v>
      </c>
      <c r="B351" s="60" t="s">
        <v>121</v>
      </c>
      <c r="C351" s="60" t="s">
        <v>138</v>
      </c>
      <c r="D351" s="61">
        <v>0.40486111111111112</v>
      </c>
      <c r="E351" s="61">
        <v>0.42152777777777778</v>
      </c>
      <c r="F351" s="65">
        <f t="shared" si="11"/>
        <v>1.6666666666666663E-2</v>
      </c>
      <c r="G351" s="59">
        <f t="shared" si="12"/>
        <v>24</v>
      </c>
      <c r="H351" s="70"/>
      <c r="I351" s="70"/>
      <c r="J351" s="60"/>
      <c r="K351" s="60"/>
      <c r="L351" s="60"/>
    </row>
    <row r="352" spans="1:12" ht="14.25" hidden="1" customHeight="1">
      <c r="A352" s="72">
        <v>46079</v>
      </c>
      <c r="B352" s="60" t="s">
        <v>121</v>
      </c>
      <c r="C352" s="60" t="s">
        <v>138</v>
      </c>
      <c r="D352" s="61">
        <v>0.42152777777777778</v>
      </c>
      <c r="E352" s="61">
        <v>0.51111111111111118</v>
      </c>
      <c r="F352" s="65">
        <f t="shared" si="11"/>
        <v>8.9583333333333404E-2</v>
      </c>
      <c r="G352" s="59">
        <f t="shared" si="12"/>
        <v>129</v>
      </c>
      <c r="H352" s="70"/>
      <c r="I352" s="70"/>
      <c r="J352" s="60"/>
      <c r="K352" s="60"/>
      <c r="L352" s="60"/>
    </row>
    <row r="353" spans="1:12" ht="14.25" customHeight="1">
      <c r="A353" s="72">
        <v>46079</v>
      </c>
      <c r="B353" s="60" t="s">
        <v>121</v>
      </c>
      <c r="C353" s="60" t="s">
        <v>137</v>
      </c>
      <c r="D353" s="61">
        <v>0.51180555555555551</v>
      </c>
      <c r="E353" s="61">
        <v>0.53819444444444442</v>
      </c>
      <c r="F353" s="65">
        <f t="shared" si="11"/>
        <v>2.6388888888888906E-2</v>
      </c>
      <c r="G353" s="59">
        <f t="shared" si="12"/>
        <v>38</v>
      </c>
      <c r="H353" s="70"/>
      <c r="I353" s="70"/>
      <c r="J353" s="60"/>
      <c r="K353" s="60"/>
      <c r="L353" s="60"/>
    </row>
    <row r="354" spans="1:12" ht="14.25" customHeight="1">
      <c r="A354" s="72">
        <v>46079</v>
      </c>
      <c r="B354" s="60" t="s">
        <v>121</v>
      </c>
      <c r="C354" s="60" t="s">
        <v>137</v>
      </c>
      <c r="D354" s="61">
        <v>0.61597222222222225</v>
      </c>
      <c r="E354" s="61">
        <v>0.6430555555555556</v>
      </c>
      <c r="F354" s="65">
        <f t="shared" si="11"/>
        <v>2.7083333333333348E-2</v>
      </c>
      <c r="G354" s="59">
        <f t="shared" si="12"/>
        <v>39</v>
      </c>
      <c r="H354" s="70"/>
      <c r="I354" s="70"/>
      <c r="J354" s="60"/>
      <c r="K354" s="60"/>
      <c r="L354" s="60"/>
    </row>
    <row r="355" spans="1:12" ht="14.25" customHeight="1">
      <c r="A355" s="72">
        <v>46079</v>
      </c>
      <c r="B355" s="60" t="s">
        <v>121</v>
      </c>
      <c r="C355" s="60" t="s">
        <v>137</v>
      </c>
      <c r="D355" s="61">
        <v>0.72083333333333333</v>
      </c>
      <c r="E355" s="61">
        <v>0.79166666666666663</v>
      </c>
      <c r="F355" s="65">
        <f t="shared" si="11"/>
        <v>7.0833333333333304E-2</v>
      </c>
      <c r="G355" s="59">
        <f t="shared" si="12"/>
        <v>102</v>
      </c>
      <c r="H355" s="70"/>
      <c r="I355" s="70"/>
      <c r="J355" s="60"/>
      <c r="K355" s="60"/>
      <c r="L355" s="60"/>
    </row>
    <row r="356" spans="1:12" ht="14.25" customHeight="1">
      <c r="A356" s="72">
        <v>46079</v>
      </c>
      <c r="B356" s="60" t="s">
        <v>121</v>
      </c>
      <c r="C356" s="60" t="s">
        <v>137</v>
      </c>
      <c r="D356" s="61">
        <v>0.99236111111111114</v>
      </c>
      <c r="E356" s="61">
        <v>1.0166666666666666</v>
      </c>
      <c r="F356" s="65">
        <f t="shared" si="11"/>
        <v>2.4305555555555469E-2</v>
      </c>
      <c r="G356" s="59">
        <f t="shared" si="12"/>
        <v>34</v>
      </c>
      <c r="H356" s="70"/>
      <c r="I356" s="70"/>
      <c r="J356" s="60"/>
      <c r="K356" s="60"/>
      <c r="L356" s="60"/>
    </row>
    <row r="357" spans="1:12" ht="14.25" hidden="1" customHeight="1">
      <c r="A357" s="72">
        <v>46079</v>
      </c>
      <c r="B357" s="60" t="s">
        <v>122</v>
      </c>
      <c r="C357" s="60" t="s">
        <v>148</v>
      </c>
      <c r="D357" s="61">
        <v>0.76041666666666663</v>
      </c>
      <c r="E357" s="61">
        <v>0.76527777777777783</v>
      </c>
      <c r="F357" s="65">
        <f t="shared" si="11"/>
        <v>4.8611111111112049E-3</v>
      </c>
      <c r="G357" s="59">
        <f t="shared" si="12"/>
        <v>7</v>
      </c>
      <c r="H357" s="70"/>
      <c r="I357" s="70"/>
      <c r="J357" s="60"/>
      <c r="K357" s="60"/>
      <c r="L357" s="67"/>
    </row>
    <row r="358" spans="1:12" ht="14.25" customHeight="1">
      <c r="A358" s="72">
        <v>46079</v>
      </c>
      <c r="B358" s="60" t="s">
        <v>122</v>
      </c>
      <c r="C358" s="60" t="s">
        <v>137</v>
      </c>
      <c r="D358" s="61">
        <v>0.9375</v>
      </c>
      <c r="E358" s="61">
        <v>0.96736111111111101</v>
      </c>
      <c r="F358" s="65">
        <f t="shared" si="11"/>
        <v>2.9861111111111005E-2</v>
      </c>
      <c r="G358" s="59">
        <f t="shared" si="12"/>
        <v>42</v>
      </c>
      <c r="H358" s="70"/>
      <c r="I358" s="70"/>
      <c r="J358" s="60"/>
      <c r="K358" s="60"/>
      <c r="L358" s="71"/>
    </row>
    <row r="359" spans="1:12" ht="14.25" customHeight="1">
      <c r="A359" s="72">
        <v>46079</v>
      </c>
      <c r="B359" s="60" t="s">
        <v>124</v>
      </c>
      <c r="C359" s="60" t="s">
        <v>137</v>
      </c>
      <c r="D359" s="61">
        <v>0.40972222222222227</v>
      </c>
      <c r="E359" s="61">
        <v>0.41666666666666669</v>
      </c>
      <c r="F359" s="65">
        <f t="shared" si="11"/>
        <v>6.9444444444444198E-3</v>
      </c>
      <c r="G359" s="59">
        <f t="shared" si="12"/>
        <v>9</v>
      </c>
      <c r="H359" s="70"/>
      <c r="I359" s="70"/>
      <c r="J359" s="60"/>
      <c r="K359" s="60"/>
      <c r="L359" s="60"/>
    </row>
    <row r="360" spans="1:12" ht="14.25" customHeight="1">
      <c r="A360" s="72">
        <v>46079</v>
      </c>
      <c r="B360" s="60" t="s">
        <v>124</v>
      </c>
      <c r="C360" s="60" t="s">
        <v>137</v>
      </c>
      <c r="D360" s="61">
        <v>0.49305555555555558</v>
      </c>
      <c r="E360" s="61">
        <v>0.52777777777777779</v>
      </c>
      <c r="F360" s="65">
        <f t="shared" si="11"/>
        <v>3.472222222222221E-2</v>
      </c>
      <c r="G360" s="59">
        <f t="shared" si="12"/>
        <v>50</v>
      </c>
      <c r="H360" s="70"/>
      <c r="I360" s="70"/>
      <c r="J360" s="60"/>
      <c r="K360" s="60"/>
      <c r="L360" s="60"/>
    </row>
    <row r="361" spans="1:12" ht="14.25" customHeight="1">
      <c r="A361" s="72">
        <v>46079</v>
      </c>
      <c r="B361" s="60" t="s">
        <v>124</v>
      </c>
      <c r="C361" s="60" t="s">
        <v>137</v>
      </c>
      <c r="D361" s="61">
        <v>0.54166666666666663</v>
      </c>
      <c r="E361" s="61">
        <v>0.55555555555555558</v>
      </c>
      <c r="F361" s="65">
        <f t="shared" si="11"/>
        <v>1.3888888888888951E-2</v>
      </c>
      <c r="G361" s="59">
        <f t="shared" si="12"/>
        <v>20</v>
      </c>
      <c r="H361" s="70"/>
      <c r="I361" s="70"/>
      <c r="J361" s="60"/>
      <c r="K361" s="60"/>
      <c r="L361" s="60"/>
    </row>
    <row r="362" spans="1:12" ht="14.25" customHeight="1">
      <c r="A362" s="72">
        <v>46079</v>
      </c>
      <c r="B362" s="60" t="s">
        <v>124</v>
      </c>
      <c r="C362" s="60" t="s">
        <v>137</v>
      </c>
      <c r="D362" s="61">
        <v>0.58333333333333337</v>
      </c>
      <c r="E362" s="61">
        <v>0.64930555555555558</v>
      </c>
      <c r="F362" s="65">
        <f t="shared" si="11"/>
        <v>6.597222222222221E-2</v>
      </c>
      <c r="G362" s="59">
        <f t="shared" si="12"/>
        <v>95</v>
      </c>
      <c r="H362" s="70"/>
      <c r="I362" s="70"/>
      <c r="J362" s="60"/>
      <c r="K362" s="60"/>
      <c r="L362" s="60"/>
    </row>
    <row r="363" spans="1:12" ht="14.25" customHeight="1">
      <c r="A363" s="72">
        <v>46079</v>
      </c>
      <c r="B363" s="60" t="s">
        <v>124</v>
      </c>
      <c r="C363" s="60" t="s">
        <v>137</v>
      </c>
      <c r="D363" s="61">
        <v>0.82291666666666663</v>
      </c>
      <c r="E363" s="61">
        <v>0.83333333333333337</v>
      </c>
      <c r="F363" s="65">
        <f t="shared" si="11"/>
        <v>1.0416666666666741E-2</v>
      </c>
      <c r="G363" s="59">
        <f t="shared" si="12"/>
        <v>15</v>
      </c>
      <c r="H363" s="70"/>
      <c r="I363" s="70"/>
      <c r="J363" s="60"/>
      <c r="K363" s="60"/>
      <c r="L363" s="60"/>
    </row>
    <row r="364" spans="1:12" ht="14.25" customHeight="1">
      <c r="A364" s="72">
        <v>46079</v>
      </c>
      <c r="B364" s="60" t="s">
        <v>132</v>
      </c>
      <c r="C364" s="60" t="s">
        <v>137</v>
      </c>
      <c r="D364" s="61">
        <v>0.40277777777777773</v>
      </c>
      <c r="E364" s="61">
        <v>0.41319444444444442</v>
      </c>
      <c r="F364" s="65">
        <f t="shared" ref="F364:F376" si="13">+(E364-D364)</f>
        <v>1.0416666666666685E-2</v>
      </c>
      <c r="G364" s="59">
        <f t="shared" ref="G364:G375" si="14">INT(F364*1440)</f>
        <v>15</v>
      </c>
      <c r="H364" s="70"/>
      <c r="I364" s="70"/>
      <c r="J364" s="60"/>
      <c r="K364" s="60"/>
      <c r="L364" s="60"/>
    </row>
    <row r="365" spans="1:12" ht="14.25" customHeight="1">
      <c r="A365" s="72">
        <v>46079</v>
      </c>
      <c r="B365" s="60" t="s">
        <v>132</v>
      </c>
      <c r="C365" s="60" t="s">
        <v>137</v>
      </c>
      <c r="D365" s="61">
        <v>0.51180555555555551</v>
      </c>
      <c r="E365" s="61">
        <v>0.52083333333333337</v>
      </c>
      <c r="F365" s="65">
        <f t="shared" si="13"/>
        <v>9.0277777777778567E-3</v>
      </c>
      <c r="G365" s="59">
        <f t="shared" si="14"/>
        <v>13</v>
      </c>
      <c r="H365" s="70"/>
      <c r="I365" s="70"/>
      <c r="J365" s="60"/>
      <c r="K365" s="60"/>
      <c r="L365" s="60"/>
    </row>
    <row r="366" spans="1:12" ht="14.25" hidden="1" customHeight="1">
      <c r="A366" s="72">
        <v>46079</v>
      </c>
      <c r="B366" s="60" t="s">
        <v>132</v>
      </c>
      <c r="C366" s="60" t="s">
        <v>138</v>
      </c>
      <c r="D366" s="61">
        <v>0.68055555555555547</v>
      </c>
      <c r="E366" s="61">
        <v>0.69444444444444453</v>
      </c>
      <c r="F366" s="65">
        <f t="shared" si="13"/>
        <v>1.3888888888889062E-2</v>
      </c>
      <c r="G366" s="59">
        <f t="shared" si="14"/>
        <v>20</v>
      </c>
      <c r="H366" s="70"/>
      <c r="I366" s="70"/>
      <c r="J366" s="60"/>
      <c r="K366" s="60"/>
      <c r="L366" s="66"/>
    </row>
    <row r="367" spans="1:12" ht="14.25" customHeight="1">
      <c r="A367" s="72">
        <v>46079</v>
      </c>
      <c r="B367" s="60" t="s">
        <v>132</v>
      </c>
      <c r="C367" s="60" t="s">
        <v>137</v>
      </c>
      <c r="D367" s="61">
        <v>0.75</v>
      </c>
      <c r="E367" s="61">
        <v>0.79166666666666663</v>
      </c>
      <c r="F367" s="65">
        <f t="shared" si="13"/>
        <v>4.166666666666663E-2</v>
      </c>
      <c r="G367" s="59">
        <f t="shared" si="14"/>
        <v>59</v>
      </c>
      <c r="H367" s="70"/>
      <c r="I367" s="70"/>
      <c r="J367" s="60"/>
      <c r="K367" s="60"/>
      <c r="L367" s="60"/>
    </row>
    <row r="368" spans="1:12" ht="14.25" customHeight="1">
      <c r="A368" s="72">
        <v>46079</v>
      </c>
      <c r="B368" s="60" t="s">
        <v>132</v>
      </c>
      <c r="C368" s="60" t="s">
        <v>137</v>
      </c>
      <c r="D368" s="61">
        <v>0.81597222222222221</v>
      </c>
      <c r="E368" s="61">
        <v>0.85069444444444453</v>
      </c>
      <c r="F368" s="65">
        <f t="shared" si="13"/>
        <v>3.4722222222222321E-2</v>
      </c>
      <c r="G368" s="59">
        <f t="shared" si="14"/>
        <v>50</v>
      </c>
      <c r="H368" s="70"/>
      <c r="I368" s="70"/>
      <c r="J368" s="60"/>
      <c r="K368" s="60"/>
      <c r="L368" s="60"/>
    </row>
    <row r="369" spans="1:12" ht="14.25" customHeight="1">
      <c r="A369" s="72">
        <v>46079</v>
      </c>
      <c r="B369" s="60" t="s">
        <v>132</v>
      </c>
      <c r="C369" s="60" t="s">
        <v>137</v>
      </c>
      <c r="D369" s="61">
        <v>2.0833333333333332E-2</v>
      </c>
      <c r="E369" s="61">
        <v>4.8611111111111112E-2</v>
      </c>
      <c r="F369" s="65">
        <f t="shared" si="13"/>
        <v>2.777777777777778E-2</v>
      </c>
      <c r="G369" s="59">
        <f t="shared" si="14"/>
        <v>40</v>
      </c>
      <c r="H369" s="70"/>
      <c r="I369" s="70"/>
      <c r="J369" s="60"/>
      <c r="K369" s="60"/>
      <c r="L369" s="60"/>
    </row>
    <row r="370" spans="1:12" ht="14.25" customHeight="1">
      <c r="A370" s="72">
        <v>46080</v>
      </c>
      <c r="B370" s="60" t="s">
        <v>120</v>
      </c>
      <c r="C370" s="60" t="s">
        <v>137</v>
      </c>
      <c r="D370" s="61">
        <v>0.70833333333333337</v>
      </c>
      <c r="E370" s="61">
        <v>0.72569444444444453</v>
      </c>
      <c r="F370" s="65">
        <f t="shared" si="13"/>
        <v>1.736111111111116E-2</v>
      </c>
      <c r="G370" s="59">
        <f t="shared" si="14"/>
        <v>25</v>
      </c>
      <c r="H370" s="70"/>
      <c r="I370" s="70"/>
      <c r="J370" s="60"/>
      <c r="K370" s="60"/>
      <c r="L370" s="60"/>
    </row>
    <row r="371" spans="1:12" ht="14.25" hidden="1" customHeight="1">
      <c r="A371" s="72">
        <v>46080</v>
      </c>
      <c r="B371" s="60" t="s">
        <v>120</v>
      </c>
      <c r="C371" s="60" t="s">
        <v>208</v>
      </c>
      <c r="D371" s="61">
        <v>0.74305555555555547</v>
      </c>
      <c r="E371" s="61">
        <v>0.75277777777777777</v>
      </c>
      <c r="F371" s="65">
        <f t="shared" si="13"/>
        <v>9.7222222222222987E-3</v>
      </c>
      <c r="G371" s="59">
        <f t="shared" si="14"/>
        <v>14</v>
      </c>
      <c r="H371" s="70"/>
      <c r="I371" s="70"/>
      <c r="J371" s="60"/>
      <c r="K371" s="60"/>
      <c r="L371" s="60"/>
    </row>
    <row r="372" spans="1:12" ht="14.25" hidden="1" customHeight="1">
      <c r="A372" s="72">
        <v>46080</v>
      </c>
      <c r="B372" s="60" t="s">
        <v>120</v>
      </c>
      <c r="C372" s="60" t="s">
        <v>208</v>
      </c>
      <c r="D372" s="61">
        <v>0.75347222222222221</v>
      </c>
      <c r="E372" s="61">
        <v>0.77013888888888893</v>
      </c>
      <c r="F372" s="65">
        <f t="shared" si="13"/>
        <v>1.6666666666666718E-2</v>
      </c>
      <c r="G372" s="59">
        <f t="shared" si="14"/>
        <v>24</v>
      </c>
      <c r="H372" s="70"/>
      <c r="I372" s="70"/>
      <c r="J372" s="60"/>
      <c r="K372" s="60"/>
      <c r="L372" s="66"/>
    </row>
    <row r="373" spans="1:12" ht="14.25" customHeight="1">
      <c r="A373" s="72">
        <v>46080</v>
      </c>
      <c r="B373" s="60" t="s">
        <v>120</v>
      </c>
      <c r="C373" s="60" t="s">
        <v>137</v>
      </c>
      <c r="D373" s="61">
        <v>0.1423611111111111</v>
      </c>
      <c r="E373" s="61">
        <v>0.15972222222222224</v>
      </c>
      <c r="F373" s="65">
        <f t="shared" si="13"/>
        <v>1.7361111111111133E-2</v>
      </c>
      <c r="G373" s="59">
        <f t="shared" si="14"/>
        <v>25</v>
      </c>
      <c r="H373" s="70"/>
      <c r="I373" s="70"/>
      <c r="J373" s="60"/>
      <c r="K373" s="60"/>
      <c r="L373" s="60"/>
    </row>
    <row r="374" spans="1:12" hidden="1">
      <c r="A374" s="72">
        <v>46080</v>
      </c>
      <c r="B374" s="60" t="s">
        <v>121</v>
      </c>
      <c r="C374" s="60" t="s">
        <v>138</v>
      </c>
      <c r="D374" s="61">
        <v>0.59652777777777777</v>
      </c>
      <c r="E374" s="61">
        <v>0.59930555555555554</v>
      </c>
      <c r="F374" s="65">
        <f t="shared" si="13"/>
        <v>2.7777777777777679E-3</v>
      </c>
      <c r="G374" s="59">
        <f t="shared" si="14"/>
        <v>3</v>
      </c>
      <c r="H374" s="70"/>
      <c r="I374" s="70"/>
      <c r="J374" s="60"/>
      <c r="K374" s="60" t="s">
        <v>156</v>
      </c>
      <c r="L374" s="60"/>
    </row>
    <row r="375" spans="1:12">
      <c r="A375" s="72">
        <v>46080</v>
      </c>
      <c r="B375" s="60" t="s">
        <v>121</v>
      </c>
      <c r="C375" s="60" t="s">
        <v>137</v>
      </c>
      <c r="D375" s="61">
        <v>0.79166666666666663</v>
      </c>
      <c r="E375" s="61">
        <v>0.88541666666666663</v>
      </c>
      <c r="F375" s="65">
        <f t="shared" si="13"/>
        <v>9.375E-2</v>
      </c>
      <c r="G375" s="59">
        <f t="shared" si="14"/>
        <v>135</v>
      </c>
      <c r="H375" s="70"/>
      <c r="I375" s="70"/>
      <c r="J375" s="60"/>
      <c r="K375" s="60"/>
      <c r="L375" s="60"/>
    </row>
    <row r="376" spans="1:12" ht="14.25" hidden="1" customHeight="1">
      <c r="A376" s="72">
        <v>46080</v>
      </c>
      <c r="B376" s="60" t="s">
        <v>124</v>
      </c>
      <c r="C376" s="60" t="s">
        <v>148</v>
      </c>
      <c r="D376" s="61">
        <v>0.63541666666666663</v>
      </c>
      <c r="E376" s="61">
        <v>0.63888888888888895</v>
      </c>
      <c r="F376" s="65">
        <f t="shared" si="13"/>
        <v>3.4722222222223209E-3</v>
      </c>
      <c r="G376" s="59">
        <f t="shared" ref="G376" si="15">INT(F376*1440)</f>
        <v>5</v>
      </c>
      <c r="H376" s="70"/>
      <c r="I376" s="70"/>
      <c r="J376" s="60"/>
      <c r="K376" s="60"/>
      <c r="L376" s="60"/>
    </row>
    <row r="377" spans="1:12" ht="14.25" hidden="1" customHeight="1">
      <c r="A377" s="72">
        <v>46080</v>
      </c>
      <c r="B377" s="60" t="s">
        <v>124</v>
      </c>
      <c r="C377" s="60" t="s">
        <v>138</v>
      </c>
      <c r="D377" s="61">
        <v>0.88541666666666663</v>
      </c>
      <c r="E377" s="61">
        <v>0.89583333333333337</v>
      </c>
      <c r="F377" s="65">
        <f t="shared" ref="F377:F382" si="16">+(E377-D377)</f>
        <v>1.0416666666666741E-2</v>
      </c>
      <c r="G377" s="59">
        <f t="shared" ref="G377:G384" si="17">INT(F377*1440)</f>
        <v>15</v>
      </c>
      <c r="H377" s="70"/>
      <c r="I377" s="70"/>
      <c r="J377" s="60"/>
      <c r="K377" s="60"/>
      <c r="L377" s="66"/>
    </row>
    <row r="378" spans="1:12" ht="14.25" hidden="1" customHeight="1">
      <c r="A378" s="72">
        <v>46080</v>
      </c>
      <c r="B378" s="60" t="s">
        <v>124</v>
      </c>
      <c r="C378" s="60" t="s">
        <v>138</v>
      </c>
      <c r="D378" s="61">
        <v>0.17361111111111113</v>
      </c>
      <c r="E378" s="61">
        <v>0.1875</v>
      </c>
      <c r="F378" s="65">
        <f t="shared" si="16"/>
        <v>1.3888888888888867E-2</v>
      </c>
      <c r="G378" s="59">
        <f t="shared" si="17"/>
        <v>20</v>
      </c>
      <c r="H378" s="70"/>
      <c r="I378" s="70"/>
      <c r="J378" s="60"/>
      <c r="K378" s="60"/>
      <c r="L378" s="60"/>
    </row>
    <row r="379" spans="1:12" ht="14.25" customHeight="1">
      <c r="A379" s="72">
        <v>46080</v>
      </c>
      <c r="B379" s="60" t="s">
        <v>132</v>
      </c>
      <c r="C379" s="60" t="s">
        <v>137</v>
      </c>
      <c r="D379" s="61">
        <v>0.60763888888888895</v>
      </c>
      <c r="E379" s="61">
        <v>0.61111111111111105</v>
      </c>
      <c r="F379" s="65">
        <f t="shared" si="16"/>
        <v>3.4722222222220989E-3</v>
      </c>
      <c r="G379" s="59">
        <f t="shared" si="17"/>
        <v>4</v>
      </c>
      <c r="H379" s="70"/>
      <c r="I379" s="70"/>
      <c r="J379" s="60"/>
      <c r="K379" s="60"/>
      <c r="L379" s="60"/>
    </row>
    <row r="380" spans="1:12" ht="14.25" customHeight="1">
      <c r="A380" s="72">
        <v>46080</v>
      </c>
      <c r="B380" s="60" t="s">
        <v>132</v>
      </c>
      <c r="C380" s="60" t="s">
        <v>137</v>
      </c>
      <c r="D380" s="61">
        <v>0.65625</v>
      </c>
      <c r="E380" s="61">
        <v>0.79166666666666663</v>
      </c>
      <c r="F380" s="65">
        <f t="shared" si="16"/>
        <v>0.13541666666666663</v>
      </c>
      <c r="G380" s="59">
        <f t="shared" si="17"/>
        <v>195</v>
      </c>
      <c r="H380" s="70"/>
      <c r="I380" s="70"/>
      <c r="J380" s="60"/>
      <c r="K380" s="60"/>
      <c r="L380" s="66"/>
    </row>
    <row r="381" spans="1:12" ht="14.25" hidden="1" customHeight="1">
      <c r="A381" s="72"/>
      <c r="B381" s="60"/>
      <c r="C381" s="60"/>
      <c r="D381" s="61">
        <v>0.79166666666666663</v>
      </c>
      <c r="E381" s="61">
        <v>0.89583333333333337</v>
      </c>
      <c r="F381" s="65">
        <f t="shared" si="16"/>
        <v>0.10416666666666674</v>
      </c>
      <c r="G381" s="59">
        <f t="shared" si="17"/>
        <v>150</v>
      </c>
      <c r="H381" s="70"/>
      <c r="I381" s="70"/>
      <c r="J381" s="60"/>
      <c r="K381" s="60"/>
      <c r="L381" s="60"/>
    </row>
    <row r="382" spans="1:12" ht="14.25" hidden="1" customHeight="1">
      <c r="A382" s="72"/>
      <c r="B382" s="60"/>
      <c r="C382" s="60"/>
      <c r="D382" s="61"/>
      <c r="E382" s="61"/>
      <c r="F382" s="65">
        <f t="shared" si="16"/>
        <v>0</v>
      </c>
      <c r="G382" s="59">
        <f t="shared" si="17"/>
        <v>0</v>
      </c>
      <c r="H382" s="70"/>
      <c r="I382" s="70"/>
      <c r="J382" s="60"/>
      <c r="K382" s="60"/>
      <c r="L382" s="60"/>
    </row>
    <row r="383" spans="1:12" ht="14.25" hidden="1" customHeight="1">
      <c r="A383" s="72"/>
      <c r="B383" s="60"/>
      <c r="C383" s="60"/>
      <c r="D383" s="61"/>
      <c r="E383" s="61"/>
      <c r="F383" s="65">
        <f t="shared" ref="F383:F446" si="18">+(E383-D383)</f>
        <v>0</v>
      </c>
      <c r="G383" s="59">
        <f t="shared" si="17"/>
        <v>0</v>
      </c>
      <c r="H383" s="70"/>
      <c r="I383" s="70"/>
      <c r="J383" s="60"/>
      <c r="K383" s="60"/>
      <c r="L383" s="60"/>
    </row>
    <row r="384" spans="1:12" ht="14.25" hidden="1" customHeight="1">
      <c r="A384" s="72"/>
      <c r="B384" s="60"/>
      <c r="C384" s="60"/>
      <c r="D384" s="61"/>
      <c r="E384" s="61"/>
      <c r="F384" s="65">
        <f t="shared" si="18"/>
        <v>0</v>
      </c>
      <c r="G384" s="59">
        <f t="shared" si="17"/>
        <v>0</v>
      </c>
      <c r="H384" s="70"/>
      <c r="I384" s="70"/>
      <c r="J384" s="60"/>
      <c r="K384" s="60"/>
      <c r="L384" s="60"/>
    </row>
    <row r="385" spans="1:12" hidden="1">
      <c r="A385" s="72"/>
      <c r="B385" s="60"/>
      <c r="C385" s="60"/>
      <c r="D385" s="61"/>
      <c r="E385" s="61"/>
      <c r="F385" s="65">
        <f t="shared" si="18"/>
        <v>0</v>
      </c>
      <c r="G385" s="59">
        <f t="shared" ref="G385:G389" si="19">INT(F385*1440)</f>
        <v>0</v>
      </c>
      <c r="H385" s="70"/>
      <c r="I385" s="70"/>
      <c r="J385" s="60"/>
      <c r="K385" s="60"/>
      <c r="L385" s="76"/>
    </row>
    <row r="386" spans="1:12" ht="14.25" hidden="1" customHeight="1">
      <c r="A386" s="72"/>
      <c r="B386" s="60"/>
      <c r="C386" s="60"/>
      <c r="D386" s="61"/>
      <c r="E386" s="61"/>
      <c r="F386" s="65">
        <f t="shared" si="18"/>
        <v>0</v>
      </c>
      <c r="G386" s="59">
        <f t="shared" si="19"/>
        <v>0</v>
      </c>
      <c r="H386" s="70"/>
      <c r="I386" s="70"/>
      <c r="J386" s="60"/>
      <c r="K386" s="60"/>
      <c r="L386" s="60"/>
    </row>
    <row r="387" spans="1:12" ht="14.25" hidden="1" customHeight="1">
      <c r="A387" s="72"/>
      <c r="B387" s="60"/>
      <c r="C387" s="60"/>
      <c r="D387" s="61"/>
      <c r="E387" s="61"/>
      <c r="F387" s="65">
        <f t="shared" si="18"/>
        <v>0</v>
      </c>
      <c r="G387" s="59">
        <f t="shared" si="19"/>
        <v>0</v>
      </c>
      <c r="H387" s="70"/>
      <c r="I387" s="70"/>
      <c r="J387" s="60"/>
      <c r="K387" s="60"/>
      <c r="L387" s="60"/>
    </row>
    <row r="388" spans="1:12" ht="14.25" hidden="1" customHeight="1">
      <c r="A388" s="72"/>
      <c r="B388" s="60"/>
      <c r="C388" s="60"/>
      <c r="D388" s="61"/>
      <c r="E388" s="61"/>
      <c r="F388" s="65">
        <f t="shared" si="18"/>
        <v>0</v>
      </c>
      <c r="G388" s="59">
        <f t="shared" si="19"/>
        <v>0</v>
      </c>
      <c r="H388" s="70"/>
      <c r="I388" s="70"/>
      <c r="J388" s="60"/>
      <c r="K388" s="60"/>
      <c r="L388" s="60"/>
    </row>
    <row r="389" spans="1:12" ht="14.25" hidden="1" customHeight="1">
      <c r="A389" s="72"/>
      <c r="B389" s="60"/>
      <c r="C389" s="60"/>
      <c r="D389" s="61"/>
      <c r="E389" s="61"/>
      <c r="F389" s="65">
        <f t="shared" si="18"/>
        <v>0</v>
      </c>
      <c r="G389" s="59">
        <f t="shared" si="19"/>
        <v>0</v>
      </c>
      <c r="H389" s="70"/>
      <c r="I389" s="70"/>
      <c r="J389" s="60"/>
      <c r="K389" s="60"/>
      <c r="L389" s="60"/>
    </row>
    <row r="390" spans="1:12" ht="14.25" hidden="1" customHeight="1">
      <c r="A390" s="72"/>
      <c r="B390" s="60"/>
      <c r="C390" s="60"/>
      <c r="D390" s="61"/>
      <c r="E390" s="61"/>
      <c r="F390" s="65">
        <f t="shared" si="18"/>
        <v>0</v>
      </c>
      <c r="G390" s="59">
        <f t="shared" ref="G390:G393" si="20">INT(F390*1440)</f>
        <v>0</v>
      </c>
      <c r="H390" s="70"/>
      <c r="I390" s="70"/>
      <c r="J390" s="60"/>
      <c r="K390" s="60"/>
      <c r="L390" s="60"/>
    </row>
    <row r="391" spans="1:12" ht="14.25" hidden="1" customHeight="1">
      <c r="A391" s="72"/>
      <c r="B391" s="60"/>
      <c r="C391" s="60"/>
      <c r="D391" s="61"/>
      <c r="E391" s="61"/>
      <c r="F391" s="65">
        <f t="shared" si="18"/>
        <v>0</v>
      </c>
      <c r="G391" s="59">
        <f t="shared" si="20"/>
        <v>0</v>
      </c>
      <c r="H391" s="70"/>
      <c r="I391" s="70"/>
      <c r="J391" s="60">
        <f>INT([2]DOWNTIME!$F545*1440)</f>
        <v>0</v>
      </c>
      <c r="K391" s="60"/>
      <c r="L391" s="60"/>
    </row>
    <row r="392" spans="1:12" ht="14.25" hidden="1" customHeight="1">
      <c r="A392" s="72"/>
      <c r="B392" s="60"/>
      <c r="C392" s="60"/>
      <c r="D392" s="61"/>
      <c r="E392" s="65"/>
      <c r="F392" s="65">
        <f t="shared" si="18"/>
        <v>0</v>
      </c>
      <c r="G392" s="59">
        <f t="shared" si="20"/>
        <v>0</v>
      </c>
      <c r="H392" s="70"/>
      <c r="I392" s="70"/>
      <c r="J392" s="60">
        <f>INT([2]DOWNTIME!$F551*1440)</f>
        <v>0</v>
      </c>
      <c r="K392" s="60"/>
      <c r="L392" s="60"/>
    </row>
    <row r="393" spans="1:12" ht="14.25" hidden="1" customHeight="1">
      <c r="A393" s="72"/>
      <c r="B393" s="60"/>
      <c r="C393" s="60"/>
      <c r="D393" s="61"/>
      <c r="E393" s="61"/>
      <c r="F393" s="65">
        <f t="shared" si="18"/>
        <v>0</v>
      </c>
      <c r="G393" s="59">
        <f t="shared" si="20"/>
        <v>0</v>
      </c>
      <c r="H393" s="70"/>
      <c r="I393" s="70"/>
      <c r="J393" s="60">
        <f>INT([2]DOWNTIME!$F594*1440)</f>
        <v>0</v>
      </c>
      <c r="K393" s="60"/>
      <c r="L393" s="60"/>
    </row>
    <row r="394" spans="1:12" ht="14.25" hidden="1" customHeight="1">
      <c r="A394" s="72"/>
      <c r="B394" s="60"/>
      <c r="C394" s="60"/>
      <c r="D394" s="61"/>
      <c r="E394" s="61"/>
      <c r="F394" s="65">
        <f t="shared" si="18"/>
        <v>0</v>
      </c>
      <c r="G394" s="59">
        <f t="shared" ref="G394:G401" si="21">INT(F394*1440)</f>
        <v>0</v>
      </c>
      <c r="H394" s="70"/>
      <c r="I394" s="70"/>
      <c r="J394" s="60">
        <f>INT([2]DOWNTIME!$F595*1440)</f>
        <v>0</v>
      </c>
      <c r="K394" s="60"/>
      <c r="L394" s="60"/>
    </row>
    <row r="395" spans="1:12" ht="14.25" hidden="1" customHeight="1">
      <c r="A395" s="72"/>
      <c r="B395" s="60"/>
      <c r="C395" s="60"/>
      <c r="D395" s="61"/>
      <c r="E395" s="61"/>
      <c r="F395" s="65">
        <f t="shared" si="18"/>
        <v>0</v>
      </c>
      <c r="G395" s="59">
        <f t="shared" si="21"/>
        <v>0</v>
      </c>
      <c r="H395" s="70"/>
      <c r="I395" s="70"/>
      <c r="J395" s="60">
        <f>INT([2]DOWNTIME!$F597*1440)</f>
        <v>0</v>
      </c>
      <c r="K395" s="60"/>
      <c r="L395" s="60"/>
    </row>
    <row r="396" spans="1:12" ht="14.25" hidden="1" customHeight="1">
      <c r="A396" s="72"/>
      <c r="B396" s="60"/>
      <c r="C396" s="60"/>
      <c r="D396" s="61"/>
      <c r="E396" s="61"/>
      <c r="F396" s="65">
        <f t="shared" si="18"/>
        <v>0</v>
      </c>
      <c r="G396" s="59">
        <f t="shared" si="21"/>
        <v>0</v>
      </c>
      <c r="H396" s="70"/>
      <c r="I396" s="70"/>
      <c r="J396" s="60">
        <f>INT([2]DOWNTIME!$F598*1440)</f>
        <v>0</v>
      </c>
      <c r="K396" s="60"/>
      <c r="L396" s="60"/>
    </row>
    <row r="397" spans="1:12" ht="14.25" hidden="1" customHeight="1">
      <c r="A397" s="72"/>
      <c r="B397" s="60"/>
      <c r="C397" s="60"/>
      <c r="D397" s="61"/>
      <c r="E397" s="61"/>
      <c r="F397" s="65">
        <f t="shared" si="18"/>
        <v>0</v>
      </c>
      <c r="G397" s="59">
        <f t="shared" si="21"/>
        <v>0</v>
      </c>
      <c r="H397" s="70"/>
      <c r="I397" s="70"/>
      <c r="J397" s="60">
        <f>INT([2]DOWNTIME!$F602*1440)</f>
        <v>0</v>
      </c>
      <c r="K397" s="60"/>
      <c r="L397" s="60"/>
    </row>
    <row r="398" spans="1:12" ht="14.25" hidden="1" customHeight="1">
      <c r="A398" s="72"/>
      <c r="B398" s="60"/>
      <c r="C398" s="60"/>
      <c r="D398" s="61"/>
      <c r="E398" s="61"/>
      <c r="F398" s="65">
        <f t="shared" si="18"/>
        <v>0</v>
      </c>
      <c r="G398" s="59">
        <f t="shared" si="21"/>
        <v>0</v>
      </c>
      <c r="H398" s="70"/>
      <c r="I398" s="70"/>
      <c r="J398" s="60">
        <f>INT([2]DOWNTIME!$F616*1440)</f>
        <v>0</v>
      </c>
      <c r="K398" s="60"/>
      <c r="L398" s="60"/>
    </row>
    <row r="399" spans="1:12" ht="14.25" hidden="1" customHeight="1">
      <c r="A399" s="72"/>
      <c r="B399" s="60"/>
      <c r="C399" s="60"/>
      <c r="D399" s="61"/>
      <c r="E399" s="61"/>
      <c r="F399" s="65">
        <f t="shared" si="18"/>
        <v>0</v>
      </c>
      <c r="G399" s="59">
        <f t="shared" si="21"/>
        <v>0</v>
      </c>
      <c r="H399" s="70"/>
      <c r="I399" s="70"/>
      <c r="J399" s="60">
        <f>INT([2]DOWNTIME!$F619*1440)</f>
        <v>0</v>
      </c>
      <c r="K399" s="60"/>
      <c r="L399" s="60"/>
    </row>
    <row r="400" spans="1:12" ht="14.25" hidden="1" customHeight="1">
      <c r="A400" s="72"/>
      <c r="B400" s="60"/>
      <c r="C400" s="60"/>
      <c r="D400" s="61"/>
      <c r="E400" s="61"/>
      <c r="F400" s="65">
        <f t="shared" si="18"/>
        <v>0</v>
      </c>
      <c r="G400" s="59">
        <f t="shared" si="21"/>
        <v>0</v>
      </c>
      <c r="H400" s="70"/>
      <c r="I400" s="70"/>
      <c r="J400" s="60">
        <f>INT([2]DOWNTIME!$F631*1440)</f>
        <v>0</v>
      </c>
      <c r="K400" s="60"/>
      <c r="L400" s="60"/>
    </row>
    <row r="401" spans="1:12" ht="14.25" hidden="1" customHeight="1">
      <c r="A401" s="72"/>
      <c r="B401" s="60"/>
      <c r="C401" s="60"/>
      <c r="D401" s="61"/>
      <c r="E401" s="61"/>
      <c r="F401" s="65">
        <f t="shared" si="18"/>
        <v>0</v>
      </c>
      <c r="G401" s="59">
        <f t="shared" si="21"/>
        <v>0</v>
      </c>
      <c r="H401" s="70"/>
      <c r="I401" s="70"/>
      <c r="J401" s="60">
        <f>INT([2]DOWNTIME!$F632*1440)</f>
        <v>0</v>
      </c>
      <c r="K401" s="60"/>
      <c r="L401" s="60"/>
    </row>
    <row r="402" spans="1:12" ht="14.25" hidden="1" customHeight="1">
      <c r="A402" s="72"/>
      <c r="B402" s="60"/>
      <c r="C402" s="60"/>
      <c r="D402" s="61"/>
      <c r="E402" s="61"/>
      <c r="F402" s="65">
        <f t="shared" si="18"/>
        <v>0</v>
      </c>
      <c r="G402" s="59">
        <f t="shared" ref="G402" si="22">INT(F402*1440)</f>
        <v>0</v>
      </c>
      <c r="H402" s="70"/>
      <c r="I402" s="70"/>
      <c r="J402" s="60" t="e">
        <f>INT([2]DOWNTIME!$F666*1440)</f>
        <v>#REF!</v>
      </c>
      <c r="K402" s="60"/>
      <c r="L402" s="60"/>
    </row>
    <row r="403" spans="1:12" hidden="1">
      <c r="A403" s="72"/>
      <c r="B403" s="60"/>
      <c r="C403" s="60"/>
      <c r="D403" s="61"/>
      <c r="E403" s="61"/>
      <c r="F403" s="65">
        <f t="shared" si="18"/>
        <v>0</v>
      </c>
      <c r="G403" s="59">
        <f t="shared" ref="G403:G412" si="23">INT(F403*1440)</f>
        <v>0</v>
      </c>
      <c r="H403" s="70"/>
      <c r="I403" s="70"/>
      <c r="J403" s="60" t="e">
        <f>INT([2]DOWNTIME!$F702*1440)</f>
        <v>#REF!</v>
      </c>
      <c r="K403" s="60"/>
      <c r="L403" s="60"/>
    </row>
    <row r="404" spans="1:12" ht="14.25" hidden="1" customHeight="1">
      <c r="A404" s="72"/>
      <c r="B404" s="60"/>
      <c r="C404" s="60"/>
      <c r="D404" s="61"/>
      <c r="E404" s="61"/>
      <c r="F404" s="65">
        <f t="shared" si="18"/>
        <v>0</v>
      </c>
      <c r="G404" s="59">
        <f t="shared" si="23"/>
        <v>0</v>
      </c>
      <c r="H404" s="70"/>
      <c r="I404" s="70"/>
      <c r="J404" s="60" t="e">
        <f>INT([2]DOWNTIME!$F703*1440)</f>
        <v>#REF!</v>
      </c>
      <c r="K404" s="60"/>
      <c r="L404" s="60"/>
    </row>
    <row r="405" spans="1:12" ht="14.25" hidden="1" customHeight="1">
      <c r="A405" s="72"/>
      <c r="B405" s="60"/>
      <c r="C405" s="60"/>
      <c r="D405" s="61"/>
      <c r="E405" s="61"/>
      <c r="F405" s="65">
        <f t="shared" si="18"/>
        <v>0</v>
      </c>
      <c r="G405" s="59">
        <f t="shared" si="23"/>
        <v>0</v>
      </c>
      <c r="H405" s="70"/>
      <c r="I405" s="70"/>
      <c r="J405" s="60" t="e">
        <f>INT([2]DOWNTIME!$F707*1440)</f>
        <v>#REF!</v>
      </c>
      <c r="K405" s="60"/>
      <c r="L405" s="60"/>
    </row>
    <row r="406" spans="1:12" ht="14.25" hidden="1" customHeight="1">
      <c r="A406" s="72"/>
      <c r="B406" s="60"/>
      <c r="C406" s="60"/>
      <c r="D406" s="61"/>
      <c r="E406" s="61"/>
      <c r="F406" s="65">
        <f t="shared" si="18"/>
        <v>0</v>
      </c>
      <c r="G406" s="59">
        <f t="shared" si="23"/>
        <v>0</v>
      </c>
      <c r="H406" s="70"/>
      <c r="I406" s="70"/>
      <c r="J406" s="60" t="e">
        <f>INT([2]DOWNTIME!$F708*1440)</f>
        <v>#REF!</v>
      </c>
      <c r="K406" s="60"/>
      <c r="L406" s="60"/>
    </row>
    <row r="407" spans="1:12" ht="14.25" hidden="1" customHeight="1">
      <c r="A407" s="72"/>
      <c r="B407" s="60"/>
      <c r="C407" s="60"/>
      <c r="D407" s="61"/>
      <c r="E407" s="61"/>
      <c r="F407" s="65">
        <f t="shared" si="18"/>
        <v>0</v>
      </c>
      <c r="G407" s="59">
        <f t="shared" si="23"/>
        <v>0</v>
      </c>
      <c r="H407" s="70"/>
      <c r="I407" s="70"/>
      <c r="J407" s="60" t="e">
        <f>INT([2]DOWNTIME!$F710*1440)</f>
        <v>#REF!</v>
      </c>
      <c r="K407" s="60"/>
      <c r="L407" s="60"/>
    </row>
    <row r="408" spans="1:12" ht="14.25" hidden="1" customHeight="1">
      <c r="A408" s="72"/>
      <c r="B408" s="60"/>
      <c r="C408" s="60"/>
      <c r="D408" s="61"/>
      <c r="E408" s="61"/>
      <c r="F408" s="65">
        <f t="shared" si="18"/>
        <v>0</v>
      </c>
      <c r="G408" s="59">
        <f t="shared" si="23"/>
        <v>0</v>
      </c>
      <c r="H408" s="70"/>
      <c r="I408" s="70"/>
      <c r="J408" s="60" t="e">
        <f>INT([2]DOWNTIME!$F712*1440)</f>
        <v>#REF!</v>
      </c>
      <c r="K408" s="60"/>
      <c r="L408" s="60"/>
    </row>
    <row r="409" spans="1:12" ht="14.25" hidden="1" customHeight="1">
      <c r="A409" s="72"/>
      <c r="B409" s="60"/>
      <c r="C409" s="60"/>
      <c r="D409" s="61"/>
      <c r="E409" s="61"/>
      <c r="F409" s="65">
        <f t="shared" si="18"/>
        <v>0</v>
      </c>
      <c r="G409" s="59">
        <f t="shared" si="23"/>
        <v>0</v>
      </c>
      <c r="H409" s="70"/>
      <c r="I409" s="70"/>
      <c r="J409" s="60" t="e">
        <f>INT([2]DOWNTIME!$F734*1440)</f>
        <v>#REF!</v>
      </c>
      <c r="K409" s="60"/>
      <c r="L409" s="60"/>
    </row>
    <row r="410" spans="1:12" ht="14.25" hidden="1" customHeight="1">
      <c r="A410" s="72"/>
      <c r="B410" s="60"/>
      <c r="C410" s="60"/>
      <c r="D410" s="61"/>
      <c r="E410" s="61"/>
      <c r="F410" s="65">
        <f t="shared" si="18"/>
        <v>0</v>
      </c>
      <c r="G410" s="59">
        <f t="shared" si="23"/>
        <v>0</v>
      </c>
      <c r="H410" s="70"/>
      <c r="I410" s="70"/>
      <c r="J410" s="60" t="e">
        <f>INT([2]DOWNTIME!$F739*1440)</f>
        <v>#REF!</v>
      </c>
      <c r="K410" s="60"/>
      <c r="L410" s="60"/>
    </row>
    <row r="411" spans="1:12" ht="14.25" hidden="1" customHeight="1">
      <c r="A411" s="72"/>
      <c r="B411" s="60"/>
      <c r="C411" s="60"/>
      <c r="D411" s="61"/>
      <c r="E411" s="61"/>
      <c r="F411" s="65">
        <f t="shared" si="18"/>
        <v>0</v>
      </c>
      <c r="G411" s="59">
        <f t="shared" si="23"/>
        <v>0</v>
      </c>
      <c r="H411" s="70"/>
      <c r="I411" s="70"/>
      <c r="J411" s="60" t="e">
        <f>INT([2]DOWNTIME!$F740*1440)</f>
        <v>#REF!</v>
      </c>
      <c r="K411" s="60"/>
      <c r="L411" s="60"/>
    </row>
    <row r="412" spans="1:12" ht="14.25" hidden="1" customHeight="1">
      <c r="A412" s="72"/>
      <c r="B412" s="60"/>
      <c r="C412" s="60"/>
      <c r="D412" s="61"/>
      <c r="E412" s="61"/>
      <c r="F412" s="65">
        <f t="shared" si="18"/>
        <v>0</v>
      </c>
      <c r="G412" s="59">
        <f t="shared" si="23"/>
        <v>0</v>
      </c>
      <c r="H412" s="70"/>
      <c r="I412" s="70"/>
      <c r="J412" s="60" t="e">
        <f>INT([2]DOWNTIME!$F741*1440)</f>
        <v>#REF!</v>
      </c>
      <c r="K412" s="60"/>
      <c r="L412" s="60"/>
    </row>
    <row r="413" spans="1:12" ht="14.25" hidden="1" customHeight="1">
      <c r="A413" s="72"/>
      <c r="B413" s="60"/>
      <c r="C413" s="60"/>
      <c r="D413" s="188"/>
      <c r="E413" s="188"/>
      <c r="F413" s="65">
        <f t="shared" si="18"/>
        <v>0</v>
      </c>
      <c r="G413" s="59">
        <f t="shared" ref="G413:G418" si="24">INT(F413*1440)</f>
        <v>0</v>
      </c>
      <c r="H413" s="70"/>
      <c r="I413" s="70"/>
      <c r="J413" s="60" t="e">
        <f>INT([2]DOWNTIME!$F754*1440)</f>
        <v>#REF!</v>
      </c>
      <c r="K413" s="60"/>
      <c r="L413" s="60"/>
    </row>
    <row r="414" spans="1:12" ht="14.25" hidden="1" customHeight="1">
      <c r="A414" s="72"/>
      <c r="B414" s="60"/>
      <c r="C414" s="60"/>
      <c r="D414" s="61"/>
      <c r="E414" s="61"/>
      <c r="F414" s="65">
        <f t="shared" si="18"/>
        <v>0</v>
      </c>
      <c r="G414" s="59">
        <f t="shared" si="24"/>
        <v>0</v>
      </c>
      <c r="H414" s="70"/>
      <c r="I414" s="70"/>
      <c r="J414" s="60" t="e">
        <f>INT([2]DOWNTIME!$F756*1440)</f>
        <v>#REF!</v>
      </c>
      <c r="K414" s="60"/>
      <c r="L414" s="60"/>
    </row>
    <row r="415" spans="1:12" ht="14.25" hidden="1" customHeight="1">
      <c r="A415" s="72"/>
      <c r="B415" s="60"/>
      <c r="C415" s="60"/>
      <c r="D415" s="61"/>
      <c r="E415" s="61"/>
      <c r="F415" s="65">
        <f t="shared" si="18"/>
        <v>0</v>
      </c>
      <c r="G415" s="59">
        <f t="shared" si="24"/>
        <v>0</v>
      </c>
      <c r="H415" s="70"/>
      <c r="I415" s="70"/>
      <c r="J415" s="60" t="e">
        <f>INT([2]DOWNTIME!$F757*1440)</f>
        <v>#REF!</v>
      </c>
      <c r="K415" s="60"/>
      <c r="L415" s="60"/>
    </row>
    <row r="416" spans="1:12" ht="14.25" hidden="1" customHeight="1">
      <c r="A416" s="72"/>
      <c r="B416" s="60"/>
      <c r="C416" s="60"/>
      <c r="D416" s="61"/>
      <c r="E416" s="61"/>
      <c r="F416" s="65">
        <f t="shared" si="18"/>
        <v>0</v>
      </c>
      <c r="G416" s="59">
        <f t="shared" si="24"/>
        <v>0</v>
      </c>
      <c r="H416" s="70"/>
      <c r="I416" s="70"/>
      <c r="J416" s="60" t="e">
        <f>INT([2]DOWNTIME!$F758*1440)</f>
        <v>#REF!</v>
      </c>
      <c r="K416" s="60"/>
      <c r="L416" s="60"/>
    </row>
    <row r="417" spans="1:12" ht="14.25" hidden="1" customHeight="1">
      <c r="A417" s="72"/>
      <c r="B417" s="60"/>
      <c r="C417" s="60"/>
      <c r="D417" s="61"/>
      <c r="E417" s="61"/>
      <c r="F417" s="65">
        <f t="shared" si="18"/>
        <v>0</v>
      </c>
      <c r="G417" s="59">
        <f t="shared" si="24"/>
        <v>0</v>
      </c>
      <c r="H417" s="70"/>
      <c r="I417" s="70"/>
      <c r="J417" s="60" t="e">
        <f>INT([2]DOWNTIME!$F765*1440)</f>
        <v>#REF!</v>
      </c>
      <c r="K417" s="60"/>
      <c r="L417" s="60"/>
    </row>
    <row r="418" spans="1:12" hidden="1">
      <c r="A418" s="72"/>
      <c r="B418" s="60"/>
      <c r="C418" s="60"/>
      <c r="D418" s="61"/>
      <c r="E418" s="61"/>
      <c r="F418" s="65">
        <f t="shared" si="18"/>
        <v>0</v>
      </c>
      <c r="G418" s="59">
        <f t="shared" si="24"/>
        <v>0</v>
      </c>
      <c r="H418" s="70"/>
      <c r="I418" s="70"/>
      <c r="J418" s="60" t="e">
        <f>INT([2]DOWNTIME!$F770*1440)</f>
        <v>#REF!</v>
      </c>
      <c r="K418" s="60"/>
      <c r="L418" s="60"/>
    </row>
    <row r="419" spans="1:12" hidden="1">
      <c r="A419" s="72"/>
      <c r="B419" s="60"/>
      <c r="C419" s="60"/>
      <c r="D419" s="61"/>
      <c r="E419" s="61"/>
      <c r="F419" s="65">
        <f t="shared" si="18"/>
        <v>0</v>
      </c>
      <c r="G419" s="59">
        <f t="shared" ref="G419:G445" si="25">INT(F419*1440)</f>
        <v>0</v>
      </c>
      <c r="H419" s="70"/>
      <c r="I419" s="70"/>
      <c r="J419" s="60" t="e">
        <f>INT([2]DOWNTIME!$F790*1440)</f>
        <v>#REF!</v>
      </c>
      <c r="K419" s="60"/>
      <c r="L419" s="60"/>
    </row>
    <row r="420" spans="1:12" ht="14.25" hidden="1" customHeight="1">
      <c r="A420" s="72"/>
      <c r="B420" s="60"/>
      <c r="C420" s="60"/>
      <c r="D420" s="61"/>
      <c r="E420" s="61"/>
      <c r="F420" s="65">
        <f t="shared" si="18"/>
        <v>0</v>
      </c>
      <c r="G420" s="59">
        <f t="shared" si="25"/>
        <v>0</v>
      </c>
      <c r="H420" s="70"/>
      <c r="I420" s="70"/>
      <c r="J420" s="60" t="e">
        <f>INT([2]DOWNTIME!$F791*1440)</f>
        <v>#REF!</v>
      </c>
      <c r="K420" s="60"/>
      <c r="L420" s="60"/>
    </row>
    <row r="421" spans="1:12" ht="14.25" hidden="1" customHeight="1">
      <c r="A421" s="72"/>
      <c r="B421" s="60"/>
      <c r="C421" s="60"/>
      <c r="D421" s="61"/>
      <c r="E421" s="61"/>
      <c r="F421" s="65">
        <f t="shared" si="18"/>
        <v>0</v>
      </c>
      <c r="G421" s="59">
        <f t="shared" si="25"/>
        <v>0</v>
      </c>
      <c r="H421" s="70"/>
      <c r="I421" s="70"/>
      <c r="J421" s="60" t="e">
        <f>INT([2]DOWNTIME!$F795*1440)</f>
        <v>#REF!</v>
      </c>
      <c r="K421" s="60"/>
      <c r="L421" s="60"/>
    </row>
    <row r="422" spans="1:12" ht="14.25" hidden="1" customHeight="1">
      <c r="A422" s="72"/>
      <c r="B422" s="60"/>
      <c r="C422" s="60"/>
      <c r="D422" s="61"/>
      <c r="E422" s="61"/>
      <c r="F422" s="65">
        <f t="shared" si="18"/>
        <v>0</v>
      </c>
      <c r="G422" s="59">
        <f t="shared" si="25"/>
        <v>0</v>
      </c>
      <c r="H422" s="70"/>
      <c r="I422" s="70"/>
      <c r="J422" s="60" t="e">
        <f>INT([2]DOWNTIME!$F797*1440)</f>
        <v>#REF!</v>
      </c>
      <c r="K422" s="60"/>
      <c r="L422" s="60"/>
    </row>
    <row r="423" spans="1:12" ht="14.25" hidden="1" customHeight="1">
      <c r="A423" s="72"/>
      <c r="B423" s="60"/>
      <c r="C423" s="60"/>
      <c r="D423" s="61"/>
      <c r="E423" s="61"/>
      <c r="F423" s="65">
        <f t="shared" si="18"/>
        <v>0</v>
      </c>
      <c r="G423" s="59">
        <f t="shared" si="25"/>
        <v>0</v>
      </c>
      <c r="H423" s="70"/>
      <c r="I423" s="70"/>
      <c r="J423" s="60" t="e">
        <f>INT([2]DOWNTIME!$F798*1440)</f>
        <v>#REF!</v>
      </c>
      <c r="K423" s="60"/>
      <c r="L423" s="60"/>
    </row>
    <row r="424" spans="1:12" ht="14.25" hidden="1" customHeight="1">
      <c r="A424" s="72"/>
      <c r="B424" s="60"/>
      <c r="C424" s="60"/>
      <c r="D424" s="61"/>
      <c r="E424" s="61"/>
      <c r="F424" s="65">
        <f t="shared" si="18"/>
        <v>0</v>
      </c>
      <c r="G424" s="59">
        <f t="shared" si="25"/>
        <v>0</v>
      </c>
      <c r="H424" s="70"/>
      <c r="I424" s="70"/>
      <c r="J424" s="60" t="e">
        <f>INT([2]DOWNTIME!$F799*1440)</f>
        <v>#REF!</v>
      </c>
      <c r="K424" s="60"/>
      <c r="L424" s="60"/>
    </row>
    <row r="425" spans="1:12" hidden="1">
      <c r="A425" s="72"/>
      <c r="B425" s="60"/>
      <c r="C425" s="60"/>
      <c r="D425" s="61"/>
      <c r="E425" s="61"/>
      <c r="F425" s="65">
        <f t="shared" si="18"/>
        <v>0</v>
      </c>
      <c r="G425" s="59">
        <f t="shared" si="25"/>
        <v>0</v>
      </c>
      <c r="H425" s="70"/>
      <c r="I425" s="70"/>
      <c r="J425" s="60" t="e">
        <f>INT([2]DOWNTIME!$F800*1440)</f>
        <v>#REF!</v>
      </c>
      <c r="K425" s="60"/>
      <c r="L425" s="60"/>
    </row>
    <row r="426" spans="1:12" ht="14.25" hidden="1" customHeight="1">
      <c r="A426" s="72"/>
      <c r="B426" s="60"/>
      <c r="C426" s="74"/>
      <c r="D426" s="61"/>
      <c r="E426" s="61"/>
      <c r="F426" s="65">
        <f t="shared" si="18"/>
        <v>0</v>
      </c>
      <c r="G426" s="59">
        <f t="shared" si="25"/>
        <v>0</v>
      </c>
      <c r="H426" s="70"/>
      <c r="I426" s="70"/>
      <c r="J426" s="60" t="e">
        <f>INT([2]DOWNTIME!$F802*1440)</f>
        <v>#REF!</v>
      </c>
      <c r="K426" s="60"/>
      <c r="L426" s="60"/>
    </row>
    <row r="427" spans="1:12" ht="14.25" hidden="1" customHeight="1">
      <c r="A427" s="72"/>
      <c r="B427" s="60"/>
      <c r="C427" s="60"/>
      <c r="D427" s="61"/>
      <c r="E427" s="61"/>
      <c r="F427" s="65">
        <f t="shared" si="18"/>
        <v>0</v>
      </c>
      <c r="G427" s="59">
        <f t="shared" si="25"/>
        <v>0</v>
      </c>
      <c r="H427" s="70"/>
      <c r="I427" s="70"/>
      <c r="J427" s="60" t="e">
        <f>INT([2]DOWNTIME!$F805*1440)</f>
        <v>#REF!</v>
      </c>
      <c r="K427" s="60"/>
      <c r="L427" s="60"/>
    </row>
    <row r="428" spans="1:12" hidden="1">
      <c r="A428" s="72"/>
      <c r="B428" s="60"/>
      <c r="C428" s="60"/>
      <c r="D428" s="61"/>
      <c r="E428" s="61"/>
      <c r="F428" s="65">
        <f t="shared" si="18"/>
        <v>0</v>
      </c>
      <c r="G428" s="59">
        <f t="shared" si="25"/>
        <v>0</v>
      </c>
      <c r="H428" s="70"/>
      <c r="I428" s="70"/>
      <c r="J428" s="60" t="e">
        <f>INT([2]DOWNTIME!$F806*1440)</f>
        <v>#REF!</v>
      </c>
      <c r="K428" s="60"/>
      <c r="L428" s="60"/>
    </row>
    <row r="429" spans="1:12" ht="14.25" hidden="1" customHeight="1">
      <c r="A429" s="72"/>
      <c r="B429" s="60"/>
      <c r="C429" s="60"/>
      <c r="D429" s="61"/>
      <c r="E429" s="61"/>
      <c r="F429" s="65">
        <f t="shared" si="18"/>
        <v>0</v>
      </c>
      <c r="G429" s="59">
        <f t="shared" si="25"/>
        <v>0</v>
      </c>
      <c r="H429" s="70"/>
      <c r="I429" s="70"/>
      <c r="J429" s="60" t="e">
        <f>INT([2]DOWNTIME!$F807*1440)</f>
        <v>#REF!</v>
      </c>
      <c r="K429" s="60"/>
      <c r="L429" s="60"/>
    </row>
    <row r="430" spans="1:12" ht="14.25" hidden="1" customHeight="1">
      <c r="A430" s="72"/>
      <c r="B430" s="60"/>
      <c r="C430" s="60"/>
      <c r="D430" s="61"/>
      <c r="E430" s="61"/>
      <c r="F430" s="65">
        <f t="shared" si="18"/>
        <v>0</v>
      </c>
      <c r="G430" s="59">
        <f t="shared" si="25"/>
        <v>0</v>
      </c>
      <c r="H430" s="70"/>
      <c r="I430" s="70"/>
      <c r="J430" s="60" t="e">
        <f>INT([2]DOWNTIME!$F809*1440)</f>
        <v>#REF!</v>
      </c>
      <c r="K430" s="60"/>
      <c r="L430" s="60"/>
    </row>
    <row r="431" spans="1:12" ht="14.25" hidden="1" customHeight="1">
      <c r="A431" s="72"/>
      <c r="B431" s="60"/>
      <c r="C431" s="74"/>
      <c r="D431" s="61"/>
      <c r="E431" s="65"/>
      <c r="F431" s="65">
        <f t="shared" si="18"/>
        <v>0</v>
      </c>
      <c r="G431" s="59">
        <f t="shared" si="25"/>
        <v>0</v>
      </c>
      <c r="H431" s="70"/>
      <c r="I431" s="70"/>
      <c r="J431" s="60" t="e">
        <f>INT([2]DOWNTIME!$F810*1440)</f>
        <v>#REF!</v>
      </c>
      <c r="K431" s="60"/>
      <c r="L431" s="60"/>
    </row>
    <row r="432" spans="1:12" ht="14.25" hidden="1" customHeight="1">
      <c r="A432" s="72"/>
      <c r="B432" s="60"/>
      <c r="C432" s="60"/>
      <c r="D432" s="61"/>
      <c r="E432" s="61"/>
      <c r="F432" s="65">
        <f t="shared" si="18"/>
        <v>0</v>
      </c>
      <c r="G432" s="59">
        <f t="shared" si="25"/>
        <v>0</v>
      </c>
      <c r="H432" s="70"/>
      <c r="I432" s="70"/>
      <c r="J432" s="60" t="e">
        <f>INT([2]DOWNTIME!$F812*1440)</f>
        <v>#REF!</v>
      </c>
      <c r="K432" s="60"/>
      <c r="L432" s="66"/>
    </row>
    <row r="433" spans="1:12" ht="14.25" hidden="1" customHeight="1">
      <c r="A433" s="72"/>
      <c r="B433" s="60"/>
      <c r="C433" s="60"/>
      <c r="D433" s="61"/>
      <c r="E433" s="61"/>
      <c r="F433" s="65">
        <f t="shared" si="18"/>
        <v>0</v>
      </c>
      <c r="G433" s="59">
        <f t="shared" si="25"/>
        <v>0</v>
      </c>
      <c r="H433" s="70"/>
      <c r="I433" s="70"/>
      <c r="J433" s="60" t="e">
        <f>INT([2]DOWNTIME!$F814*1440)</f>
        <v>#REF!</v>
      </c>
      <c r="K433" s="60"/>
      <c r="L433" s="60"/>
    </row>
    <row r="434" spans="1:12" ht="14.25" hidden="1" customHeight="1">
      <c r="A434" s="72"/>
      <c r="B434" s="60"/>
      <c r="C434" s="60"/>
      <c r="D434" s="61"/>
      <c r="E434" s="61"/>
      <c r="F434" s="65">
        <f t="shared" si="18"/>
        <v>0</v>
      </c>
      <c r="G434" s="59">
        <f t="shared" si="25"/>
        <v>0</v>
      </c>
      <c r="H434" s="70"/>
      <c r="I434" s="70"/>
      <c r="J434" s="60" t="e">
        <f>INT([2]DOWNTIME!$F815*1440)</f>
        <v>#REF!</v>
      </c>
      <c r="K434" s="60"/>
      <c r="L434" s="60"/>
    </row>
    <row r="435" spans="1:12" ht="14.25" hidden="1" customHeight="1">
      <c r="A435" s="72"/>
      <c r="B435" s="60"/>
      <c r="C435" s="60"/>
      <c r="D435" s="61"/>
      <c r="E435" s="61"/>
      <c r="F435" s="65">
        <f t="shared" si="18"/>
        <v>0</v>
      </c>
      <c r="G435" s="59">
        <f t="shared" si="25"/>
        <v>0</v>
      </c>
      <c r="H435" s="70"/>
      <c r="I435" s="70"/>
      <c r="J435" s="60" t="e">
        <f>INT([2]DOWNTIME!$F816*1440)</f>
        <v>#REF!</v>
      </c>
      <c r="K435" s="60"/>
      <c r="L435" s="60"/>
    </row>
    <row r="436" spans="1:12" ht="14.25" hidden="1" customHeight="1">
      <c r="A436" s="72"/>
      <c r="B436" s="60"/>
      <c r="C436" s="60"/>
      <c r="D436" s="61"/>
      <c r="E436" s="61"/>
      <c r="F436" s="65">
        <f t="shared" si="18"/>
        <v>0</v>
      </c>
      <c r="G436" s="59">
        <f t="shared" si="25"/>
        <v>0</v>
      </c>
      <c r="H436" s="70"/>
      <c r="I436" s="70"/>
      <c r="J436" s="60" t="e">
        <f>INT([2]DOWNTIME!$F817*1440)</f>
        <v>#REF!</v>
      </c>
      <c r="K436" s="60"/>
      <c r="L436" s="60"/>
    </row>
    <row r="437" spans="1:12" ht="14.25" hidden="1" customHeight="1">
      <c r="A437" s="72"/>
      <c r="B437" s="60"/>
      <c r="C437" s="60"/>
      <c r="D437" s="61"/>
      <c r="E437" s="61"/>
      <c r="F437" s="65">
        <f t="shared" si="18"/>
        <v>0</v>
      </c>
      <c r="G437" s="59">
        <f t="shared" si="25"/>
        <v>0</v>
      </c>
      <c r="H437" s="70"/>
      <c r="I437" s="70"/>
      <c r="J437" s="60" t="e">
        <f>INT([2]DOWNTIME!$F819*1440)</f>
        <v>#REF!</v>
      </c>
      <c r="K437" s="60"/>
      <c r="L437" s="60"/>
    </row>
    <row r="438" spans="1:12" ht="14.25" hidden="1" customHeight="1">
      <c r="A438" s="72"/>
      <c r="B438" s="60"/>
      <c r="C438" s="60"/>
      <c r="D438" s="61"/>
      <c r="E438" s="61"/>
      <c r="F438" s="65">
        <f t="shared" si="18"/>
        <v>0</v>
      </c>
      <c r="G438" s="59">
        <f t="shared" si="25"/>
        <v>0</v>
      </c>
      <c r="H438" s="70"/>
      <c r="I438" s="70"/>
      <c r="J438" s="60" t="e">
        <f>INT([2]DOWNTIME!$F820*1440)</f>
        <v>#REF!</v>
      </c>
      <c r="K438" s="60"/>
      <c r="L438" s="60"/>
    </row>
    <row r="439" spans="1:12" ht="14.25" hidden="1" customHeight="1">
      <c r="A439" s="72"/>
      <c r="B439" s="60"/>
      <c r="C439" s="60"/>
      <c r="D439" s="61"/>
      <c r="E439" s="61"/>
      <c r="F439" s="65">
        <f t="shared" si="18"/>
        <v>0</v>
      </c>
      <c r="G439" s="59">
        <f t="shared" si="25"/>
        <v>0</v>
      </c>
      <c r="H439" s="70"/>
      <c r="I439" s="70"/>
      <c r="J439" s="60" t="e">
        <f>INT([2]DOWNTIME!$F821*1440)</f>
        <v>#REF!</v>
      </c>
      <c r="K439" s="60"/>
      <c r="L439" s="60"/>
    </row>
    <row r="440" spans="1:12" ht="14.25" hidden="1" customHeight="1">
      <c r="A440" s="72"/>
      <c r="B440" s="60"/>
      <c r="C440" s="60"/>
      <c r="D440" s="61"/>
      <c r="E440" s="61"/>
      <c r="F440" s="65">
        <f t="shared" si="18"/>
        <v>0</v>
      </c>
      <c r="G440" s="59">
        <f t="shared" si="25"/>
        <v>0</v>
      </c>
      <c r="H440" s="70"/>
      <c r="I440" s="70"/>
      <c r="J440" s="60" t="e">
        <f>INT([2]DOWNTIME!$F822*1440)</f>
        <v>#REF!</v>
      </c>
      <c r="K440" s="60"/>
      <c r="L440" s="60"/>
    </row>
    <row r="441" spans="1:12" ht="14.25" hidden="1" customHeight="1">
      <c r="A441" s="72"/>
      <c r="B441" s="60"/>
      <c r="C441" s="60"/>
      <c r="D441" s="61"/>
      <c r="E441" s="61"/>
      <c r="F441" s="65">
        <f t="shared" si="18"/>
        <v>0</v>
      </c>
      <c r="G441" s="59">
        <f t="shared" si="25"/>
        <v>0</v>
      </c>
      <c r="H441" s="70"/>
      <c r="I441" s="70"/>
      <c r="J441" s="60" t="e">
        <f>INT([2]DOWNTIME!$F823*1440)</f>
        <v>#REF!</v>
      </c>
      <c r="K441" s="60"/>
      <c r="L441" s="60"/>
    </row>
    <row r="442" spans="1:12" ht="14.25" hidden="1" customHeight="1">
      <c r="A442" s="72"/>
      <c r="B442" s="60"/>
      <c r="C442" s="60"/>
      <c r="D442" s="61"/>
      <c r="E442" s="61"/>
      <c r="F442" s="65">
        <f t="shared" si="18"/>
        <v>0</v>
      </c>
      <c r="G442" s="59">
        <f t="shared" si="25"/>
        <v>0</v>
      </c>
      <c r="H442" s="70"/>
      <c r="I442" s="70"/>
      <c r="J442" s="60" t="e">
        <f>INT([2]DOWNTIME!$F824*1440)</f>
        <v>#REF!</v>
      </c>
      <c r="K442" s="60"/>
      <c r="L442" s="60"/>
    </row>
    <row r="443" spans="1:12" ht="14.25" hidden="1" customHeight="1">
      <c r="A443" s="72"/>
      <c r="B443" s="60"/>
      <c r="C443" s="60"/>
      <c r="D443" s="61"/>
      <c r="E443" s="61"/>
      <c r="F443" s="65">
        <f t="shared" si="18"/>
        <v>0</v>
      </c>
      <c r="G443" s="59">
        <f t="shared" si="25"/>
        <v>0</v>
      </c>
      <c r="H443" s="70"/>
      <c r="I443" s="70"/>
      <c r="J443" s="60" t="e">
        <f>INT([2]DOWNTIME!$F825*1440)</f>
        <v>#REF!</v>
      </c>
      <c r="K443" s="60"/>
      <c r="L443" s="60"/>
    </row>
    <row r="444" spans="1:12" ht="14.25" hidden="1" customHeight="1">
      <c r="A444" s="72"/>
      <c r="B444" s="60"/>
      <c r="C444" s="60"/>
      <c r="D444" s="61"/>
      <c r="E444" s="61"/>
      <c r="F444" s="65">
        <f t="shared" si="18"/>
        <v>0</v>
      </c>
      <c r="G444" s="59">
        <f t="shared" si="25"/>
        <v>0</v>
      </c>
      <c r="H444" s="70"/>
      <c r="I444" s="70"/>
      <c r="J444" s="60" t="e">
        <f>INT([2]DOWNTIME!$F826*1440)</f>
        <v>#REF!</v>
      </c>
      <c r="K444" s="60"/>
      <c r="L444" s="60"/>
    </row>
    <row r="445" spans="1:12" ht="14.25" hidden="1" customHeight="1">
      <c r="A445" s="72"/>
      <c r="B445" s="60"/>
      <c r="C445" s="60"/>
      <c r="D445" s="61"/>
      <c r="E445" s="61"/>
      <c r="F445" s="65">
        <f t="shared" si="18"/>
        <v>0</v>
      </c>
      <c r="G445" s="59">
        <f t="shared" si="25"/>
        <v>0</v>
      </c>
      <c r="H445" s="70"/>
      <c r="I445" s="70"/>
      <c r="J445" s="60" t="e">
        <f>INT([2]DOWNTIME!$F827*1440)</f>
        <v>#REF!</v>
      </c>
      <c r="K445" s="60"/>
      <c r="L445" s="60"/>
    </row>
    <row r="446" spans="1:12" ht="14.25" hidden="1" customHeight="1">
      <c r="A446" s="72"/>
      <c r="B446" s="60"/>
      <c r="C446" s="60"/>
      <c r="D446" s="61"/>
      <c r="E446" s="61"/>
      <c r="F446" s="65">
        <f t="shared" si="18"/>
        <v>0</v>
      </c>
      <c r="G446" s="59">
        <f t="shared" ref="G446:G472" si="26">INT(F446*1440)</f>
        <v>0</v>
      </c>
      <c r="H446" s="70"/>
      <c r="I446" s="70"/>
      <c r="J446" s="60" t="e">
        <f>INT([2]DOWNTIME!$F828*1440)</f>
        <v>#REF!</v>
      </c>
      <c r="K446" s="60"/>
      <c r="L446" s="60"/>
    </row>
    <row r="447" spans="1:12" ht="14.25" hidden="1" customHeight="1">
      <c r="A447" s="72"/>
      <c r="B447" s="60"/>
      <c r="C447" s="60"/>
      <c r="D447" s="61"/>
      <c r="E447" s="61"/>
      <c r="F447" s="65">
        <f t="shared" ref="F447:F510" si="27">+(E447-D447)</f>
        <v>0</v>
      </c>
      <c r="G447" s="59">
        <f t="shared" si="26"/>
        <v>0</v>
      </c>
      <c r="H447" s="70"/>
      <c r="I447" s="70"/>
      <c r="J447" s="60" t="e">
        <f>INT([2]DOWNTIME!$F829*1440)</f>
        <v>#REF!</v>
      </c>
      <c r="K447" s="60"/>
      <c r="L447" s="60"/>
    </row>
    <row r="448" spans="1:12" ht="14.25" hidden="1" customHeight="1">
      <c r="A448" s="72"/>
      <c r="B448" s="60"/>
      <c r="C448" s="60"/>
      <c r="D448" s="61"/>
      <c r="E448" s="61"/>
      <c r="F448" s="65">
        <f t="shared" si="27"/>
        <v>0</v>
      </c>
      <c r="G448" s="59">
        <f t="shared" si="26"/>
        <v>0</v>
      </c>
      <c r="H448" s="70"/>
      <c r="I448" s="70"/>
      <c r="J448" s="60" t="e">
        <f>INT([2]DOWNTIME!$F830*1440)</f>
        <v>#REF!</v>
      </c>
      <c r="K448" s="60"/>
      <c r="L448" s="60"/>
    </row>
    <row r="449" spans="1:12" ht="14.25" hidden="1" customHeight="1">
      <c r="A449" s="72"/>
      <c r="B449" s="60"/>
      <c r="C449" s="74"/>
      <c r="D449" s="61"/>
      <c r="E449" s="61"/>
      <c r="F449" s="65">
        <f t="shared" si="27"/>
        <v>0</v>
      </c>
      <c r="G449" s="59">
        <f t="shared" si="26"/>
        <v>0</v>
      </c>
      <c r="H449" s="70"/>
      <c r="I449" s="70"/>
      <c r="J449" s="60" t="e">
        <f>INT([2]DOWNTIME!$F831*1440)</f>
        <v>#REF!</v>
      </c>
      <c r="K449" s="60"/>
      <c r="L449" s="60"/>
    </row>
    <row r="450" spans="1:12" ht="14.25" hidden="1" customHeight="1">
      <c r="A450" s="72"/>
      <c r="B450" s="60"/>
      <c r="C450" s="74"/>
      <c r="D450" s="61"/>
      <c r="E450" s="61"/>
      <c r="F450" s="65">
        <f t="shared" si="27"/>
        <v>0</v>
      </c>
      <c r="G450" s="59">
        <f t="shared" si="26"/>
        <v>0</v>
      </c>
      <c r="H450" s="70"/>
      <c r="I450" s="70"/>
      <c r="J450" s="60" t="e">
        <f>INT([2]DOWNTIME!$F832*1440)</f>
        <v>#REF!</v>
      </c>
      <c r="K450" s="60"/>
      <c r="L450" s="60"/>
    </row>
    <row r="451" spans="1:12" ht="14.25" hidden="1" customHeight="1">
      <c r="A451" s="72"/>
      <c r="B451" s="60"/>
      <c r="C451" s="74"/>
      <c r="D451" s="61"/>
      <c r="E451" s="61"/>
      <c r="F451" s="65">
        <f t="shared" si="27"/>
        <v>0</v>
      </c>
      <c r="G451" s="59">
        <f t="shared" si="26"/>
        <v>0</v>
      </c>
      <c r="H451" s="70"/>
      <c r="I451" s="70"/>
      <c r="J451" s="60" t="e">
        <f>INT([2]DOWNTIME!$F833*1440)</f>
        <v>#REF!</v>
      </c>
      <c r="K451" s="60"/>
      <c r="L451" s="60"/>
    </row>
    <row r="452" spans="1:12" ht="14.25" hidden="1" customHeight="1">
      <c r="A452" s="72"/>
      <c r="B452" s="60"/>
      <c r="C452" s="60"/>
      <c r="D452" s="61"/>
      <c r="E452" s="61"/>
      <c r="F452" s="65">
        <f t="shared" si="27"/>
        <v>0</v>
      </c>
      <c r="G452" s="59">
        <f t="shared" si="26"/>
        <v>0</v>
      </c>
      <c r="H452" s="70"/>
      <c r="I452" s="70"/>
      <c r="J452" s="60" t="e">
        <f>INT([2]DOWNTIME!$F834*1440)</f>
        <v>#REF!</v>
      </c>
      <c r="K452" s="60"/>
      <c r="L452" s="60"/>
    </row>
    <row r="453" spans="1:12" ht="14.25" hidden="1" customHeight="1">
      <c r="A453" s="72"/>
      <c r="B453" s="60"/>
      <c r="C453" s="60"/>
      <c r="D453" s="61"/>
      <c r="E453" s="61"/>
      <c r="F453" s="65">
        <f t="shared" si="27"/>
        <v>0</v>
      </c>
      <c r="G453" s="59">
        <f t="shared" si="26"/>
        <v>0</v>
      </c>
      <c r="H453" s="70"/>
      <c r="I453" s="70"/>
      <c r="J453" s="60" t="e">
        <f>INT([2]DOWNTIME!$F835*1440)</f>
        <v>#REF!</v>
      </c>
      <c r="K453" s="60"/>
      <c r="L453" s="60"/>
    </row>
    <row r="454" spans="1:12" ht="14.25" hidden="1" customHeight="1">
      <c r="A454" s="72"/>
      <c r="B454" s="60"/>
      <c r="C454" s="60"/>
      <c r="D454" s="61"/>
      <c r="E454" s="61"/>
      <c r="F454" s="65">
        <f t="shared" si="27"/>
        <v>0</v>
      </c>
      <c r="G454" s="59">
        <f t="shared" si="26"/>
        <v>0</v>
      </c>
      <c r="H454" s="70"/>
      <c r="I454" s="70"/>
      <c r="J454" s="60" t="e">
        <f>INT([2]DOWNTIME!$F836*1440)</f>
        <v>#REF!</v>
      </c>
      <c r="K454" s="60"/>
      <c r="L454" s="60"/>
    </row>
    <row r="455" spans="1:12" ht="14.25" hidden="1" customHeight="1">
      <c r="A455" s="72"/>
      <c r="B455" s="60"/>
      <c r="C455" s="60"/>
      <c r="D455" s="61"/>
      <c r="E455" s="61"/>
      <c r="F455" s="65">
        <f t="shared" si="27"/>
        <v>0</v>
      </c>
      <c r="G455" s="59">
        <f t="shared" si="26"/>
        <v>0</v>
      </c>
      <c r="H455" s="70"/>
      <c r="I455" s="70"/>
      <c r="J455" s="60" t="e">
        <f>INT([2]DOWNTIME!$F837*1440)</f>
        <v>#REF!</v>
      </c>
      <c r="K455" s="60"/>
      <c r="L455" s="60"/>
    </row>
    <row r="456" spans="1:12" ht="14.25" hidden="1" customHeight="1">
      <c r="A456" s="72"/>
      <c r="B456" s="60"/>
      <c r="C456" s="60"/>
      <c r="D456" s="61"/>
      <c r="E456" s="61"/>
      <c r="F456" s="65">
        <f t="shared" si="27"/>
        <v>0</v>
      </c>
      <c r="G456" s="59">
        <f t="shared" si="26"/>
        <v>0</v>
      </c>
      <c r="H456" s="70"/>
      <c r="I456" s="70"/>
      <c r="J456" s="60" t="e">
        <f>INT([2]DOWNTIME!$F838*1440)</f>
        <v>#REF!</v>
      </c>
      <c r="K456" s="60"/>
      <c r="L456" s="60"/>
    </row>
    <row r="457" spans="1:12" ht="14.25" hidden="1" customHeight="1">
      <c r="A457" s="72"/>
      <c r="B457" s="60"/>
      <c r="C457" s="74"/>
      <c r="D457" s="61"/>
      <c r="E457" s="61"/>
      <c r="F457" s="65">
        <f t="shared" si="27"/>
        <v>0</v>
      </c>
      <c r="G457" s="59">
        <f t="shared" si="26"/>
        <v>0</v>
      </c>
      <c r="H457" s="70"/>
      <c r="I457" s="70"/>
      <c r="J457" s="60" t="e">
        <f>INT([2]DOWNTIME!$F839*1440)</f>
        <v>#REF!</v>
      </c>
      <c r="K457" s="60"/>
      <c r="L457" s="60"/>
    </row>
    <row r="458" spans="1:12" ht="14.25" hidden="1" customHeight="1">
      <c r="A458" s="72"/>
      <c r="B458" s="60"/>
      <c r="C458" s="74"/>
      <c r="D458" s="61"/>
      <c r="E458" s="61"/>
      <c r="F458" s="65">
        <f t="shared" si="27"/>
        <v>0</v>
      </c>
      <c r="G458" s="59">
        <f t="shared" si="26"/>
        <v>0</v>
      </c>
      <c r="H458" s="70"/>
      <c r="I458" s="70"/>
      <c r="J458" s="60" t="e">
        <f>INT([2]DOWNTIME!$F840*1440)</f>
        <v>#REF!</v>
      </c>
      <c r="K458" s="60"/>
      <c r="L458" s="60"/>
    </row>
    <row r="459" spans="1:12" ht="14.25" hidden="1" customHeight="1">
      <c r="A459" s="72"/>
      <c r="B459" s="60"/>
      <c r="C459" s="74"/>
      <c r="D459" s="61"/>
      <c r="E459" s="61"/>
      <c r="F459" s="65">
        <f t="shared" si="27"/>
        <v>0</v>
      </c>
      <c r="G459" s="59">
        <f t="shared" si="26"/>
        <v>0</v>
      </c>
      <c r="H459" s="70"/>
      <c r="I459" s="70"/>
      <c r="J459" s="60" t="e">
        <f>INT([2]DOWNTIME!$F841*1440)</f>
        <v>#REF!</v>
      </c>
      <c r="K459" s="60"/>
      <c r="L459" s="60"/>
    </row>
    <row r="460" spans="1:12" ht="14.25" hidden="1" customHeight="1">
      <c r="A460" s="72"/>
      <c r="B460" s="60"/>
      <c r="C460" s="60"/>
      <c r="D460" s="61"/>
      <c r="E460" s="61"/>
      <c r="F460" s="65">
        <f t="shared" si="27"/>
        <v>0</v>
      </c>
      <c r="G460" s="59">
        <f t="shared" si="26"/>
        <v>0</v>
      </c>
      <c r="H460" s="70"/>
      <c r="I460" s="70"/>
      <c r="J460" s="60" t="e">
        <f>INT([2]DOWNTIME!$F842*1440)</f>
        <v>#REF!</v>
      </c>
      <c r="K460" s="60"/>
      <c r="L460" s="60"/>
    </row>
    <row r="461" spans="1:12" ht="14.25" hidden="1" customHeight="1">
      <c r="A461" s="72"/>
      <c r="B461" s="60"/>
      <c r="C461" s="60"/>
      <c r="D461" s="61"/>
      <c r="E461" s="61"/>
      <c r="F461" s="65">
        <f t="shared" si="27"/>
        <v>0</v>
      </c>
      <c r="G461" s="59">
        <f t="shared" si="26"/>
        <v>0</v>
      </c>
      <c r="H461" s="70"/>
      <c r="I461" s="70"/>
      <c r="J461" s="60" t="e">
        <f>INT([2]DOWNTIME!$F843*1440)</f>
        <v>#REF!</v>
      </c>
      <c r="K461" s="60"/>
      <c r="L461" s="60"/>
    </row>
    <row r="462" spans="1:12" ht="14.25" hidden="1" customHeight="1">
      <c r="A462" s="72"/>
      <c r="B462" s="60"/>
      <c r="C462" s="60"/>
      <c r="D462" s="61"/>
      <c r="E462" s="61"/>
      <c r="F462" s="65">
        <f t="shared" si="27"/>
        <v>0</v>
      </c>
      <c r="G462" s="59">
        <f t="shared" si="26"/>
        <v>0</v>
      </c>
      <c r="H462" s="70"/>
      <c r="I462" s="70"/>
      <c r="J462" s="60" t="e">
        <f>INT([2]DOWNTIME!$F844*1440)</f>
        <v>#REF!</v>
      </c>
      <c r="K462" s="60"/>
      <c r="L462" s="60"/>
    </row>
    <row r="463" spans="1:12" ht="14.25" hidden="1" customHeight="1">
      <c r="A463" s="72"/>
      <c r="B463" s="60"/>
      <c r="C463" s="60"/>
      <c r="D463" s="61"/>
      <c r="E463" s="61"/>
      <c r="F463" s="65">
        <f t="shared" si="27"/>
        <v>0</v>
      </c>
      <c r="G463" s="59">
        <f t="shared" si="26"/>
        <v>0</v>
      </c>
      <c r="H463" s="70"/>
      <c r="I463" s="70"/>
      <c r="J463" s="60" t="e">
        <f>INT([2]DOWNTIME!$F845*1440)</f>
        <v>#REF!</v>
      </c>
      <c r="K463" s="60"/>
      <c r="L463" s="60"/>
    </row>
    <row r="464" spans="1:12" ht="14.25" hidden="1" customHeight="1">
      <c r="A464" s="72"/>
      <c r="B464" s="60"/>
      <c r="C464" s="60"/>
      <c r="D464" s="61"/>
      <c r="E464" s="61"/>
      <c r="F464" s="65">
        <f t="shared" si="27"/>
        <v>0</v>
      </c>
      <c r="G464" s="59">
        <f t="shared" si="26"/>
        <v>0</v>
      </c>
      <c r="H464" s="70"/>
      <c r="I464" s="70"/>
      <c r="J464" s="60" t="e">
        <f>INT([2]DOWNTIME!$F846*1440)</f>
        <v>#REF!</v>
      </c>
      <c r="K464" s="60"/>
      <c r="L464" s="60"/>
    </row>
    <row r="465" spans="1:12" ht="14.25" hidden="1" customHeight="1">
      <c r="A465" s="72"/>
      <c r="B465" s="60"/>
      <c r="C465" s="60"/>
      <c r="D465" s="61"/>
      <c r="E465" s="61"/>
      <c r="F465" s="65">
        <f t="shared" si="27"/>
        <v>0</v>
      </c>
      <c r="G465" s="59">
        <f t="shared" si="26"/>
        <v>0</v>
      </c>
      <c r="H465" s="70"/>
      <c r="I465" s="70"/>
      <c r="J465" s="60" t="e">
        <f>INT([2]DOWNTIME!$F847*1440)</f>
        <v>#REF!</v>
      </c>
      <c r="K465" s="60"/>
      <c r="L465" s="60"/>
    </row>
    <row r="466" spans="1:12" ht="14.25" hidden="1" customHeight="1">
      <c r="A466" s="72"/>
      <c r="B466" s="60"/>
      <c r="C466" s="60"/>
      <c r="D466" s="61"/>
      <c r="E466" s="61"/>
      <c r="F466" s="65">
        <f t="shared" si="27"/>
        <v>0</v>
      </c>
      <c r="G466" s="59">
        <f t="shared" si="26"/>
        <v>0</v>
      </c>
      <c r="H466" s="70"/>
      <c r="I466" s="70"/>
      <c r="J466" s="60" t="e">
        <f>INT([2]DOWNTIME!$F848*1440)</f>
        <v>#REF!</v>
      </c>
      <c r="K466" s="60"/>
      <c r="L466" s="60"/>
    </row>
    <row r="467" spans="1:12" ht="14.25" hidden="1" customHeight="1">
      <c r="A467" s="72"/>
      <c r="B467" s="60"/>
      <c r="C467" s="60"/>
      <c r="D467" s="61"/>
      <c r="E467" s="61"/>
      <c r="F467" s="65">
        <f t="shared" si="27"/>
        <v>0</v>
      </c>
      <c r="G467" s="59">
        <f t="shared" si="26"/>
        <v>0</v>
      </c>
      <c r="H467" s="70"/>
      <c r="I467" s="70"/>
      <c r="J467" s="60" t="e">
        <f>INT([2]DOWNTIME!$F849*1440)</f>
        <v>#REF!</v>
      </c>
      <c r="K467" s="60"/>
      <c r="L467" s="60"/>
    </row>
    <row r="468" spans="1:12" ht="14.25" hidden="1" customHeight="1">
      <c r="A468" s="72"/>
      <c r="B468" s="60"/>
      <c r="C468" s="60"/>
      <c r="D468" s="61"/>
      <c r="E468" s="61"/>
      <c r="F468" s="65">
        <f t="shared" si="27"/>
        <v>0</v>
      </c>
      <c r="G468" s="59">
        <f t="shared" si="26"/>
        <v>0</v>
      </c>
      <c r="H468" s="70"/>
      <c r="I468" s="70"/>
      <c r="J468" s="60" t="e">
        <f>INT([2]DOWNTIME!$F850*1440)</f>
        <v>#REF!</v>
      </c>
      <c r="K468" s="60"/>
      <c r="L468" s="60"/>
    </row>
    <row r="469" spans="1:12" ht="14.25" hidden="1" customHeight="1">
      <c r="A469" s="72"/>
      <c r="B469" s="60"/>
      <c r="C469" s="60"/>
      <c r="D469" s="61"/>
      <c r="E469" s="61"/>
      <c r="F469" s="65">
        <f t="shared" si="27"/>
        <v>0</v>
      </c>
      <c r="G469" s="59">
        <f t="shared" si="26"/>
        <v>0</v>
      </c>
      <c r="H469" s="70"/>
      <c r="I469" s="70"/>
      <c r="J469" s="60" t="e">
        <f>INT([2]DOWNTIME!$F851*1440)</f>
        <v>#REF!</v>
      </c>
      <c r="K469" s="60"/>
      <c r="L469" s="60"/>
    </row>
    <row r="470" spans="1:12" ht="14.25" hidden="1" customHeight="1">
      <c r="A470" s="72"/>
      <c r="B470" s="60"/>
      <c r="C470" s="60"/>
      <c r="D470" s="61"/>
      <c r="E470" s="61"/>
      <c r="F470" s="65">
        <f t="shared" si="27"/>
        <v>0</v>
      </c>
      <c r="G470" s="59">
        <f t="shared" si="26"/>
        <v>0</v>
      </c>
      <c r="H470" s="70"/>
      <c r="I470" s="70"/>
      <c r="J470" s="60" t="e">
        <f>INT([2]DOWNTIME!$F852*1440)</f>
        <v>#REF!</v>
      </c>
      <c r="K470" s="60"/>
      <c r="L470" s="60"/>
    </row>
    <row r="471" spans="1:12" ht="14.25" hidden="1" customHeight="1">
      <c r="A471" s="72"/>
      <c r="B471" s="60"/>
      <c r="C471" s="60"/>
      <c r="D471" s="61"/>
      <c r="E471" s="61"/>
      <c r="F471" s="65">
        <f t="shared" si="27"/>
        <v>0</v>
      </c>
      <c r="G471" s="59">
        <f t="shared" si="26"/>
        <v>0</v>
      </c>
      <c r="H471" s="70"/>
      <c r="I471" s="70"/>
      <c r="J471" s="60" t="e">
        <f>INT([2]DOWNTIME!$F853*1440)</f>
        <v>#REF!</v>
      </c>
      <c r="K471" s="60"/>
      <c r="L471" s="60"/>
    </row>
    <row r="472" spans="1:12" hidden="1">
      <c r="A472" s="72"/>
      <c r="B472" s="60"/>
      <c r="C472" s="60"/>
      <c r="D472" s="61"/>
      <c r="E472" s="61"/>
      <c r="F472" s="65">
        <f t="shared" si="27"/>
        <v>0</v>
      </c>
      <c r="G472" s="59">
        <f t="shared" si="26"/>
        <v>0</v>
      </c>
      <c r="H472" s="70"/>
      <c r="I472" s="70"/>
      <c r="J472" s="60" t="e">
        <f>INT([2]DOWNTIME!$F854*1440)</f>
        <v>#REF!</v>
      </c>
      <c r="K472" s="60"/>
      <c r="L472" s="60"/>
    </row>
    <row r="473" spans="1:12" ht="14.25" hidden="1" customHeight="1">
      <c r="A473" s="72"/>
      <c r="B473" s="60"/>
      <c r="C473" s="60"/>
      <c r="D473" s="61"/>
      <c r="E473" s="61"/>
      <c r="F473" s="65">
        <f t="shared" si="27"/>
        <v>0</v>
      </c>
      <c r="G473" s="59">
        <f t="shared" ref="G473:G533" si="28">INT(F473*1440)</f>
        <v>0</v>
      </c>
      <c r="H473" s="70"/>
      <c r="I473" s="70"/>
      <c r="J473" s="60" t="e">
        <f>INT([2]DOWNTIME!$F855*1440)</f>
        <v>#REF!</v>
      </c>
      <c r="K473" s="60"/>
      <c r="L473" s="60"/>
    </row>
    <row r="474" spans="1:12" ht="14.25" hidden="1" customHeight="1">
      <c r="A474" s="72"/>
      <c r="B474" s="60"/>
      <c r="C474" s="60"/>
      <c r="D474" s="61"/>
      <c r="E474" s="61"/>
      <c r="F474" s="65">
        <f t="shared" si="27"/>
        <v>0</v>
      </c>
      <c r="G474" s="59">
        <f t="shared" si="28"/>
        <v>0</v>
      </c>
      <c r="H474" s="70"/>
      <c r="I474" s="70"/>
      <c r="J474" s="60" t="e">
        <f>INT([2]DOWNTIME!$F856*1440)</f>
        <v>#REF!</v>
      </c>
      <c r="K474" s="60"/>
      <c r="L474" s="60"/>
    </row>
    <row r="475" spans="1:12" ht="14.25" hidden="1" customHeight="1">
      <c r="A475" s="72"/>
      <c r="B475" s="60"/>
      <c r="C475" s="60"/>
      <c r="D475" s="61"/>
      <c r="E475" s="61"/>
      <c r="F475" s="65">
        <f t="shared" si="27"/>
        <v>0</v>
      </c>
      <c r="G475" s="59">
        <f t="shared" si="28"/>
        <v>0</v>
      </c>
      <c r="H475" s="70"/>
      <c r="I475" s="70"/>
      <c r="J475" s="60" t="e">
        <f>INT([2]DOWNTIME!$F857*1440)</f>
        <v>#REF!</v>
      </c>
      <c r="K475" s="60"/>
      <c r="L475" s="60"/>
    </row>
    <row r="476" spans="1:12" ht="14.25" hidden="1" customHeight="1">
      <c r="A476" s="72"/>
      <c r="B476" s="60"/>
      <c r="C476" s="60"/>
      <c r="D476" s="61"/>
      <c r="E476" s="61"/>
      <c r="F476" s="65">
        <f t="shared" si="27"/>
        <v>0</v>
      </c>
      <c r="G476" s="59">
        <f t="shared" si="28"/>
        <v>0</v>
      </c>
      <c r="H476" s="70"/>
      <c r="I476" s="70"/>
      <c r="J476" s="60" t="e">
        <f>INT([2]DOWNTIME!$F858*1440)</f>
        <v>#REF!</v>
      </c>
      <c r="K476" s="60"/>
      <c r="L476" s="60"/>
    </row>
    <row r="477" spans="1:12" ht="14.25" hidden="1" customHeight="1">
      <c r="A477" s="72"/>
      <c r="B477" s="60"/>
      <c r="C477" s="60"/>
      <c r="D477" s="61"/>
      <c r="E477" s="61"/>
      <c r="F477" s="65">
        <f t="shared" si="27"/>
        <v>0</v>
      </c>
      <c r="G477" s="59">
        <f t="shared" si="28"/>
        <v>0</v>
      </c>
      <c r="H477" s="70"/>
      <c r="I477" s="70"/>
      <c r="J477" s="60" t="e">
        <f>INT([2]DOWNTIME!$F859*1440)</f>
        <v>#REF!</v>
      </c>
      <c r="K477" s="60"/>
      <c r="L477" s="60"/>
    </row>
    <row r="478" spans="1:12" ht="14.25" hidden="1" customHeight="1">
      <c r="A478" s="72"/>
      <c r="B478" s="60"/>
      <c r="C478" s="60"/>
      <c r="D478" s="61"/>
      <c r="E478" s="61"/>
      <c r="F478" s="65">
        <f t="shared" si="27"/>
        <v>0</v>
      </c>
      <c r="G478" s="59">
        <f t="shared" si="28"/>
        <v>0</v>
      </c>
      <c r="H478" s="70"/>
      <c r="I478" s="70"/>
      <c r="J478" s="60" t="e">
        <f>INT([2]DOWNTIME!$F860*1440)</f>
        <v>#REF!</v>
      </c>
      <c r="K478" s="60"/>
      <c r="L478" s="60"/>
    </row>
    <row r="479" spans="1:12" ht="14.25" hidden="1" customHeight="1">
      <c r="A479" s="72"/>
      <c r="B479" s="60"/>
      <c r="C479" s="60"/>
      <c r="D479" s="61"/>
      <c r="E479" s="61"/>
      <c r="F479" s="65">
        <f t="shared" si="27"/>
        <v>0</v>
      </c>
      <c r="G479" s="59">
        <f t="shared" si="28"/>
        <v>0</v>
      </c>
      <c r="H479" s="70"/>
      <c r="I479" s="70"/>
      <c r="J479" s="60" t="e">
        <f>INT([2]DOWNTIME!$F861*1440)</f>
        <v>#REF!</v>
      </c>
      <c r="K479" s="60"/>
      <c r="L479" s="60"/>
    </row>
    <row r="480" spans="1:12" ht="14.25" hidden="1" customHeight="1">
      <c r="A480" s="72"/>
      <c r="B480" s="60"/>
      <c r="C480" s="60"/>
      <c r="D480" s="61"/>
      <c r="E480" s="61"/>
      <c r="F480" s="65">
        <f t="shared" si="27"/>
        <v>0</v>
      </c>
      <c r="G480" s="59">
        <f t="shared" si="28"/>
        <v>0</v>
      </c>
      <c r="H480" s="70"/>
      <c r="I480" s="70"/>
      <c r="J480" s="60" t="e">
        <f>INT([2]DOWNTIME!$F862*1440)</f>
        <v>#REF!</v>
      </c>
      <c r="K480" s="60"/>
      <c r="L480" s="60"/>
    </row>
    <row r="481" spans="1:12" ht="14.25" hidden="1" customHeight="1">
      <c r="A481" s="72"/>
      <c r="B481" s="60"/>
      <c r="C481" s="60"/>
      <c r="D481" s="61"/>
      <c r="E481" s="61"/>
      <c r="F481" s="65">
        <f t="shared" si="27"/>
        <v>0</v>
      </c>
      <c r="G481" s="59">
        <f t="shared" si="28"/>
        <v>0</v>
      </c>
      <c r="H481" s="70"/>
      <c r="I481" s="70"/>
      <c r="J481" s="60" t="e">
        <f>INT([2]DOWNTIME!$F863*1440)</f>
        <v>#REF!</v>
      </c>
      <c r="K481" s="60"/>
      <c r="L481" s="60"/>
    </row>
    <row r="482" spans="1:12" ht="14.25" hidden="1" customHeight="1">
      <c r="A482" s="72"/>
      <c r="B482" s="60"/>
      <c r="C482" s="60"/>
      <c r="D482" s="61"/>
      <c r="E482" s="61"/>
      <c r="F482" s="65">
        <f t="shared" si="27"/>
        <v>0</v>
      </c>
      <c r="G482" s="59">
        <f t="shared" si="28"/>
        <v>0</v>
      </c>
      <c r="H482" s="70"/>
      <c r="I482" s="70"/>
      <c r="J482" s="60" t="e">
        <f>INT([2]DOWNTIME!$F864*1440)</f>
        <v>#REF!</v>
      </c>
      <c r="K482" s="60"/>
      <c r="L482" s="60"/>
    </row>
    <row r="483" spans="1:12" ht="14.25" hidden="1" customHeight="1">
      <c r="A483" s="72"/>
      <c r="B483" s="60"/>
      <c r="C483" s="60"/>
      <c r="D483" s="61"/>
      <c r="E483" s="61"/>
      <c r="F483" s="65">
        <f t="shared" si="27"/>
        <v>0</v>
      </c>
      <c r="G483" s="59">
        <f t="shared" si="28"/>
        <v>0</v>
      </c>
      <c r="H483" s="70"/>
      <c r="I483" s="70"/>
      <c r="J483" s="60" t="e">
        <f>INT([2]DOWNTIME!$F865*1440)</f>
        <v>#REF!</v>
      </c>
      <c r="K483" s="60"/>
      <c r="L483" s="60"/>
    </row>
    <row r="484" spans="1:12" ht="14.25" hidden="1" customHeight="1">
      <c r="A484" s="72"/>
      <c r="B484" s="60"/>
      <c r="C484" s="60"/>
      <c r="D484" s="61"/>
      <c r="E484" s="61"/>
      <c r="F484" s="65">
        <f t="shared" si="27"/>
        <v>0</v>
      </c>
      <c r="G484" s="59">
        <f t="shared" si="28"/>
        <v>0</v>
      </c>
      <c r="H484" s="70"/>
      <c r="I484" s="70"/>
      <c r="J484" s="60" t="e">
        <f>INT([2]DOWNTIME!$F866*1440)</f>
        <v>#REF!</v>
      </c>
      <c r="K484" s="60"/>
      <c r="L484" s="60"/>
    </row>
    <row r="485" spans="1:12" ht="14.25" hidden="1" customHeight="1">
      <c r="A485" s="72"/>
      <c r="B485" s="60"/>
      <c r="C485" s="60"/>
      <c r="D485" s="61"/>
      <c r="E485" s="61"/>
      <c r="F485" s="65">
        <f t="shared" si="27"/>
        <v>0</v>
      </c>
      <c r="G485" s="59">
        <f t="shared" si="28"/>
        <v>0</v>
      </c>
      <c r="H485" s="70"/>
      <c r="I485" s="70"/>
      <c r="J485" s="60" t="e">
        <f>INT([2]DOWNTIME!$F867*1440)</f>
        <v>#REF!</v>
      </c>
      <c r="K485" s="60"/>
      <c r="L485" s="60"/>
    </row>
    <row r="486" spans="1:12" ht="14.25" hidden="1" customHeight="1">
      <c r="A486" s="72"/>
      <c r="B486" s="60"/>
      <c r="C486" s="60"/>
      <c r="D486" s="61"/>
      <c r="E486" s="61"/>
      <c r="F486" s="65">
        <f t="shared" si="27"/>
        <v>0</v>
      </c>
      <c r="G486" s="59">
        <f t="shared" si="28"/>
        <v>0</v>
      </c>
      <c r="H486" s="70"/>
      <c r="I486" s="70"/>
      <c r="J486" s="60" t="e">
        <f>INT([2]DOWNTIME!$F868*1440)</f>
        <v>#REF!</v>
      </c>
      <c r="K486" s="60"/>
      <c r="L486" s="60"/>
    </row>
    <row r="487" spans="1:12" ht="14.25" hidden="1" customHeight="1">
      <c r="A487" s="72"/>
      <c r="B487" s="60"/>
      <c r="C487" s="60"/>
      <c r="D487" s="61"/>
      <c r="E487" s="61"/>
      <c r="F487" s="65">
        <f t="shared" si="27"/>
        <v>0</v>
      </c>
      <c r="G487" s="59">
        <f t="shared" si="28"/>
        <v>0</v>
      </c>
      <c r="H487" s="70"/>
      <c r="I487" s="70"/>
      <c r="J487" s="60" t="e">
        <f>INT([2]DOWNTIME!$F869*1440)</f>
        <v>#REF!</v>
      </c>
      <c r="K487" s="60"/>
      <c r="L487" s="60"/>
    </row>
    <row r="488" spans="1:12" ht="14.25" hidden="1" customHeight="1">
      <c r="A488" s="72"/>
      <c r="B488" s="60"/>
      <c r="C488" s="60"/>
      <c r="D488" s="61"/>
      <c r="E488" s="61"/>
      <c r="F488" s="65">
        <f t="shared" si="27"/>
        <v>0</v>
      </c>
      <c r="G488" s="59">
        <f t="shared" si="28"/>
        <v>0</v>
      </c>
      <c r="H488" s="70"/>
      <c r="I488" s="70"/>
      <c r="J488" s="60" t="e">
        <f>INT([2]DOWNTIME!$F870*1440)</f>
        <v>#REF!</v>
      </c>
      <c r="K488" s="60"/>
      <c r="L488" s="60"/>
    </row>
    <row r="489" spans="1:12" ht="14.25" hidden="1" customHeight="1">
      <c r="A489" s="72"/>
      <c r="B489" s="60"/>
      <c r="C489" s="60"/>
      <c r="D489" s="61"/>
      <c r="E489" s="61"/>
      <c r="F489" s="65">
        <f t="shared" si="27"/>
        <v>0</v>
      </c>
      <c r="G489" s="59">
        <f t="shared" si="28"/>
        <v>0</v>
      </c>
      <c r="H489" s="70"/>
      <c r="I489" s="70"/>
      <c r="J489" s="60" t="e">
        <f>INT([2]DOWNTIME!$F871*1440)</f>
        <v>#REF!</v>
      </c>
      <c r="K489" s="60"/>
      <c r="L489" s="60"/>
    </row>
    <row r="490" spans="1:12" ht="14.25" hidden="1" customHeight="1">
      <c r="A490" s="72"/>
      <c r="B490" s="60"/>
      <c r="C490" s="60"/>
      <c r="D490" s="61"/>
      <c r="E490" s="61"/>
      <c r="F490" s="65">
        <f t="shared" si="27"/>
        <v>0</v>
      </c>
      <c r="G490" s="59">
        <f t="shared" si="28"/>
        <v>0</v>
      </c>
      <c r="H490" s="70"/>
      <c r="I490" s="70"/>
      <c r="J490" s="60" t="e">
        <f>INT([2]DOWNTIME!$F872*1440)</f>
        <v>#REF!</v>
      </c>
      <c r="K490" s="60"/>
      <c r="L490" s="60"/>
    </row>
    <row r="491" spans="1:12" ht="14.25" hidden="1" customHeight="1">
      <c r="A491" s="72"/>
      <c r="B491" s="60"/>
      <c r="C491" s="60"/>
      <c r="D491" s="61"/>
      <c r="E491" s="61"/>
      <c r="F491" s="65">
        <f t="shared" si="27"/>
        <v>0</v>
      </c>
      <c r="G491" s="59">
        <f t="shared" si="28"/>
        <v>0</v>
      </c>
      <c r="H491" s="70"/>
      <c r="I491" s="70"/>
      <c r="J491" s="60" t="e">
        <f>INT([2]DOWNTIME!$F873*1440)</f>
        <v>#REF!</v>
      </c>
      <c r="K491" s="60"/>
      <c r="L491" s="60"/>
    </row>
    <row r="492" spans="1:12" ht="14.25" hidden="1" customHeight="1">
      <c r="A492" s="72"/>
      <c r="B492" s="60"/>
      <c r="C492" s="60"/>
      <c r="D492" s="61"/>
      <c r="E492" s="61"/>
      <c r="F492" s="65">
        <f t="shared" si="27"/>
        <v>0</v>
      </c>
      <c r="G492" s="59">
        <f t="shared" si="28"/>
        <v>0</v>
      </c>
      <c r="H492" s="70"/>
      <c r="I492" s="70"/>
      <c r="J492" s="60" t="e">
        <f>INT([2]DOWNTIME!$F874*1440)</f>
        <v>#REF!</v>
      </c>
      <c r="K492" s="60"/>
      <c r="L492" s="60"/>
    </row>
    <row r="493" spans="1:12" ht="14.25" hidden="1" customHeight="1">
      <c r="A493" s="72"/>
      <c r="B493" s="60"/>
      <c r="C493" s="60"/>
      <c r="D493" s="61"/>
      <c r="E493" s="61"/>
      <c r="F493" s="65">
        <f t="shared" si="27"/>
        <v>0</v>
      </c>
      <c r="G493" s="59">
        <f t="shared" si="28"/>
        <v>0</v>
      </c>
      <c r="H493" s="70"/>
      <c r="I493" s="70"/>
      <c r="J493" s="60" t="e">
        <f>INT([2]DOWNTIME!$F875*1440)</f>
        <v>#REF!</v>
      </c>
      <c r="K493" s="60"/>
      <c r="L493" s="60"/>
    </row>
    <row r="494" spans="1:12" ht="14.25" hidden="1" customHeight="1">
      <c r="A494" s="72"/>
      <c r="B494" s="60"/>
      <c r="C494" s="60"/>
      <c r="D494" s="61"/>
      <c r="E494" s="61"/>
      <c r="F494" s="65">
        <f t="shared" si="27"/>
        <v>0</v>
      </c>
      <c r="G494" s="59">
        <f t="shared" si="28"/>
        <v>0</v>
      </c>
      <c r="H494" s="70"/>
      <c r="I494" s="70"/>
      <c r="J494" s="60" t="e">
        <f>INT([2]DOWNTIME!$F876*1440)</f>
        <v>#REF!</v>
      </c>
      <c r="K494" s="60"/>
      <c r="L494" s="60"/>
    </row>
    <row r="495" spans="1:12" hidden="1">
      <c r="A495" s="72"/>
      <c r="B495" s="60"/>
      <c r="C495" s="60"/>
      <c r="D495" s="61"/>
      <c r="E495" s="61"/>
      <c r="F495" s="65">
        <f t="shared" si="27"/>
        <v>0</v>
      </c>
      <c r="G495" s="59">
        <f t="shared" si="28"/>
        <v>0</v>
      </c>
      <c r="H495" s="70"/>
      <c r="I495" s="70"/>
      <c r="J495" s="60" t="e">
        <f>INT([2]DOWNTIME!$F877*1440)</f>
        <v>#REF!</v>
      </c>
      <c r="K495" s="60"/>
      <c r="L495" s="60"/>
    </row>
    <row r="496" spans="1:12" ht="14.25" hidden="1" customHeight="1">
      <c r="A496" s="72"/>
      <c r="B496" s="60"/>
      <c r="C496" s="60"/>
      <c r="D496" s="61"/>
      <c r="E496" s="61"/>
      <c r="F496" s="65">
        <f t="shared" si="27"/>
        <v>0</v>
      </c>
      <c r="G496" s="59">
        <f t="shared" si="28"/>
        <v>0</v>
      </c>
      <c r="H496" s="70"/>
      <c r="I496" s="70"/>
      <c r="J496" s="60" t="e">
        <f>INT([2]DOWNTIME!$F878*1440)</f>
        <v>#REF!</v>
      </c>
      <c r="K496" s="60"/>
      <c r="L496" s="60"/>
    </row>
    <row r="497" spans="1:12" ht="14.25" hidden="1" customHeight="1">
      <c r="A497" s="72"/>
      <c r="B497" s="60"/>
      <c r="C497" s="60"/>
      <c r="D497" s="61"/>
      <c r="E497" s="61"/>
      <c r="F497" s="65">
        <f t="shared" si="27"/>
        <v>0</v>
      </c>
      <c r="G497" s="59">
        <f t="shared" si="28"/>
        <v>0</v>
      </c>
      <c r="H497" s="70"/>
      <c r="I497" s="70"/>
      <c r="J497" s="60" t="e">
        <f>INT([2]DOWNTIME!$F879*1440)</f>
        <v>#REF!</v>
      </c>
      <c r="K497" s="60"/>
      <c r="L497" s="60"/>
    </row>
    <row r="498" spans="1:12" ht="14.25" hidden="1" customHeight="1">
      <c r="A498" s="72"/>
      <c r="B498" s="60"/>
      <c r="C498" s="60"/>
      <c r="D498" s="61"/>
      <c r="E498" s="61"/>
      <c r="F498" s="65">
        <f t="shared" si="27"/>
        <v>0</v>
      </c>
      <c r="G498" s="59">
        <f t="shared" si="28"/>
        <v>0</v>
      </c>
      <c r="H498" s="70"/>
      <c r="I498" s="70"/>
      <c r="J498" s="60" t="e">
        <f>INT([2]DOWNTIME!$F880*1440)</f>
        <v>#REF!</v>
      </c>
      <c r="K498" s="60"/>
      <c r="L498" s="60"/>
    </row>
    <row r="499" spans="1:12" hidden="1">
      <c r="A499" s="72"/>
      <c r="B499" s="60"/>
      <c r="C499" s="60"/>
      <c r="D499" s="61"/>
      <c r="E499" s="61"/>
      <c r="F499" s="65">
        <f t="shared" si="27"/>
        <v>0</v>
      </c>
      <c r="G499" s="59">
        <f t="shared" si="28"/>
        <v>0</v>
      </c>
      <c r="H499" s="70"/>
      <c r="I499" s="70"/>
      <c r="J499" s="60" t="e">
        <f>INT([2]DOWNTIME!$F881*1440)</f>
        <v>#REF!</v>
      </c>
      <c r="K499" s="60"/>
      <c r="L499" s="60"/>
    </row>
    <row r="500" spans="1:12" ht="14.25" hidden="1" customHeight="1">
      <c r="A500" s="72"/>
      <c r="B500" s="60"/>
      <c r="C500" s="60"/>
      <c r="D500" s="61"/>
      <c r="E500" s="61"/>
      <c r="F500" s="65">
        <f t="shared" si="27"/>
        <v>0</v>
      </c>
      <c r="G500" s="59">
        <f t="shared" si="28"/>
        <v>0</v>
      </c>
      <c r="H500" s="70"/>
      <c r="I500" s="70"/>
      <c r="J500" s="60" t="e">
        <f>INT([2]DOWNTIME!$F882*1440)</f>
        <v>#REF!</v>
      </c>
      <c r="K500" s="60"/>
      <c r="L500" s="60"/>
    </row>
    <row r="501" spans="1:12" ht="14.25" hidden="1" customHeight="1">
      <c r="A501" s="72"/>
      <c r="B501" s="60"/>
      <c r="C501" s="60"/>
      <c r="D501" s="61"/>
      <c r="E501" s="61"/>
      <c r="F501" s="65">
        <f t="shared" si="27"/>
        <v>0</v>
      </c>
      <c r="G501" s="59">
        <f t="shared" si="28"/>
        <v>0</v>
      </c>
      <c r="H501" s="70"/>
      <c r="I501" s="70"/>
      <c r="J501" s="60" t="e">
        <f>INT([2]DOWNTIME!$F883*1440)</f>
        <v>#REF!</v>
      </c>
      <c r="K501" s="60"/>
      <c r="L501" s="60"/>
    </row>
    <row r="502" spans="1:12" ht="14.25" hidden="1" customHeight="1">
      <c r="A502" s="72"/>
      <c r="B502" s="60"/>
      <c r="C502" s="60"/>
      <c r="D502" s="61"/>
      <c r="E502" s="61"/>
      <c r="F502" s="65">
        <f t="shared" si="27"/>
        <v>0</v>
      </c>
      <c r="G502" s="59">
        <f t="shared" si="28"/>
        <v>0</v>
      </c>
      <c r="H502" s="70"/>
      <c r="I502" s="70"/>
      <c r="J502" s="60" t="e">
        <f>INT([2]DOWNTIME!$F884*1440)</f>
        <v>#REF!</v>
      </c>
      <c r="K502" s="60"/>
      <c r="L502" s="60"/>
    </row>
    <row r="503" spans="1:12" ht="14.25" hidden="1" customHeight="1">
      <c r="A503" s="72"/>
      <c r="B503" s="60"/>
      <c r="C503" s="60"/>
      <c r="D503" s="61"/>
      <c r="E503" s="61"/>
      <c r="F503" s="65">
        <f t="shared" si="27"/>
        <v>0</v>
      </c>
      <c r="G503" s="59">
        <f t="shared" si="28"/>
        <v>0</v>
      </c>
      <c r="H503" s="70"/>
      <c r="I503" s="70"/>
      <c r="J503" s="60" t="e">
        <f>INT([2]DOWNTIME!$F885*1440)</f>
        <v>#REF!</v>
      </c>
      <c r="K503" s="60"/>
      <c r="L503" s="60"/>
    </row>
    <row r="504" spans="1:12" ht="14.25" hidden="1" customHeight="1">
      <c r="A504" s="72"/>
      <c r="B504" s="60"/>
      <c r="C504" s="60"/>
      <c r="D504" s="61"/>
      <c r="E504" s="61"/>
      <c r="F504" s="65">
        <f t="shared" si="27"/>
        <v>0</v>
      </c>
      <c r="G504" s="59">
        <f t="shared" si="28"/>
        <v>0</v>
      </c>
      <c r="H504" s="70"/>
      <c r="I504" s="70"/>
      <c r="J504" s="60" t="e">
        <f>INT([2]DOWNTIME!$F886*1440)</f>
        <v>#REF!</v>
      </c>
      <c r="K504" s="60"/>
      <c r="L504" s="60"/>
    </row>
    <row r="505" spans="1:12" ht="14.25" hidden="1" customHeight="1">
      <c r="A505" s="72"/>
      <c r="B505" s="60"/>
      <c r="C505" s="60"/>
      <c r="D505" s="61"/>
      <c r="E505" s="61"/>
      <c r="F505" s="65">
        <f t="shared" si="27"/>
        <v>0</v>
      </c>
      <c r="G505" s="59">
        <f t="shared" si="28"/>
        <v>0</v>
      </c>
      <c r="H505" s="70"/>
      <c r="I505" s="70"/>
      <c r="J505" s="60" t="e">
        <f>INT([2]DOWNTIME!$F887*1440)</f>
        <v>#REF!</v>
      </c>
      <c r="K505" s="60"/>
      <c r="L505" s="60"/>
    </row>
    <row r="506" spans="1:12" ht="14.25" hidden="1" customHeight="1">
      <c r="A506" s="72"/>
      <c r="B506" s="60"/>
      <c r="C506" s="60"/>
      <c r="D506" s="61"/>
      <c r="E506" s="61"/>
      <c r="F506" s="65">
        <f t="shared" si="27"/>
        <v>0</v>
      </c>
      <c r="G506" s="59">
        <f t="shared" si="28"/>
        <v>0</v>
      </c>
      <c r="H506" s="70"/>
      <c r="I506" s="70"/>
      <c r="J506" s="60" t="e">
        <f>INT([2]DOWNTIME!$F888*1440)</f>
        <v>#REF!</v>
      </c>
      <c r="K506" s="60"/>
      <c r="L506" s="60"/>
    </row>
    <row r="507" spans="1:12" ht="14.25" hidden="1" customHeight="1">
      <c r="A507" s="72"/>
      <c r="B507" s="60"/>
      <c r="C507" s="60"/>
      <c r="D507" s="61"/>
      <c r="E507" s="61"/>
      <c r="F507" s="65">
        <f t="shared" si="27"/>
        <v>0</v>
      </c>
      <c r="G507" s="59">
        <f t="shared" si="28"/>
        <v>0</v>
      </c>
      <c r="H507" s="70"/>
      <c r="I507" s="70"/>
      <c r="J507" s="60" t="e">
        <f>INT([2]DOWNTIME!$F889*1440)</f>
        <v>#REF!</v>
      </c>
      <c r="K507" s="60"/>
      <c r="L507" s="60"/>
    </row>
    <row r="508" spans="1:12" ht="14.25" hidden="1" customHeight="1">
      <c r="A508" s="72"/>
      <c r="B508" s="60"/>
      <c r="C508" s="60"/>
      <c r="D508" s="61"/>
      <c r="E508" s="61"/>
      <c r="F508" s="65">
        <f t="shared" si="27"/>
        <v>0</v>
      </c>
      <c r="G508" s="59">
        <f t="shared" si="28"/>
        <v>0</v>
      </c>
      <c r="H508" s="70"/>
      <c r="I508" s="70"/>
      <c r="J508" s="60" t="e">
        <f>INT([2]DOWNTIME!$F890*1440)</f>
        <v>#REF!</v>
      </c>
      <c r="K508" s="60"/>
      <c r="L508" s="60"/>
    </row>
    <row r="509" spans="1:12" ht="14.25" hidden="1" customHeight="1">
      <c r="A509" s="72"/>
      <c r="B509" s="60"/>
      <c r="C509" s="60"/>
      <c r="D509" s="61"/>
      <c r="E509" s="61"/>
      <c r="F509" s="65">
        <f t="shared" si="27"/>
        <v>0</v>
      </c>
      <c r="G509" s="59">
        <f t="shared" si="28"/>
        <v>0</v>
      </c>
      <c r="H509" s="70"/>
      <c r="I509" s="70"/>
      <c r="J509" s="60" t="e">
        <f>INT([2]DOWNTIME!$F891*1440)</f>
        <v>#REF!</v>
      </c>
      <c r="K509" s="60"/>
      <c r="L509" s="60"/>
    </row>
    <row r="510" spans="1:12" hidden="1">
      <c r="A510" s="72"/>
      <c r="B510" s="60"/>
      <c r="C510" s="60"/>
      <c r="D510" s="61"/>
      <c r="E510" s="61"/>
      <c r="F510" s="65">
        <f t="shared" si="27"/>
        <v>0</v>
      </c>
      <c r="G510" s="59">
        <f t="shared" si="28"/>
        <v>0</v>
      </c>
      <c r="H510" s="70"/>
      <c r="I510" s="70"/>
      <c r="J510" s="60" t="e">
        <f>INT([2]DOWNTIME!$F892*1440)</f>
        <v>#REF!</v>
      </c>
      <c r="K510" s="60"/>
      <c r="L510" s="60"/>
    </row>
    <row r="511" spans="1:12" ht="14.25" hidden="1" customHeight="1">
      <c r="A511" s="72"/>
      <c r="B511" s="60"/>
      <c r="C511" s="60"/>
      <c r="D511" s="61"/>
      <c r="E511" s="61"/>
      <c r="F511" s="65">
        <f t="shared" ref="F511:F533" si="29">+(E511-D511)</f>
        <v>0</v>
      </c>
      <c r="G511" s="59">
        <f t="shared" si="28"/>
        <v>0</v>
      </c>
      <c r="H511" s="70"/>
      <c r="I511" s="70"/>
      <c r="J511" s="60" t="e">
        <f>INT([2]DOWNTIME!$F893*1440)</f>
        <v>#REF!</v>
      </c>
      <c r="K511" s="60"/>
      <c r="L511" s="60"/>
    </row>
    <row r="512" spans="1:12" ht="14.25" hidden="1" customHeight="1">
      <c r="A512" s="72"/>
      <c r="B512" s="60"/>
      <c r="C512" s="60"/>
      <c r="D512" s="61"/>
      <c r="E512" s="61"/>
      <c r="F512" s="65">
        <f t="shared" si="29"/>
        <v>0</v>
      </c>
      <c r="G512" s="59">
        <f t="shared" si="28"/>
        <v>0</v>
      </c>
      <c r="H512" s="70"/>
      <c r="I512" s="70"/>
      <c r="J512" s="60" t="e">
        <f>INT([2]DOWNTIME!$F894*1440)</f>
        <v>#REF!</v>
      </c>
      <c r="K512" s="60"/>
      <c r="L512" s="60"/>
    </row>
    <row r="513" spans="1:12" hidden="1">
      <c r="A513" s="72"/>
      <c r="B513" s="60"/>
      <c r="C513" s="60"/>
      <c r="D513" s="61"/>
      <c r="E513" s="61"/>
      <c r="F513" s="65">
        <f t="shared" si="29"/>
        <v>0</v>
      </c>
      <c r="G513" s="59">
        <f t="shared" si="28"/>
        <v>0</v>
      </c>
      <c r="H513" s="70"/>
      <c r="I513" s="70"/>
      <c r="J513" s="60" t="e">
        <f>INT([2]DOWNTIME!$F895*1440)</f>
        <v>#REF!</v>
      </c>
      <c r="K513" s="60"/>
      <c r="L513" s="60"/>
    </row>
    <row r="514" spans="1:12" ht="14.25" hidden="1" customHeight="1">
      <c r="A514" s="72"/>
      <c r="B514" s="60"/>
      <c r="C514" s="60"/>
      <c r="D514" s="61"/>
      <c r="E514" s="61"/>
      <c r="F514" s="65">
        <f t="shared" si="29"/>
        <v>0</v>
      </c>
      <c r="G514" s="59">
        <f t="shared" si="28"/>
        <v>0</v>
      </c>
      <c r="H514" s="70"/>
      <c r="I514" s="70"/>
      <c r="J514" s="60" t="e">
        <f>INT([2]DOWNTIME!$F896*1440)</f>
        <v>#REF!</v>
      </c>
      <c r="K514" s="60"/>
      <c r="L514" s="60"/>
    </row>
    <row r="515" spans="1:12" ht="14.25" hidden="1" customHeight="1">
      <c r="A515" s="72"/>
      <c r="B515" s="60"/>
      <c r="C515" s="60"/>
      <c r="D515" s="61"/>
      <c r="E515" s="61"/>
      <c r="F515" s="65">
        <f t="shared" si="29"/>
        <v>0</v>
      </c>
      <c r="G515" s="59">
        <f t="shared" si="28"/>
        <v>0</v>
      </c>
      <c r="H515" s="70"/>
      <c r="I515" s="70"/>
      <c r="J515" s="60" t="e">
        <f>INT([2]DOWNTIME!$F897*1440)</f>
        <v>#REF!</v>
      </c>
      <c r="K515" s="60"/>
      <c r="L515" s="60"/>
    </row>
    <row r="516" spans="1:12" ht="14.25" hidden="1" customHeight="1">
      <c r="A516" s="72"/>
      <c r="B516" s="60"/>
      <c r="C516" s="60"/>
      <c r="D516" s="61"/>
      <c r="E516" s="61"/>
      <c r="F516" s="65">
        <f t="shared" si="29"/>
        <v>0</v>
      </c>
      <c r="G516" s="59">
        <f t="shared" si="28"/>
        <v>0</v>
      </c>
      <c r="H516" s="70"/>
      <c r="I516" s="70"/>
      <c r="J516" s="60" t="e">
        <f>INT([2]DOWNTIME!$F898*1440)</f>
        <v>#REF!</v>
      </c>
      <c r="K516" s="60"/>
      <c r="L516" s="60"/>
    </row>
    <row r="517" spans="1:12" ht="14.25" hidden="1" customHeight="1">
      <c r="A517" s="72"/>
      <c r="B517" s="60"/>
      <c r="C517" s="60"/>
      <c r="D517" s="61"/>
      <c r="E517" s="61"/>
      <c r="F517" s="65">
        <f t="shared" si="29"/>
        <v>0</v>
      </c>
      <c r="G517" s="59">
        <f t="shared" si="28"/>
        <v>0</v>
      </c>
      <c r="H517" s="70"/>
      <c r="I517" s="70"/>
      <c r="J517" s="60" t="e">
        <f>INT([2]DOWNTIME!$F899*1440)</f>
        <v>#REF!</v>
      </c>
      <c r="K517" s="60"/>
      <c r="L517" s="60"/>
    </row>
    <row r="518" spans="1:12" ht="14.25" hidden="1" customHeight="1">
      <c r="A518" s="72"/>
      <c r="B518" s="60"/>
      <c r="C518" s="60"/>
      <c r="D518" s="61"/>
      <c r="E518" s="61"/>
      <c r="F518" s="65">
        <f t="shared" si="29"/>
        <v>0</v>
      </c>
      <c r="G518" s="59">
        <f t="shared" si="28"/>
        <v>0</v>
      </c>
      <c r="H518" s="70"/>
      <c r="I518" s="70"/>
      <c r="J518" s="60" t="e">
        <f>INT([2]DOWNTIME!$F900*1440)</f>
        <v>#REF!</v>
      </c>
      <c r="K518" s="60"/>
      <c r="L518" s="60"/>
    </row>
    <row r="519" spans="1:12" ht="14.25" hidden="1" customHeight="1">
      <c r="A519" s="72"/>
      <c r="B519" s="60"/>
      <c r="C519" s="60"/>
      <c r="D519" s="61"/>
      <c r="E519" s="61"/>
      <c r="F519" s="65">
        <f t="shared" si="29"/>
        <v>0</v>
      </c>
      <c r="G519" s="59">
        <f t="shared" si="28"/>
        <v>0</v>
      </c>
      <c r="H519" s="70"/>
      <c r="I519" s="70"/>
      <c r="J519" s="60" t="e">
        <f>INT([2]DOWNTIME!$F901*1440)</f>
        <v>#REF!</v>
      </c>
      <c r="K519" s="60"/>
      <c r="L519" s="60"/>
    </row>
    <row r="520" spans="1:12" ht="14.25" hidden="1" customHeight="1">
      <c r="A520" s="72"/>
      <c r="B520" s="60"/>
      <c r="C520" s="60"/>
      <c r="D520" s="61"/>
      <c r="E520" s="61"/>
      <c r="F520" s="65">
        <f t="shared" si="29"/>
        <v>0</v>
      </c>
      <c r="G520" s="59">
        <f t="shared" si="28"/>
        <v>0</v>
      </c>
      <c r="H520" s="70"/>
      <c r="I520" s="70"/>
      <c r="J520" s="60" t="e">
        <f>INT([2]DOWNTIME!$F902*1440)</f>
        <v>#REF!</v>
      </c>
      <c r="K520" s="60"/>
      <c r="L520" s="60"/>
    </row>
    <row r="521" spans="1:12" ht="14.25" hidden="1" customHeight="1">
      <c r="A521" s="72"/>
      <c r="B521" s="60"/>
      <c r="C521" s="60"/>
      <c r="D521" s="61"/>
      <c r="E521" s="61"/>
      <c r="F521" s="65">
        <f t="shared" si="29"/>
        <v>0</v>
      </c>
      <c r="G521" s="59">
        <f t="shared" si="28"/>
        <v>0</v>
      </c>
      <c r="H521" s="70"/>
      <c r="I521" s="70"/>
      <c r="J521" s="60" t="e">
        <f>INT([2]DOWNTIME!$F903*1440)</f>
        <v>#REF!</v>
      </c>
      <c r="K521" s="60"/>
      <c r="L521" s="60"/>
    </row>
    <row r="522" spans="1:12" ht="14.25" hidden="1" customHeight="1">
      <c r="A522" s="72"/>
      <c r="B522" s="60"/>
      <c r="C522" s="60"/>
      <c r="D522" s="61"/>
      <c r="E522" s="61"/>
      <c r="F522" s="65">
        <f t="shared" si="29"/>
        <v>0</v>
      </c>
      <c r="G522" s="59">
        <f t="shared" si="28"/>
        <v>0</v>
      </c>
      <c r="H522" s="70"/>
      <c r="I522" s="70"/>
      <c r="J522" s="60" t="e">
        <f>INT([2]DOWNTIME!$F904*1440)</f>
        <v>#REF!</v>
      </c>
      <c r="K522" s="60"/>
      <c r="L522" s="60"/>
    </row>
    <row r="523" spans="1:12" ht="14.25" hidden="1" customHeight="1">
      <c r="A523" s="72"/>
      <c r="B523" s="60"/>
      <c r="C523" s="60"/>
      <c r="D523" s="61"/>
      <c r="E523" s="61"/>
      <c r="F523" s="65">
        <f t="shared" si="29"/>
        <v>0</v>
      </c>
      <c r="G523" s="59">
        <f t="shared" si="28"/>
        <v>0</v>
      </c>
      <c r="H523" s="70"/>
      <c r="I523" s="70"/>
      <c r="J523" s="60" t="e">
        <f>INT([2]DOWNTIME!$F905*1440)</f>
        <v>#REF!</v>
      </c>
      <c r="K523" s="60"/>
      <c r="L523" s="60"/>
    </row>
    <row r="524" spans="1:12" hidden="1">
      <c r="A524" s="72"/>
      <c r="B524" s="60"/>
      <c r="C524" s="60"/>
      <c r="D524" s="61"/>
      <c r="E524" s="61"/>
      <c r="F524" s="65">
        <f t="shared" si="29"/>
        <v>0</v>
      </c>
      <c r="G524" s="59">
        <f t="shared" si="28"/>
        <v>0</v>
      </c>
      <c r="H524" s="70"/>
      <c r="I524" s="70"/>
      <c r="J524" s="60" t="e">
        <f>INT([2]DOWNTIME!$F906*1440)</f>
        <v>#REF!</v>
      </c>
      <c r="K524" s="60"/>
      <c r="L524" s="60"/>
    </row>
    <row r="525" spans="1:12" hidden="1">
      <c r="A525" s="72"/>
      <c r="B525" s="60"/>
      <c r="C525" s="60"/>
      <c r="D525" s="61"/>
      <c r="E525" s="61"/>
      <c r="F525" s="65">
        <f t="shared" si="29"/>
        <v>0</v>
      </c>
      <c r="G525" s="59">
        <f t="shared" si="28"/>
        <v>0</v>
      </c>
      <c r="H525" s="70"/>
      <c r="I525" s="70"/>
      <c r="J525" s="60" t="e">
        <f>INT([2]DOWNTIME!$F907*1440)</f>
        <v>#REF!</v>
      </c>
      <c r="K525" s="60"/>
      <c r="L525" s="60"/>
    </row>
    <row r="526" spans="1:12" ht="14.25" hidden="1" customHeight="1">
      <c r="A526" s="72"/>
      <c r="B526" s="60"/>
      <c r="C526" s="60"/>
      <c r="D526" s="61"/>
      <c r="E526" s="61"/>
      <c r="F526" s="65">
        <f t="shared" si="29"/>
        <v>0</v>
      </c>
      <c r="G526" s="59">
        <f t="shared" si="28"/>
        <v>0</v>
      </c>
      <c r="H526" s="70"/>
      <c r="I526" s="70"/>
      <c r="J526" s="60" t="e">
        <f>INT([2]DOWNTIME!$F908*1440)</f>
        <v>#REF!</v>
      </c>
      <c r="K526" s="60"/>
      <c r="L526" s="60"/>
    </row>
    <row r="527" spans="1:12" ht="14.25" hidden="1" customHeight="1">
      <c r="A527" s="72"/>
      <c r="B527" s="60"/>
      <c r="C527" s="60"/>
      <c r="D527" s="61"/>
      <c r="E527" s="61"/>
      <c r="F527" s="65">
        <f t="shared" si="29"/>
        <v>0</v>
      </c>
      <c r="G527" s="59">
        <f t="shared" si="28"/>
        <v>0</v>
      </c>
      <c r="H527" s="70"/>
      <c r="I527" s="70"/>
      <c r="J527" s="60" t="e">
        <f>INT([2]DOWNTIME!$F909*1440)</f>
        <v>#REF!</v>
      </c>
      <c r="K527" s="60"/>
      <c r="L527" s="60"/>
    </row>
    <row r="528" spans="1:12" ht="14.25" hidden="1" customHeight="1">
      <c r="A528" s="72"/>
      <c r="B528" s="60"/>
      <c r="C528" s="60"/>
      <c r="D528" s="61"/>
      <c r="E528" s="61"/>
      <c r="F528" s="65">
        <f t="shared" si="29"/>
        <v>0</v>
      </c>
      <c r="G528" s="59">
        <f t="shared" si="28"/>
        <v>0</v>
      </c>
      <c r="H528" s="70"/>
      <c r="I528" s="70"/>
      <c r="J528" s="60" t="e">
        <f>INT([2]DOWNTIME!$F910*1440)</f>
        <v>#REF!</v>
      </c>
      <c r="K528" s="60"/>
      <c r="L528" s="60"/>
    </row>
    <row r="529" spans="1:12" ht="14.25" hidden="1" customHeight="1">
      <c r="A529" s="72"/>
      <c r="B529" s="60"/>
      <c r="C529" s="60"/>
      <c r="D529" s="61"/>
      <c r="E529" s="61"/>
      <c r="F529" s="65">
        <f t="shared" si="29"/>
        <v>0</v>
      </c>
      <c r="G529" s="59">
        <f t="shared" si="28"/>
        <v>0</v>
      </c>
      <c r="H529" s="70"/>
      <c r="I529" s="70"/>
      <c r="J529" s="60" t="e">
        <f>INT([2]DOWNTIME!$F911*1440)</f>
        <v>#REF!</v>
      </c>
      <c r="K529" s="60"/>
      <c r="L529" s="60"/>
    </row>
    <row r="530" spans="1:12" ht="14.25" hidden="1" customHeight="1">
      <c r="A530" s="72"/>
      <c r="B530" s="60"/>
      <c r="C530" s="60"/>
      <c r="D530" s="61"/>
      <c r="E530" s="61"/>
      <c r="F530" s="65">
        <f t="shared" si="29"/>
        <v>0</v>
      </c>
      <c r="G530" s="59">
        <f t="shared" si="28"/>
        <v>0</v>
      </c>
      <c r="H530" s="70"/>
      <c r="I530" s="70"/>
      <c r="J530" s="60" t="e">
        <f>INT([2]DOWNTIME!$F912*1440)</f>
        <v>#REF!</v>
      </c>
      <c r="K530" s="60"/>
      <c r="L530" s="60"/>
    </row>
    <row r="531" spans="1:12" hidden="1">
      <c r="A531" s="72"/>
      <c r="B531" s="60"/>
      <c r="C531" s="60"/>
      <c r="D531" s="61"/>
      <c r="E531" s="61"/>
      <c r="F531" s="65">
        <f t="shared" si="29"/>
        <v>0</v>
      </c>
      <c r="G531" s="59">
        <f t="shared" si="28"/>
        <v>0</v>
      </c>
      <c r="H531" s="70"/>
      <c r="I531" s="70"/>
      <c r="J531" s="60" t="e">
        <f>INT([2]DOWNTIME!$F913*1440)</f>
        <v>#REF!</v>
      </c>
      <c r="K531" s="60"/>
      <c r="L531" s="60"/>
    </row>
    <row r="532" spans="1:12" hidden="1">
      <c r="A532" s="72"/>
      <c r="B532" s="60"/>
      <c r="C532" s="60"/>
      <c r="D532" s="61"/>
      <c r="E532" s="61"/>
      <c r="F532" s="65">
        <f t="shared" si="29"/>
        <v>0</v>
      </c>
      <c r="G532" s="59">
        <f t="shared" si="28"/>
        <v>0</v>
      </c>
      <c r="H532" s="70"/>
      <c r="I532" s="70"/>
      <c r="J532" s="60" t="e">
        <f>INT([2]DOWNTIME!$F914*1440)</f>
        <v>#REF!</v>
      </c>
      <c r="K532" s="60"/>
      <c r="L532" s="60"/>
    </row>
    <row r="533" spans="1:12" ht="14.25" hidden="1" customHeight="1">
      <c r="A533" s="72"/>
      <c r="B533" s="60"/>
      <c r="C533" s="60"/>
      <c r="D533" s="61"/>
      <c r="E533" s="61"/>
      <c r="F533" s="65">
        <f t="shared" si="29"/>
        <v>0</v>
      </c>
      <c r="G533" s="59">
        <f t="shared" si="28"/>
        <v>0</v>
      </c>
      <c r="H533" s="70"/>
      <c r="I533" s="70"/>
      <c r="J533" s="60" t="e">
        <f>INT([2]DOWNTIME!$F915*1440)</f>
        <v>#REF!</v>
      </c>
      <c r="K533" s="60"/>
      <c r="L533" s="60"/>
    </row>
    <row r="534" spans="1:12" ht="14.25" hidden="1" customHeight="1">
      <c r="A534" s="72"/>
      <c r="B534" s="60"/>
      <c r="C534" s="60"/>
      <c r="D534" s="61"/>
      <c r="E534" s="61"/>
      <c r="F534" s="65">
        <f t="shared" ref="F534:F597" si="30">+(E534-D534)</f>
        <v>0</v>
      </c>
      <c r="G534" s="59">
        <f t="shared" ref="G534:G597" si="31">INT(F534*1440)</f>
        <v>0</v>
      </c>
      <c r="H534" s="70"/>
      <c r="I534" s="70"/>
      <c r="J534" s="60" t="e">
        <f>INT([2]DOWNTIME!$F916*1440)</f>
        <v>#REF!</v>
      </c>
      <c r="K534" s="60"/>
      <c r="L534" s="60"/>
    </row>
    <row r="535" spans="1:12" ht="14.25" hidden="1" customHeight="1">
      <c r="A535" s="72"/>
      <c r="B535" s="60"/>
      <c r="C535" s="60"/>
      <c r="D535" s="61"/>
      <c r="E535" s="61"/>
      <c r="F535" s="65">
        <f t="shared" si="30"/>
        <v>0</v>
      </c>
      <c r="G535" s="59">
        <f t="shared" si="31"/>
        <v>0</v>
      </c>
      <c r="H535" s="70"/>
      <c r="I535" s="70"/>
      <c r="J535" s="60" t="e">
        <f>INT([2]DOWNTIME!$F917*1440)</f>
        <v>#REF!</v>
      </c>
      <c r="K535" s="60"/>
      <c r="L535" s="60"/>
    </row>
    <row r="536" spans="1:12" ht="14.25" hidden="1" customHeight="1">
      <c r="A536" s="72"/>
      <c r="B536" s="60"/>
      <c r="C536" s="60"/>
      <c r="D536" s="61"/>
      <c r="E536" s="61"/>
      <c r="F536" s="65">
        <f t="shared" si="30"/>
        <v>0</v>
      </c>
      <c r="G536" s="59">
        <f t="shared" si="31"/>
        <v>0</v>
      </c>
      <c r="H536" s="70"/>
      <c r="I536" s="70"/>
      <c r="J536" s="60" t="e">
        <f>INT([2]DOWNTIME!$F918*1440)</f>
        <v>#REF!</v>
      </c>
      <c r="K536" s="60"/>
      <c r="L536" s="60"/>
    </row>
    <row r="537" spans="1:12" ht="14.25" hidden="1" customHeight="1">
      <c r="A537" s="72"/>
      <c r="B537" s="60"/>
      <c r="C537" s="60"/>
      <c r="D537" s="61"/>
      <c r="E537" s="61"/>
      <c r="F537" s="65">
        <f t="shared" si="30"/>
        <v>0</v>
      </c>
      <c r="G537" s="59">
        <f t="shared" si="31"/>
        <v>0</v>
      </c>
      <c r="H537" s="70"/>
      <c r="I537" s="70"/>
      <c r="J537" s="60" t="e">
        <f>INT([2]DOWNTIME!$F919*1440)</f>
        <v>#REF!</v>
      </c>
      <c r="K537" s="60"/>
      <c r="L537" s="60"/>
    </row>
    <row r="538" spans="1:12" ht="14.25" hidden="1" customHeight="1">
      <c r="A538" s="72"/>
      <c r="B538" s="60"/>
      <c r="C538" s="60"/>
      <c r="D538" s="61"/>
      <c r="E538" s="61"/>
      <c r="F538" s="65">
        <f t="shared" si="30"/>
        <v>0</v>
      </c>
      <c r="G538" s="59">
        <f t="shared" si="31"/>
        <v>0</v>
      </c>
      <c r="H538" s="70"/>
      <c r="I538" s="70"/>
      <c r="J538" s="60" t="e">
        <f>INT([2]DOWNTIME!$F920*1440)</f>
        <v>#REF!</v>
      </c>
      <c r="K538" s="60"/>
      <c r="L538" s="60"/>
    </row>
    <row r="539" spans="1:12" ht="14.25" hidden="1" customHeight="1">
      <c r="A539" s="72"/>
      <c r="B539" s="60"/>
      <c r="C539" s="60"/>
      <c r="D539" s="61"/>
      <c r="E539" s="61"/>
      <c r="F539" s="65">
        <f t="shared" si="30"/>
        <v>0</v>
      </c>
      <c r="G539" s="59">
        <f t="shared" si="31"/>
        <v>0</v>
      </c>
      <c r="H539" s="70"/>
      <c r="I539" s="70"/>
      <c r="J539" s="60" t="e">
        <f>INT([2]DOWNTIME!$F921*1440)</f>
        <v>#REF!</v>
      </c>
      <c r="K539" s="60"/>
      <c r="L539" s="60"/>
    </row>
    <row r="540" spans="1:12" hidden="1">
      <c r="A540" s="72"/>
      <c r="B540" s="60"/>
      <c r="C540" s="60"/>
      <c r="D540" s="61"/>
      <c r="E540" s="61"/>
      <c r="F540" s="65">
        <f t="shared" si="30"/>
        <v>0</v>
      </c>
      <c r="G540" s="59">
        <f t="shared" si="31"/>
        <v>0</v>
      </c>
      <c r="H540" s="70"/>
      <c r="I540" s="70"/>
      <c r="J540" s="60" t="e">
        <f>INT([2]DOWNTIME!$F922*1440)</f>
        <v>#REF!</v>
      </c>
      <c r="K540" s="60"/>
      <c r="L540" s="60"/>
    </row>
    <row r="541" spans="1:12" ht="14.25" hidden="1" customHeight="1">
      <c r="A541" s="72"/>
      <c r="B541" s="60"/>
      <c r="C541" s="60"/>
      <c r="D541" s="61"/>
      <c r="E541" s="61"/>
      <c r="F541" s="65">
        <f t="shared" si="30"/>
        <v>0</v>
      </c>
      <c r="G541" s="59">
        <f t="shared" si="31"/>
        <v>0</v>
      </c>
      <c r="H541" s="70"/>
      <c r="I541" s="70"/>
      <c r="J541" s="60" t="e">
        <f>INT([2]DOWNTIME!$F923*1440)</f>
        <v>#REF!</v>
      </c>
      <c r="K541" s="60"/>
      <c r="L541" s="60"/>
    </row>
    <row r="542" spans="1:12" ht="14.25" hidden="1" customHeight="1">
      <c r="A542" s="72"/>
      <c r="B542" s="60"/>
      <c r="C542" s="60"/>
      <c r="D542" s="61"/>
      <c r="E542" s="61"/>
      <c r="F542" s="65">
        <f t="shared" si="30"/>
        <v>0</v>
      </c>
      <c r="G542" s="59">
        <f t="shared" si="31"/>
        <v>0</v>
      </c>
      <c r="H542" s="70"/>
      <c r="I542" s="70"/>
      <c r="J542" s="60" t="e">
        <f>INT([2]DOWNTIME!$F924*1440)</f>
        <v>#REF!</v>
      </c>
      <c r="K542" s="60"/>
      <c r="L542" s="60"/>
    </row>
    <row r="543" spans="1:12" ht="14.25" hidden="1" customHeight="1">
      <c r="A543" s="72"/>
      <c r="B543" s="60"/>
      <c r="C543" s="60"/>
      <c r="D543" s="61"/>
      <c r="E543" s="61"/>
      <c r="F543" s="65">
        <f t="shared" si="30"/>
        <v>0</v>
      </c>
      <c r="G543" s="59">
        <f t="shared" si="31"/>
        <v>0</v>
      </c>
      <c r="H543" s="70"/>
      <c r="I543" s="70"/>
      <c r="J543" s="60" t="e">
        <f>INT([2]DOWNTIME!$F925*1440)</f>
        <v>#REF!</v>
      </c>
      <c r="K543" s="60"/>
      <c r="L543" s="60"/>
    </row>
    <row r="544" spans="1:12" ht="14.25" hidden="1" customHeight="1">
      <c r="A544" s="72"/>
      <c r="B544" s="60"/>
      <c r="C544" s="60"/>
      <c r="D544" s="61"/>
      <c r="E544" s="61"/>
      <c r="F544" s="65">
        <f t="shared" si="30"/>
        <v>0</v>
      </c>
      <c r="G544" s="59">
        <f t="shared" si="31"/>
        <v>0</v>
      </c>
      <c r="H544" s="70"/>
      <c r="I544" s="70"/>
      <c r="J544" s="60" t="e">
        <f>INT([2]DOWNTIME!$F926*1440)</f>
        <v>#REF!</v>
      </c>
      <c r="K544" s="60"/>
      <c r="L544" s="60"/>
    </row>
    <row r="545" spans="1:12" ht="14.25" hidden="1" customHeight="1">
      <c r="A545" s="72"/>
      <c r="B545" s="60"/>
      <c r="C545" s="60"/>
      <c r="D545" s="61"/>
      <c r="E545" s="61"/>
      <c r="F545" s="65">
        <f t="shared" si="30"/>
        <v>0</v>
      </c>
      <c r="G545" s="59">
        <f t="shared" si="31"/>
        <v>0</v>
      </c>
      <c r="H545" s="70"/>
      <c r="I545" s="70"/>
      <c r="J545" s="60" t="e">
        <f>INT([2]DOWNTIME!$F927*1440)</f>
        <v>#REF!</v>
      </c>
      <c r="K545" s="60"/>
      <c r="L545" s="60"/>
    </row>
    <row r="546" spans="1:12" ht="14.25" hidden="1" customHeight="1">
      <c r="A546" s="72"/>
      <c r="B546" s="60"/>
      <c r="C546" s="60"/>
      <c r="D546" s="61"/>
      <c r="E546" s="61"/>
      <c r="F546" s="65">
        <f t="shared" si="30"/>
        <v>0</v>
      </c>
      <c r="G546" s="59">
        <f t="shared" si="31"/>
        <v>0</v>
      </c>
      <c r="H546" s="70"/>
      <c r="I546" s="70"/>
      <c r="J546" s="60" t="e">
        <f>INT([2]DOWNTIME!$F928*1440)</f>
        <v>#REF!</v>
      </c>
      <c r="K546" s="60"/>
      <c r="L546" s="60"/>
    </row>
    <row r="547" spans="1:12" ht="14.25" hidden="1" customHeight="1">
      <c r="A547" s="72"/>
      <c r="B547" s="60"/>
      <c r="C547" s="60"/>
      <c r="D547" s="61"/>
      <c r="E547" s="61"/>
      <c r="F547" s="65">
        <f t="shared" si="30"/>
        <v>0</v>
      </c>
      <c r="G547" s="59">
        <f t="shared" si="31"/>
        <v>0</v>
      </c>
      <c r="H547" s="70"/>
      <c r="I547" s="70"/>
      <c r="J547" s="60" t="e">
        <f>INT([2]DOWNTIME!$F929*1440)</f>
        <v>#REF!</v>
      </c>
      <c r="K547" s="60"/>
      <c r="L547" s="60"/>
    </row>
    <row r="548" spans="1:12" ht="14.25" hidden="1" customHeight="1">
      <c r="A548" s="72"/>
      <c r="B548" s="60"/>
      <c r="C548" s="60"/>
      <c r="D548" s="61"/>
      <c r="E548" s="65"/>
      <c r="F548" s="65">
        <f t="shared" si="30"/>
        <v>0</v>
      </c>
      <c r="G548" s="59">
        <f t="shared" si="31"/>
        <v>0</v>
      </c>
      <c r="H548" s="70"/>
      <c r="I548" s="70"/>
      <c r="J548" s="60" t="e">
        <f>INT([2]DOWNTIME!$F930*1440)</f>
        <v>#REF!</v>
      </c>
      <c r="K548" s="60"/>
      <c r="L548" s="60"/>
    </row>
    <row r="549" spans="1:12" ht="14.25" hidden="1" customHeight="1">
      <c r="A549" s="72"/>
      <c r="B549" s="60"/>
      <c r="C549" s="60"/>
      <c r="D549" s="61"/>
      <c r="E549" s="61"/>
      <c r="F549" s="65">
        <f t="shared" si="30"/>
        <v>0</v>
      </c>
      <c r="G549" s="59">
        <f t="shared" si="31"/>
        <v>0</v>
      </c>
      <c r="H549" s="70"/>
      <c r="I549" s="70"/>
      <c r="J549" s="60" t="e">
        <f>INT([2]DOWNTIME!$F931*1440)</f>
        <v>#REF!</v>
      </c>
      <c r="K549" s="60"/>
      <c r="L549" s="60"/>
    </row>
    <row r="550" spans="1:12" ht="14.25" hidden="1" customHeight="1">
      <c r="A550" s="72"/>
      <c r="B550" s="60"/>
      <c r="C550" s="60"/>
      <c r="D550" s="61"/>
      <c r="E550" s="61"/>
      <c r="F550" s="65">
        <f t="shared" si="30"/>
        <v>0</v>
      </c>
      <c r="G550" s="59">
        <f t="shared" si="31"/>
        <v>0</v>
      </c>
      <c r="H550" s="70"/>
      <c r="I550" s="70"/>
      <c r="J550" s="60" t="e">
        <f>INT([2]DOWNTIME!$F932*1440)</f>
        <v>#REF!</v>
      </c>
      <c r="K550" s="60"/>
      <c r="L550" s="60"/>
    </row>
    <row r="551" spans="1:12" ht="14.25" hidden="1" customHeight="1">
      <c r="A551" s="72"/>
      <c r="B551" s="60"/>
      <c r="C551" s="60"/>
      <c r="D551" s="61"/>
      <c r="E551" s="61"/>
      <c r="F551" s="65">
        <f t="shared" si="30"/>
        <v>0</v>
      </c>
      <c r="G551" s="59">
        <f t="shared" si="31"/>
        <v>0</v>
      </c>
      <c r="H551" s="70"/>
      <c r="I551" s="70"/>
      <c r="J551" s="60" t="e">
        <f>INT([2]DOWNTIME!$F933*1440)</f>
        <v>#REF!</v>
      </c>
      <c r="K551" s="60"/>
      <c r="L551" s="60"/>
    </row>
    <row r="552" spans="1:12" ht="14.25" hidden="1" customHeight="1">
      <c r="A552" s="72"/>
      <c r="B552" s="60"/>
      <c r="C552" s="60"/>
      <c r="D552" s="61"/>
      <c r="E552" s="61"/>
      <c r="F552" s="65">
        <f t="shared" si="30"/>
        <v>0</v>
      </c>
      <c r="G552" s="59">
        <f t="shared" si="31"/>
        <v>0</v>
      </c>
      <c r="H552" s="70"/>
      <c r="I552" s="70"/>
      <c r="J552" s="60" t="e">
        <f>INT([2]DOWNTIME!$F934*1440)</f>
        <v>#REF!</v>
      </c>
      <c r="K552" s="60"/>
      <c r="L552" s="60"/>
    </row>
    <row r="553" spans="1:12" ht="14.25" hidden="1" customHeight="1">
      <c r="A553" s="72"/>
      <c r="B553" s="60"/>
      <c r="C553" s="60"/>
      <c r="D553" s="61"/>
      <c r="E553" s="61"/>
      <c r="F553" s="65">
        <f t="shared" si="30"/>
        <v>0</v>
      </c>
      <c r="G553" s="59">
        <f t="shared" si="31"/>
        <v>0</v>
      </c>
      <c r="H553" s="70"/>
      <c r="I553" s="70"/>
      <c r="J553" s="60" t="e">
        <f>INT([2]DOWNTIME!$F935*1440)</f>
        <v>#REF!</v>
      </c>
      <c r="K553" s="60"/>
      <c r="L553" s="60"/>
    </row>
    <row r="554" spans="1:12" ht="14.25" hidden="1" customHeight="1">
      <c r="A554" s="72"/>
      <c r="B554" s="60"/>
      <c r="C554" s="60"/>
      <c r="D554" s="61"/>
      <c r="E554" s="61"/>
      <c r="F554" s="65">
        <f t="shared" si="30"/>
        <v>0</v>
      </c>
      <c r="G554" s="59">
        <f t="shared" si="31"/>
        <v>0</v>
      </c>
      <c r="H554" s="70"/>
      <c r="I554" s="70"/>
      <c r="J554" s="60" t="e">
        <f>INT([2]DOWNTIME!$F936*1440)</f>
        <v>#REF!</v>
      </c>
      <c r="K554" s="60"/>
      <c r="L554" s="60"/>
    </row>
    <row r="555" spans="1:12" ht="14.25" hidden="1" customHeight="1">
      <c r="A555" s="72"/>
      <c r="B555" s="60"/>
      <c r="C555" s="60"/>
      <c r="D555" s="61"/>
      <c r="E555" s="61"/>
      <c r="F555" s="65">
        <f t="shared" si="30"/>
        <v>0</v>
      </c>
      <c r="G555" s="59">
        <f t="shared" si="31"/>
        <v>0</v>
      </c>
      <c r="H555" s="70"/>
      <c r="I555" s="70"/>
      <c r="J555" s="60" t="e">
        <f>INT([2]DOWNTIME!$F937*1440)</f>
        <v>#REF!</v>
      </c>
      <c r="K555" s="60"/>
      <c r="L555" s="60"/>
    </row>
    <row r="556" spans="1:12" ht="14.25" hidden="1" customHeight="1">
      <c r="A556" s="72"/>
      <c r="B556" s="60"/>
      <c r="C556" s="60"/>
      <c r="D556" s="61"/>
      <c r="E556" s="61"/>
      <c r="F556" s="65">
        <f t="shared" si="30"/>
        <v>0</v>
      </c>
      <c r="G556" s="59">
        <f t="shared" si="31"/>
        <v>0</v>
      </c>
      <c r="H556" s="70"/>
      <c r="I556" s="70"/>
      <c r="J556" s="60" t="e">
        <f>INT([2]DOWNTIME!$F938*1440)</f>
        <v>#REF!</v>
      </c>
      <c r="K556" s="60"/>
      <c r="L556" s="60"/>
    </row>
    <row r="557" spans="1:12" ht="14.25" hidden="1" customHeight="1">
      <c r="A557" s="72"/>
      <c r="B557" s="60"/>
      <c r="C557" s="60"/>
      <c r="D557" s="61"/>
      <c r="E557" s="61"/>
      <c r="F557" s="65">
        <f t="shared" si="30"/>
        <v>0</v>
      </c>
      <c r="G557" s="59">
        <f t="shared" si="31"/>
        <v>0</v>
      </c>
      <c r="H557" s="70"/>
      <c r="I557" s="70"/>
      <c r="J557" s="60" t="e">
        <f>INT([2]DOWNTIME!$F939*1440)</f>
        <v>#REF!</v>
      </c>
      <c r="K557" s="60"/>
      <c r="L557" s="60"/>
    </row>
    <row r="558" spans="1:12" ht="14.25" hidden="1" customHeight="1">
      <c r="A558" s="72"/>
      <c r="B558" s="60"/>
      <c r="C558" s="60"/>
      <c r="D558" s="61"/>
      <c r="E558" s="61"/>
      <c r="F558" s="65">
        <f t="shared" si="30"/>
        <v>0</v>
      </c>
      <c r="G558" s="59">
        <f t="shared" si="31"/>
        <v>0</v>
      </c>
      <c r="H558" s="70"/>
      <c r="I558" s="70"/>
      <c r="J558" s="60" t="e">
        <f>INT([2]DOWNTIME!$F940*1440)</f>
        <v>#REF!</v>
      </c>
      <c r="K558" s="60"/>
      <c r="L558" s="60"/>
    </row>
    <row r="559" spans="1:12" ht="14.25" hidden="1" customHeight="1">
      <c r="A559" s="72"/>
      <c r="B559" s="60"/>
      <c r="C559" s="60"/>
      <c r="D559" s="61"/>
      <c r="E559" s="61"/>
      <c r="F559" s="65">
        <f t="shared" si="30"/>
        <v>0</v>
      </c>
      <c r="G559" s="59">
        <f t="shared" si="31"/>
        <v>0</v>
      </c>
      <c r="H559" s="70"/>
      <c r="I559" s="70"/>
      <c r="J559" s="60" t="e">
        <f>INT([2]DOWNTIME!$F941*1440)</f>
        <v>#REF!</v>
      </c>
      <c r="K559" s="60"/>
      <c r="L559" s="60"/>
    </row>
    <row r="560" spans="1:12" ht="14.25" hidden="1" customHeight="1">
      <c r="A560" s="72"/>
      <c r="B560" s="60"/>
      <c r="C560" s="60"/>
      <c r="D560" s="61"/>
      <c r="E560" s="61"/>
      <c r="F560" s="65">
        <f t="shared" si="30"/>
        <v>0</v>
      </c>
      <c r="G560" s="59">
        <f t="shared" si="31"/>
        <v>0</v>
      </c>
      <c r="H560" s="70"/>
      <c r="I560" s="70"/>
      <c r="J560" s="60" t="e">
        <f>INT([2]DOWNTIME!$F942*1440)</f>
        <v>#REF!</v>
      </c>
      <c r="K560" s="60"/>
      <c r="L560" s="60"/>
    </row>
    <row r="561" spans="1:12" hidden="1">
      <c r="A561" s="72"/>
      <c r="B561" s="60"/>
      <c r="C561" s="60"/>
      <c r="D561" s="61"/>
      <c r="E561" s="61"/>
      <c r="F561" s="65">
        <f t="shared" si="30"/>
        <v>0</v>
      </c>
      <c r="G561" s="59">
        <f t="shared" si="31"/>
        <v>0</v>
      </c>
      <c r="H561" s="70"/>
      <c r="I561" s="70"/>
      <c r="J561" s="60" t="e">
        <f>INT([2]DOWNTIME!$F943*1440)</f>
        <v>#REF!</v>
      </c>
      <c r="K561" s="60"/>
      <c r="L561" s="60"/>
    </row>
    <row r="562" spans="1:12" hidden="1">
      <c r="A562" s="72"/>
      <c r="B562" s="60"/>
      <c r="C562" s="60"/>
      <c r="D562" s="61"/>
      <c r="E562" s="61"/>
      <c r="F562" s="65">
        <f t="shared" si="30"/>
        <v>0</v>
      </c>
      <c r="G562" s="59">
        <f t="shared" si="31"/>
        <v>0</v>
      </c>
      <c r="H562" s="70"/>
      <c r="I562" s="70"/>
      <c r="J562" s="60" t="e">
        <f>INT([2]DOWNTIME!$F944*1440)</f>
        <v>#REF!</v>
      </c>
      <c r="K562" s="60"/>
      <c r="L562" s="60"/>
    </row>
    <row r="563" spans="1:12" ht="14.25" hidden="1" customHeight="1">
      <c r="A563" s="72"/>
      <c r="B563" s="60"/>
      <c r="C563" s="60"/>
      <c r="D563" s="61"/>
      <c r="E563" s="61"/>
      <c r="F563" s="65">
        <f t="shared" si="30"/>
        <v>0</v>
      </c>
      <c r="G563" s="59">
        <f t="shared" si="31"/>
        <v>0</v>
      </c>
      <c r="H563" s="70"/>
      <c r="I563" s="70"/>
      <c r="J563" s="60" t="e">
        <f>INT([2]DOWNTIME!$F945*1440)</f>
        <v>#REF!</v>
      </c>
      <c r="K563" s="60"/>
      <c r="L563" s="60"/>
    </row>
    <row r="564" spans="1:12" ht="14.25" hidden="1" customHeight="1">
      <c r="A564" s="72"/>
      <c r="B564" s="60"/>
      <c r="C564" s="60"/>
      <c r="D564" s="61"/>
      <c r="E564" s="61"/>
      <c r="F564" s="65">
        <f t="shared" si="30"/>
        <v>0</v>
      </c>
      <c r="G564" s="59">
        <f t="shared" si="31"/>
        <v>0</v>
      </c>
      <c r="H564" s="70"/>
      <c r="I564" s="70"/>
      <c r="J564" s="60" t="e">
        <f>INT([2]DOWNTIME!$F946*1440)</f>
        <v>#REF!</v>
      </c>
      <c r="K564" s="60"/>
      <c r="L564" s="60"/>
    </row>
    <row r="565" spans="1:12" ht="14.25" hidden="1" customHeight="1">
      <c r="A565" s="72"/>
      <c r="B565" s="60"/>
      <c r="C565" s="60"/>
      <c r="D565" s="188"/>
      <c r="E565" s="61"/>
      <c r="F565" s="65">
        <f t="shared" si="30"/>
        <v>0</v>
      </c>
      <c r="G565" s="59">
        <f t="shared" si="31"/>
        <v>0</v>
      </c>
      <c r="H565" s="70"/>
      <c r="I565" s="70"/>
      <c r="J565" s="60" t="e">
        <f>INT([2]DOWNTIME!$F947*1440)</f>
        <v>#REF!</v>
      </c>
      <c r="K565" s="60"/>
      <c r="L565" s="60"/>
    </row>
    <row r="566" spans="1:12" hidden="1">
      <c r="A566" s="72"/>
      <c r="B566" s="60"/>
      <c r="C566" s="60"/>
      <c r="D566" s="61"/>
      <c r="E566" s="61"/>
      <c r="F566" s="65">
        <f t="shared" si="30"/>
        <v>0</v>
      </c>
      <c r="G566" s="59">
        <f t="shared" si="31"/>
        <v>0</v>
      </c>
      <c r="H566" s="70"/>
      <c r="I566" s="70"/>
      <c r="J566" s="60" t="e">
        <f>INT([2]DOWNTIME!$F948*1440)</f>
        <v>#REF!</v>
      </c>
      <c r="K566" s="60"/>
      <c r="L566" s="60"/>
    </row>
    <row r="567" spans="1:12" hidden="1">
      <c r="A567" s="72"/>
      <c r="B567" s="60"/>
      <c r="C567" s="60"/>
      <c r="D567" s="61"/>
      <c r="E567" s="61"/>
      <c r="F567" s="65">
        <f t="shared" si="30"/>
        <v>0</v>
      </c>
      <c r="G567" s="59">
        <f t="shared" si="31"/>
        <v>0</v>
      </c>
      <c r="H567" s="70"/>
      <c r="I567" s="70"/>
      <c r="J567" s="60" t="e">
        <f>INT([2]DOWNTIME!$F949*1440)</f>
        <v>#REF!</v>
      </c>
      <c r="K567" s="60"/>
      <c r="L567" s="60"/>
    </row>
    <row r="568" spans="1:12" ht="14.25" hidden="1" customHeight="1">
      <c r="A568" s="72"/>
      <c r="B568" s="60"/>
      <c r="C568" s="60"/>
      <c r="D568" s="61"/>
      <c r="E568" s="61"/>
      <c r="F568" s="65">
        <f t="shared" si="30"/>
        <v>0</v>
      </c>
      <c r="G568" s="59">
        <f t="shared" si="31"/>
        <v>0</v>
      </c>
      <c r="H568" s="70"/>
      <c r="I568" s="70"/>
      <c r="J568" s="60" t="e">
        <f>INT([2]DOWNTIME!$F950*1440)</f>
        <v>#REF!</v>
      </c>
      <c r="K568" s="60"/>
      <c r="L568" s="60"/>
    </row>
    <row r="569" spans="1:12" ht="14.25" hidden="1" customHeight="1">
      <c r="A569" s="72"/>
      <c r="B569" s="60"/>
      <c r="C569" s="60"/>
      <c r="D569" s="61"/>
      <c r="E569" s="61"/>
      <c r="F569" s="65">
        <f t="shared" si="30"/>
        <v>0</v>
      </c>
      <c r="G569" s="59">
        <f t="shared" si="31"/>
        <v>0</v>
      </c>
      <c r="H569" s="70"/>
      <c r="I569" s="70"/>
      <c r="J569" s="60" t="e">
        <f>INT([2]DOWNTIME!$F951*1440)</f>
        <v>#REF!</v>
      </c>
      <c r="K569" s="60"/>
      <c r="L569" s="60"/>
    </row>
    <row r="570" spans="1:12" ht="14.25" hidden="1" customHeight="1">
      <c r="A570" s="72"/>
      <c r="B570" s="60"/>
      <c r="C570" s="60"/>
      <c r="D570" s="61"/>
      <c r="E570" s="61"/>
      <c r="F570" s="65">
        <f t="shared" si="30"/>
        <v>0</v>
      </c>
      <c r="G570" s="59">
        <f t="shared" si="31"/>
        <v>0</v>
      </c>
      <c r="H570" s="70"/>
      <c r="I570" s="70"/>
      <c r="J570" s="60" t="e">
        <f>INT([2]DOWNTIME!$F952*1440)</f>
        <v>#REF!</v>
      </c>
      <c r="K570" s="60"/>
      <c r="L570" s="60"/>
    </row>
    <row r="571" spans="1:12" hidden="1">
      <c r="A571" s="72"/>
      <c r="B571" s="60"/>
      <c r="C571" s="60"/>
      <c r="D571" s="61"/>
      <c r="E571" s="61"/>
      <c r="F571" s="65">
        <f t="shared" si="30"/>
        <v>0</v>
      </c>
      <c r="G571" s="59">
        <f t="shared" si="31"/>
        <v>0</v>
      </c>
      <c r="H571" s="70"/>
      <c r="I571" s="70"/>
      <c r="J571" s="60" t="e">
        <f>INT([2]DOWNTIME!$F953*1440)</f>
        <v>#REF!</v>
      </c>
      <c r="K571" s="60"/>
      <c r="L571" s="60"/>
    </row>
    <row r="572" spans="1:12" hidden="1">
      <c r="A572" s="72"/>
      <c r="B572" s="60"/>
      <c r="C572" s="60"/>
      <c r="D572" s="61"/>
      <c r="E572" s="61"/>
      <c r="F572" s="65">
        <f t="shared" si="30"/>
        <v>0</v>
      </c>
      <c r="G572" s="59">
        <f t="shared" si="31"/>
        <v>0</v>
      </c>
      <c r="H572" s="70"/>
      <c r="I572" s="70"/>
      <c r="J572" s="60" t="e">
        <f>INT([2]DOWNTIME!$F954*1440)</f>
        <v>#REF!</v>
      </c>
      <c r="K572" s="60"/>
      <c r="L572" s="60"/>
    </row>
    <row r="573" spans="1:12" hidden="1">
      <c r="A573" s="72"/>
      <c r="B573" s="60"/>
      <c r="C573" s="60"/>
      <c r="D573" s="61"/>
      <c r="E573" s="61"/>
      <c r="F573" s="65">
        <f t="shared" si="30"/>
        <v>0</v>
      </c>
      <c r="G573" s="59">
        <f t="shared" si="31"/>
        <v>0</v>
      </c>
      <c r="H573" s="70"/>
      <c r="I573" s="70"/>
      <c r="J573" s="60" t="e">
        <f>INT([2]DOWNTIME!$F955*1440)</f>
        <v>#REF!</v>
      </c>
      <c r="K573" s="60"/>
      <c r="L573" s="60"/>
    </row>
    <row r="574" spans="1:12" ht="14.25" hidden="1" customHeight="1">
      <c r="A574" s="72"/>
      <c r="B574" s="60"/>
      <c r="C574" s="60"/>
      <c r="D574" s="61"/>
      <c r="E574" s="61"/>
      <c r="F574" s="65">
        <f t="shared" si="30"/>
        <v>0</v>
      </c>
      <c r="G574" s="59">
        <f t="shared" si="31"/>
        <v>0</v>
      </c>
      <c r="H574" s="70"/>
      <c r="I574" s="70"/>
      <c r="J574" s="60" t="e">
        <f>INT([2]DOWNTIME!$F956*1440)</f>
        <v>#REF!</v>
      </c>
      <c r="K574" s="60"/>
      <c r="L574" s="60"/>
    </row>
    <row r="575" spans="1:12" ht="14.25" hidden="1" customHeight="1">
      <c r="A575" s="72"/>
      <c r="B575" s="60"/>
      <c r="C575" s="60"/>
      <c r="D575" s="61"/>
      <c r="E575" s="61"/>
      <c r="F575" s="65">
        <f t="shared" si="30"/>
        <v>0</v>
      </c>
      <c r="G575" s="59">
        <f t="shared" si="31"/>
        <v>0</v>
      </c>
      <c r="H575" s="70"/>
      <c r="I575" s="70"/>
      <c r="J575" s="60" t="e">
        <f>INT([2]DOWNTIME!$F957*1440)</f>
        <v>#REF!</v>
      </c>
      <c r="K575" s="60"/>
      <c r="L575" s="60"/>
    </row>
    <row r="576" spans="1:12" ht="14.25" hidden="1" customHeight="1">
      <c r="A576" s="72"/>
      <c r="B576" s="60"/>
      <c r="C576" s="60"/>
      <c r="D576" s="61"/>
      <c r="E576" s="61"/>
      <c r="F576" s="65">
        <f t="shared" si="30"/>
        <v>0</v>
      </c>
      <c r="G576" s="59">
        <f t="shared" si="31"/>
        <v>0</v>
      </c>
      <c r="H576" s="70"/>
      <c r="I576" s="70"/>
      <c r="J576" s="60" t="e">
        <f>INT([2]DOWNTIME!$F958*1440)</f>
        <v>#REF!</v>
      </c>
      <c r="K576" s="60"/>
      <c r="L576" s="60"/>
    </row>
    <row r="577" spans="1:12" ht="14.25" hidden="1" customHeight="1">
      <c r="A577" s="72"/>
      <c r="B577" s="60"/>
      <c r="C577" s="60"/>
      <c r="D577" s="61"/>
      <c r="E577" s="61"/>
      <c r="F577" s="65">
        <f t="shared" si="30"/>
        <v>0</v>
      </c>
      <c r="G577" s="59">
        <f>INT(E577*1440)</f>
        <v>0</v>
      </c>
      <c r="H577" s="70"/>
      <c r="I577" s="70"/>
      <c r="J577" s="60" t="e">
        <f>INT([2]DOWNTIME!$F959*1440)</f>
        <v>#REF!</v>
      </c>
      <c r="K577" s="60"/>
      <c r="L577" s="60"/>
    </row>
    <row r="578" spans="1:12" ht="14.25" hidden="1" customHeight="1">
      <c r="A578" s="72"/>
      <c r="B578" s="60"/>
      <c r="C578" s="60"/>
      <c r="D578" s="61"/>
      <c r="E578" s="61"/>
      <c r="F578" s="65">
        <f t="shared" si="30"/>
        <v>0</v>
      </c>
      <c r="G578" s="59">
        <f t="shared" si="31"/>
        <v>0</v>
      </c>
      <c r="H578" s="70"/>
      <c r="I578" s="70"/>
      <c r="J578" s="60" t="e">
        <f>INT([2]DOWNTIME!$F960*1440)</f>
        <v>#REF!</v>
      </c>
      <c r="K578" s="60"/>
      <c r="L578" s="60"/>
    </row>
    <row r="579" spans="1:12" ht="14.25" hidden="1" customHeight="1">
      <c r="A579" s="72"/>
      <c r="B579" s="60"/>
      <c r="C579" s="60"/>
      <c r="D579" s="61"/>
      <c r="E579" s="61"/>
      <c r="F579" s="65">
        <f t="shared" si="30"/>
        <v>0</v>
      </c>
      <c r="G579" s="59">
        <f t="shared" si="31"/>
        <v>0</v>
      </c>
      <c r="H579" s="70"/>
      <c r="I579" s="70"/>
      <c r="J579" s="60" t="e">
        <f>INT([2]DOWNTIME!$F961*1440)</f>
        <v>#REF!</v>
      </c>
      <c r="K579" s="60"/>
      <c r="L579" s="60"/>
    </row>
    <row r="580" spans="1:12" ht="14.25" hidden="1" customHeight="1">
      <c r="A580" s="72"/>
      <c r="B580" s="60"/>
      <c r="C580" s="60"/>
      <c r="D580" s="61"/>
      <c r="E580" s="61"/>
      <c r="F580" s="65">
        <f t="shared" si="30"/>
        <v>0</v>
      </c>
      <c r="G580" s="59">
        <f t="shared" si="31"/>
        <v>0</v>
      </c>
      <c r="H580" s="70"/>
      <c r="I580" s="70"/>
      <c r="J580" s="60" t="e">
        <f>INT([2]DOWNTIME!$F962*1440)</f>
        <v>#REF!</v>
      </c>
      <c r="K580" s="60"/>
      <c r="L580" s="60"/>
    </row>
    <row r="581" spans="1:12" ht="14.25" hidden="1" customHeight="1">
      <c r="A581" s="72"/>
      <c r="B581" s="60"/>
      <c r="C581" s="60"/>
      <c r="D581" s="61"/>
      <c r="E581" s="61"/>
      <c r="F581" s="65">
        <f t="shared" si="30"/>
        <v>0</v>
      </c>
      <c r="G581" s="59">
        <f t="shared" si="31"/>
        <v>0</v>
      </c>
      <c r="H581" s="70"/>
      <c r="I581" s="70"/>
      <c r="J581" s="60" t="e">
        <f>INT([2]DOWNTIME!$F963*1440)</f>
        <v>#REF!</v>
      </c>
      <c r="K581" s="60"/>
      <c r="L581" s="60"/>
    </row>
    <row r="582" spans="1:12" ht="14.25" hidden="1" customHeight="1">
      <c r="A582" s="72"/>
      <c r="B582" s="60"/>
      <c r="C582" s="60"/>
      <c r="D582" s="61"/>
      <c r="E582" s="61"/>
      <c r="F582" s="65">
        <f t="shared" si="30"/>
        <v>0</v>
      </c>
      <c r="G582" s="59">
        <f t="shared" si="31"/>
        <v>0</v>
      </c>
      <c r="H582" s="70"/>
      <c r="I582" s="70"/>
      <c r="J582" s="60" t="e">
        <f>INT([2]DOWNTIME!$F964*1440)</f>
        <v>#REF!</v>
      </c>
      <c r="K582" s="60"/>
      <c r="L582" s="60"/>
    </row>
    <row r="583" spans="1:12" ht="14.25" hidden="1" customHeight="1">
      <c r="A583" s="72"/>
      <c r="B583" s="60"/>
      <c r="C583" s="60"/>
      <c r="D583" s="61"/>
      <c r="E583" s="61"/>
      <c r="F583" s="65">
        <f t="shared" si="30"/>
        <v>0</v>
      </c>
      <c r="G583" s="59">
        <f t="shared" si="31"/>
        <v>0</v>
      </c>
      <c r="H583" s="70"/>
      <c r="I583" s="70"/>
      <c r="J583" s="60" t="e">
        <f>INT([2]DOWNTIME!$F965*1440)</f>
        <v>#REF!</v>
      </c>
      <c r="K583" s="60"/>
      <c r="L583" s="60"/>
    </row>
    <row r="584" spans="1:12" ht="14.25" hidden="1" customHeight="1">
      <c r="A584" s="72"/>
      <c r="B584" s="60"/>
      <c r="C584" s="60"/>
      <c r="D584" s="61"/>
      <c r="E584" s="61"/>
      <c r="F584" s="65">
        <f t="shared" si="30"/>
        <v>0</v>
      </c>
      <c r="G584" s="59">
        <f t="shared" si="31"/>
        <v>0</v>
      </c>
      <c r="H584" s="70"/>
      <c r="I584" s="70"/>
      <c r="J584" s="60" t="e">
        <f>INT([2]DOWNTIME!$F966*1440)</f>
        <v>#REF!</v>
      </c>
      <c r="K584" s="60"/>
      <c r="L584" s="60"/>
    </row>
    <row r="585" spans="1:12" ht="14.25" hidden="1" customHeight="1">
      <c r="A585" s="72"/>
      <c r="B585" s="60"/>
      <c r="C585" s="60"/>
      <c r="D585" s="61"/>
      <c r="E585" s="61"/>
      <c r="F585" s="65">
        <f t="shared" si="30"/>
        <v>0</v>
      </c>
      <c r="G585" s="59">
        <f t="shared" si="31"/>
        <v>0</v>
      </c>
      <c r="H585" s="70"/>
      <c r="I585" s="70"/>
      <c r="J585" s="60" t="e">
        <f>INT([2]DOWNTIME!$F967*1440)</f>
        <v>#REF!</v>
      </c>
      <c r="K585" s="60"/>
      <c r="L585" s="60"/>
    </row>
    <row r="586" spans="1:12" ht="14.25" hidden="1" customHeight="1">
      <c r="A586" s="72"/>
      <c r="B586" s="60"/>
      <c r="C586" s="60"/>
      <c r="D586" s="61"/>
      <c r="E586" s="61"/>
      <c r="F586" s="65">
        <f t="shared" si="30"/>
        <v>0</v>
      </c>
      <c r="G586" s="59">
        <f t="shared" si="31"/>
        <v>0</v>
      </c>
      <c r="H586" s="70"/>
      <c r="I586" s="70"/>
      <c r="J586" s="60" t="e">
        <f>INT([2]DOWNTIME!$F968*1440)</f>
        <v>#REF!</v>
      </c>
      <c r="K586" s="60"/>
      <c r="L586" s="60"/>
    </row>
    <row r="587" spans="1:12" ht="14.25" hidden="1" customHeight="1">
      <c r="A587" s="72"/>
      <c r="B587" s="60"/>
      <c r="C587" s="60"/>
      <c r="D587" s="61"/>
      <c r="E587" s="61"/>
      <c r="F587" s="65">
        <f t="shared" si="30"/>
        <v>0</v>
      </c>
      <c r="G587" s="59">
        <f t="shared" si="31"/>
        <v>0</v>
      </c>
      <c r="H587" s="70"/>
      <c r="I587" s="70"/>
      <c r="J587" s="60" t="e">
        <f>INT([2]DOWNTIME!$F969*1440)</f>
        <v>#REF!</v>
      </c>
      <c r="K587" s="60"/>
      <c r="L587" s="60"/>
    </row>
    <row r="588" spans="1:12" ht="14.25" hidden="1" customHeight="1">
      <c r="A588" s="72"/>
      <c r="B588" s="60"/>
      <c r="C588" s="60"/>
      <c r="D588" s="61"/>
      <c r="E588" s="61"/>
      <c r="F588" s="65">
        <f t="shared" si="30"/>
        <v>0</v>
      </c>
      <c r="G588" s="59">
        <f t="shared" si="31"/>
        <v>0</v>
      </c>
      <c r="H588" s="70"/>
      <c r="I588" s="70"/>
      <c r="J588" s="60" t="e">
        <f>INT([2]DOWNTIME!$F970*1440)</f>
        <v>#REF!</v>
      </c>
      <c r="K588" s="60"/>
      <c r="L588" s="60"/>
    </row>
    <row r="589" spans="1:12" ht="14.25" hidden="1" customHeight="1">
      <c r="A589" s="72"/>
      <c r="B589" s="60"/>
      <c r="C589" s="60"/>
      <c r="D589" s="61"/>
      <c r="E589" s="61"/>
      <c r="F589" s="65">
        <f t="shared" si="30"/>
        <v>0</v>
      </c>
      <c r="G589" s="59">
        <f t="shared" si="31"/>
        <v>0</v>
      </c>
      <c r="H589" s="70"/>
      <c r="I589" s="70"/>
      <c r="J589" s="60" t="e">
        <f>INT([2]DOWNTIME!$F971*1440)</f>
        <v>#REF!</v>
      </c>
      <c r="K589" s="60"/>
      <c r="L589" s="60"/>
    </row>
    <row r="590" spans="1:12" ht="14.25" hidden="1" customHeight="1">
      <c r="A590" s="72"/>
      <c r="B590" s="60"/>
      <c r="C590" s="60"/>
      <c r="D590" s="61"/>
      <c r="E590" s="61"/>
      <c r="F590" s="65">
        <f t="shared" si="30"/>
        <v>0</v>
      </c>
      <c r="G590" s="59">
        <f t="shared" si="31"/>
        <v>0</v>
      </c>
      <c r="H590" s="70"/>
      <c r="I590" s="70"/>
      <c r="J590" s="60" t="e">
        <f>INT([2]DOWNTIME!$F972*1440)</f>
        <v>#REF!</v>
      </c>
      <c r="K590" s="60"/>
      <c r="L590" s="60"/>
    </row>
    <row r="591" spans="1:12" ht="14.25" hidden="1" customHeight="1">
      <c r="A591" s="72"/>
      <c r="B591" s="60"/>
      <c r="C591" s="60"/>
      <c r="D591" s="61"/>
      <c r="E591" s="61"/>
      <c r="F591" s="65">
        <f t="shared" si="30"/>
        <v>0</v>
      </c>
      <c r="G591" s="59">
        <f t="shared" si="31"/>
        <v>0</v>
      </c>
      <c r="H591" s="70"/>
      <c r="I591" s="70"/>
      <c r="J591" s="60" t="e">
        <f>INT([2]DOWNTIME!$F973*1440)</f>
        <v>#REF!</v>
      </c>
      <c r="K591" s="60"/>
      <c r="L591" s="60"/>
    </row>
    <row r="592" spans="1:12" ht="14.25" hidden="1" customHeight="1">
      <c r="A592" s="72"/>
      <c r="B592" s="60"/>
      <c r="C592" s="60"/>
      <c r="D592" s="61"/>
      <c r="E592" s="61"/>
      <c r="F592" s="65">
        <f t="shared" si="30"/>
        <v>0</v>
      </c>
      <c r="G592" s="59">
        <f t="shared" si="31"/>
        <v>0</v>
      </c>
      <c r="H592" s="70"/>
      <c r="I592" s="70"/>
      <c r="J592" s="60" t="e">
        <f>INT([2]DOWNTIME!$F974*1440)</f>
        <v>#REF!</v>
      </c>
      <c r="K592" s="60"/>
      <c r="L592" s="60"/>
    </row>
    <row r="593" spans="1:12" ht="14.25" hidden="1" customHeight="1">
      <c r="A593" s="72"/>
      <c r="B593" s="60"/>
      <c r="C593" s="60"/>
      <c r="D593" s="61"/>
      <c r="E593" s="61"/>
      <c r="F593" s="65">
        <f t="shared" si="30"/>
        <v>0</v>
      </c>
      <c r="G593" s="59">
        <f t="shared" si="31"/>
        <v>0</v>
      </c>
      <c r="H593" s="70"/>
      <c r="I593" s="70"/>
      <c r="J593" s="60" t="e">
        <f>INT([2]DOWNTIME!$F975*1440)</f>
        <v>#REF!</v>
      </c>
      <c r="K593" s="60"/>
      <c r="L593" s="60"/>
    </row>
    <row r="594" spans="1:12" ht="14.25" hidden="1" customHeight="1">
      <c r="A594" s="72"/>
      <c r="B594" s="58"/>
      <c r="C594" s="60"/>
      <c r="D594" s="61"/>
      <c r="E594" s="61"/>
      <c r="F594" s="65">
        <f t="shared" si="30"/>
        <v>0</v>
      </c>
      <c r="G594" s="59">
        <f t="shared" si="31"/>
        <v>0</v>
      </c>
      <c r="H594" s="70"/>
      <c r="I594" s="70"/>
      <c r="J594" s="60" t="e">
        <f>INT([2]DOWNTIME!$F976*1440)</f>
        <v>#REF!</v>
      </c>
      <c r="K594" s="60"/>
      <c r="L594" s="60"/>
    </row>
    <row r="595" spans="1:12" ht="14.25" hidden="1" customHeight="1">
      <c r="A595" s="72"/>
      <c r="B595" s="58"/>
      <c r="C595" s="60"/>
      <c r="D595" s="61"/>
      <c r="E595" s="61"/>
      <c r="F595" s="65">
        <f t="shared" si="30"/>
        <v>0</v>
      </c>
      <c r="G595" s="59">
        <f t="shared" si="31"/>
        <v>0</v>
      </c>
      <c r="H595" s="70"/>
      <c r="I595" s="70"/>
      <c r="J595" s="60" t="e">
        <f>INT([2]DOWNTIME!$F977*1440)</f>
        <v>#REF!</v>
      </c>
      <c r="K595" s="60"/>
      <c r="L595" s="60"/>
    </row>
    <row r="596" spans="1:12" ht="14.25" hidden="1" customHeight="1">
      <c r="A596" s="72"/>
      <c r="B596" s="58"/>
      <c r="C596" s="60"/>
      <c r="D596" s="61"/>
      <c r="E596" s="61"/>
      <c r="F596" s="65">
        <f t="shared" si="30"/>
        <v>0</v>
      </c>
      <c r="G596" s="59">
        <f t="shared" si="31"/>
        <v>0</v>
      </c>
      <c r="H596" s="70"/>
      <c r="I596" s="70"/>
      <c r="J596" s="60" t="e">
        <f>INT([2]DOWNTIME!$F978*1440)</f>
        <v>#REF!</v>
      </c>
      <c r="K596" s="60"/>
      <c r="L596" s="60"/>
    </row>
    <row r="597" spans="1:12" ht="14.25" hidden="1" customHeight="1">
      <c r="A597" s="72"/>
      <c r="B597" s="60"/>
      <c r="C597" s="60"/>
      <c r="D597" s="61"/>
      <c r="E597" s="61"/>
      <c r="F597" s="65">
        <f t="shared" si="30"/>
        <v>0</v>
      </c>
      <c r="G597" s="59">
        <f t="shared" si="31"/>
        <v>0</v>
      </c>
      <c r="H597" s="70"/>
      <c r="I597" s="70"/>
      <c r="J597" s="60" t="e">
        <f>INT([2]DOWNTIME!$F979*1440)</f>
        <v>#REF!</v>
      </c>
      <c r="K597" s="60"/>
      <c r="L597" s="60"/>
    </row>
    <row r="598" spans="1:12" ht="14.25" hidden="1" customHeight="1">
      <c r="A598" s="72"/>
      <c r="B598" s="60"/>
      <c r="C598" s="60"/>
      <c r="D598" s="61"/>
      <c r="E598" s="61"/>
      <c r="F598" s="65">
        <f t="shared" ref="F598:F631" si="32">+(E598-D598)</f>
        <v>0</v>
      </c>
      <c r="G598" s="59">
        <f t="shared" ref="G598:G631" si="33">INT(F598*1440)</f>
        <v>0</v>
      </c>
      <c r="H598" s="70"/>
      <c r="I598" s="70"/>
      <c r="J598" s="60" t="e">
        <f>INT([2]DOWNTIME!$F980*1440)</f>
        <v>#REF!</v>
      </c>
      <c r="K598" s="60"/>
      <c r="L598" s="60"/>
    </row>
    <row r="599" spans="1:12" ht="14.25" hidden="1" customHeight="1">
      <c r="A599" s="72"/>
      <c r="B599" s="60"/>
      <c r="C599" s="60"/>
      <c r="D599" s="61"/>
      <c r="E599" s="61"/>
      <c r="F599" s="65">
        <f t="shared" si="32"/>
        <v>0</v>
      </c>
      <c r="G599" s="59">
        <f t="shared" si="33"/>
        <v>0</v>
      </c>
      <c r="H599" s="70"/>
      <c r="I599" s="70"/>
      <c r="J599" s="60" t="e">
        <f>INT([2]DOWNTIME!$F981*1440)</f>
        <v>#REF!</v>
      </c>
      <c r="K599" s="60"/>
      <c r="L599" s="60"/>
    </row>
    <row r="600" spans="1:12" ht="14.25" hidden="1" customHeight="1">
      <c r="A600" s="72"/>
      <c r="B600" s="60"/>
      <c r="C600" s="60"/>
      <c r="D600" s="61"/>
      <c r="E600" s="61"/>
      <c r="F600" s="65">
        <f t="shared" si="32"/>
        <v>0</v>
      </c>
      <c r="G600" s="59">
        <f t="shared" si="33"/>
        <v>0</v>
      </c>
      <c r="H600" s="70"/>
      <c r="I600" s="70"/>
      <c r="J600" s="60" t="e">
        <f>INT([2]DOWNTIME!$F982*1440)</f>
        <v>#REF!</v>
      </c>
      <c r="K600" s="60"/>
      <c r="L600" s="60"/>
    </row>
    <row r="601" spans="1:12" ht="14.25" hidden="1" customHeight="1">
      <c r="A601" s="72"/>
      <c r="B601" s="60"/>
      <c r="C601" s="60"/>
      <c r="D601" s="61"/>
      <c r="E601" s="61"/>
      <c r="F601" s="65">
        <f t="shared" si="32"/>
        <v>0</v>
      </c>
      <c r="G601" s="59">
        <f t="shared" si="33"/>
        <v>0</v>
      </c>
      <c r="H601" s="70"/>
      <c r="I601" s="70"/>
      <c r="J601" s="60" t="e">
        <f>INT([2]DOWNTIME!$F983*1440)</f>
        <v>#REF!</v>
      </c>
      <c r="K601" s="60"/>
      <c r="L601" s="60"/>
    </row>
    <row r="602" spans="1:12" ht="14.25" hidden="1" customHeight="1">
      <c r="A602" s="72"/>
      <c r="B602" s="60"/>
      <c r="C602" s="60"/>
      <c r="D602" s="61"/>
      <c r="E602" s="61"/>
      <c r="F602" s="65">
        <f t="shared" si="32"/>
        <v>0</v>
      </c>
      <c r="G602" s="59">
        <f t="shared" si="33"/>
        <v>0</v>
      </c>
      <c r="H602" s="70"/>
      <c r="I602" s="70"/>
      <c r="J602" s="60" t="e">
        <f>INT([2]DOWNTIME!$F984*1440)</f>
        <v>#REF!</v>
      </c>
      <c r="K602" s="60"/>
      <c r="L602" s="60"/>
    </row>
    <row r="603" spans="1:12" ht="14.25" hidden="1" customHeight="1">
      <c r="A603" s="72"/>
      <c r="B603" s="60"/>
      <c r="C603" s="60"/>
      <c r="D603" s="61"/>
      <c r="E603" s="61"/>
      <c r="F603" s="65">
        <f t="shared" si="32"/>
        <v>0</v>
      </c>
      <c r="G603" s="59">
        <f t="shared" si="33"/>
        <v>0</v>
      </c>
      <c r="H603" s="70"/>
      <c r="I603" s="70"/>
      <c r="J603" s="60" t="e">
        <f>INT([2]DOWNTIME!$F985*1440)</f>
        <v>#REF!</v>
      </c>
      <c r="K603" s="60"/>
      <c r="L603" s="60"/>
    </row>
    <row r="604" spans="1:12" ht="14.25" hidden="1" customHeight="1">
      <c r="A604" s="72"/>
      <c r="B604" s="60"/>
      <c r="C604" s="60"/>
      <c r="D604" s="61"/>
      <c r="E604" s="61"/>
      <c r="F604" s="65">
        <f t="shared" si="32"/>
        <v>0</v>
      </c>
      <c r="G604" s="59">
        <f t="shared" si="33"/>
        <v>0</v>
      </c>
      <c r="H604" s="70"/>
      <c r="I604" s="70"/>
      <c r="J604" s="60" t="e">
        <f>INT([2]DOWNTIME!$F986*1440)</f>
        <v>#REF!</v>
      </c>
      <c r="K604" s="60"/>
      <c r="L604" s="60"/>
    </row>
    <row r="605" spans="1:12" ht="14.25" hidden="1" customHeight="1">
      <c r="A605" s="72"/>
      <c r="B605" s="60"/>
      <c r="C605" s="60"/>
      <c r="D605" s="61"/>
      <c r="E605" s="61"/>
      <c r="F605" s="65">
        <f t="shared" si="32"/>
        <v>0</v>
      </c>
      <c r="G605" s="59">
        <f t="shared" si="33"/>
        <v>0</v>
      </c>
      <c r="H605" s="70"/>
      <c r="I605" s="70"/>
      <c r="J605" s="60" t="e">
        <f>INT([2]DOWNTIME!$F987*1440)</f>
        <v>#REF!</v>
      </c>
      <c r="K605" s="60"/>
      <c r="L605" s="60"/>
    </row>
    <row r="606" spans="1:12" ht="14.25" hidden="1" customHeight="1">
      <c r="A606" s="72"/>
      <c r="B606" s="60"/>
      <c r="C606" s="60"/>
      <c r="D606" s="61"/>
      <c r="E606" s="61"/>
      <c r="F606" s="65">
        <f t="shared" si="32"/>
        <v>0</v>
      </c>
      <c r="G606" s="59">
        <f t="shared" si="33"/>
        <v>0</v>
      </c>
      <c r="H606" s="70"/>
      <c r="I606" s="70"/>
      <c r="J606" s="60" t="e">
        <f>INT([2]DOWNTIME!$F988*1440)</f>
        <v>#REF!</v>
      </c>
      <c r="K606" s="60"/>
      <c r="L606" s="60"/>
    </row>
    <row r="607" spans="1:12" ht="14.25" hidden="1" customHeight="1">
      <c r="A607" s="72"/>
      <c r="B607" s="60"/>
      <c r="C607" s="60"/>
      <c r="D607" s="61"/>
      <c r="E607" s="61"/>
      <c r="F607" s="65">
        <f t="shared" si="32"/>
        <v>0</v>
      </c>
      <c r="G607" s="59">
        <f t="shared" si="33"/>
        <v>0</v>
      </c>
      <c r="H607" s="70"/>
      <c r="I607" s="70"/>
      <c r="J607" s="60" t="e">
        <f>INT([2]DOWNTIME!$F989*1440)</f>
        <v>#REF!</v>
      </c>
      <c r="K607" s="60"/>
      <c r="L607" s="60"/>
    </row>
    <row r="608" spans="1:12" ht="14.25" hidden="1" customHeight="1">
      <c r="A608" s="72"/>
      <c r="B608" s="60"/>
      <c r="C608" s="60"/>
      <c r="D608" s="61"/>
      <c r="E608" s="61"/>
      <c r="F608" s="65">
        <f t="shared" si="32"/>
        <v>0</v>
      </c>
      <c r="G608" s="59">
        <f t="shared" si="33"/>
        <v>0</v>
      </c>
      <c r="H608" s="70"/>
      <c r="I608" s="70"/>
      <c r="J608" s="60" t="e">
        <f>INT([2]DOWNTIME!$F990*1440)</f>
        <v>#REF!</v>
      </c>
      <c r="K608" s="60"/>
      <c r="L608" s="60"/>
    </row>
    <row r="609" spans="1:12" ht="14.25" hidden="1" customHeight="1">
      <c r="A609" s="72"/>
      <c r="B609" s="60"/>
      <c r="C609" s="60"/>
      <c r="D609" s="61"/>
      <c r="E609" s="61"/>
      <c r="F609" s="65">
        <f t="shared" si="32"/>
        <v>0</v>
      </c>
      <c r="G609" s="59">
        <f t="shared" si="33"/>
        <v>0</v>
      </c>
      <c r="H609" s="70"/>
      <c r="I609" s="70"/>
      <c r="J609" s="60" t="e">
        <f>INT([2]DOWNTIME!$F991*1440)</f>
        <v>#REF!</v>
      </c>
      <c r="K609" s="60"/>
      <c r="L609" s="60"/>
    </row>
    <row r="610" spans="1:12" ht="14.25" hidden="1" customHeight="1">
      <c r="A610" s="72"/>
      <c r="B610" s="60"/>
      <c r="C610" s="60"/>
      <c r="D610" s="61"/>
      <c r="E610" s="61"/>
      <c r="F610" s="65">
        <f t="shared" si="32"/>
        <v>0</v>
      </c>
      <c r="G610" s="59">
        <f t="shared" si="33"/>
        <v>0</v>
      </c>
      <c r="H610" s="70"/>
      <c r="I610" s="70"/>
      <c r="J610" s="60" t="e">
        <f>INT([2]DOWNTIME!$F992*1440)</f>
        <v>#REF!</v>
      </c>
      <c r="K610" s="60"/>
      <c r="L610" s="60"/>
    </row>
    <row r="611" spans="1:12" ht="14.25" hidden="1" customHeight="1">
      <c r="A611" s="72"/>
      <c r="B611" s="60"/>
      <c r="C611" s="60"/>
      <c r="D611" s="61"/>
      <c r="E611" s="61"/>
      <c r="F611" s="65">
        <f t="shared" si="32"/>
        <v>0</v>
      </c>
      <c r="G611" s="59">
        <f t="shared" si="33"/>
        <v>0</v>
      </c>
      <c r="H611" s="70"/>
      <c r="I611" s="70"/>
      <c r="J611" s="60" t="e">
        <f>INT([2]DOWNTIME!$F993*1440)</f>
        <v>#REF!</v>
      </c>
      <c r="K611" s="60"/>
      <c r="L611" s="60"/>
    </row>
    <row r="612" spans="1:12" ht="14.25" hidden="1" customHeight="1">
      <c r="A612" s="72"/>
      <c r="B612" s="60"/>
      <c r="C612" s="60"/>
      <c r="D612" s="61"/>
      <c r="E612" s="61"/>
      <c r="F612" s="65">
        <f t="shared" si="32"/>
        <v>0</v>
      </c>
      <c r="G612" s="59">
        <f t="shared" si="33"/>
        <v>0</v>
      </c>
      <c r="H612" s="70"/>
      <c r="I612" s="70"/>
      <c r="J612" s="60" t="e">
        <f>INT([2]DOWNTIME!$F994*1440)</f>
        <v>#REF!</v>
      </c>
      <c r="K612" s="60"/>
      <c r="L612" s="60"/>
    </row>
    <row r="613" spans="1:12" ht="14.25" hidden="1" customHeight="1">
      <c r="A613" s="72"/>
      <c r="B613" s="60"/>
      <c r="C613" s="60"/>
      <c r="D613" s="61"/>
      <c r="E613" s="61"/>
      <c r="F613" s="65">
        <f t="shared" si="32"/>
        <v>0</v>
      </c>
      <c r="G613" s="59">
        <f t="shared" si="33"/>
        <v>0</v>
      </c>
      <c r="H613" s="70"/>
      <c r="I613" s="70"/>
      <c r="J613" s="60" t="e">
        <f>INT([2]DOWNTIME!$F995*1440)</f>
        <v>#REF!</v>
      </c>
      <c r="K613" s="60"/>
      <c r="L613" s="60"/>
    </row>
    <row r="614" spans="1:12" ht="14.25" hidden="1" customHeight="1">
      <c r="A614" s="72"/>
      <c r="B614" s="60"/>
      <c r="C614" s="60"/>
      <c r="D614" s="61"/>
      <c r="E614" s="61"/>
      <c r="F614" s="65">
        <f t="shared" si="32"/>
        <v>0</v>
      </c>
      <c r="G614" s="59">
        <f t="shared" si="33"/>
        <v>0</v>
      </c>
      <c r="H614" s="70"/>
      <c r="I614" s="70"/>
      <c r="J614" s="60" t="e">
        <f>INT([2]DOWNTIME!$F996*1440)</f>
        <v>#REF!</v>
      </c>
      <c r="K614" s="60"/>
      <c r="L614" s="60"/>
    </row>
    <row r="615" spans="1:12" ht="14.25" hidden="1" customHeight="1">
      <c r="A615" s="72"/>
      <c r="B615" s="60"/>
      <c r="C615" s="60"/>
      <c r="D615" s="61"/>
      <c r="E615" s="61"/>
      <c r="F615" s="65">
        <f t="shared" si="32"/>
        <v>0</v>
      </c>
      <c r="G615" s="59">
        <f t="shared" si="33"/>
        <v>0</v>
      </c>
      <c r="H615" s="70"/>
      <c r="I615" s="70"/>
      <c r="J615" s="60" t="e">
        <f>INT([2]DOWNTIME!$F997*1440)</f>
        <v>#REF!</v>
      </c>
      <c r="K615" s="60"/>
      <c r="L615" s="60"/>
    </row>
    <row r="616" spans="1:12" ht="14.25" hidden="1" customHeight="1">
      <c r="A616" s="72"/>
      <c r="B616" s="60"/>
      <c r="C616" s="60"/>
      <c r="D616" s="61"/>
      <c r="E616" s="61"/>
      <c r="F616" s="65">
        <f t="shared" si="32"/>
        <v>0</v>
      </c>
      <c r="G616" s="59">
        <f t="shared" si="33"/>
        <v>0</v>
      </c>
      <c r="H616" s="70"/>
      <c r="I616" s="70"/>
      <c r="J616" s="60" t="e">
        <f>INT([2]DOWNTIME!$F998*1440)</f>
        <v>#REF!</v>
      </c>
      <c r="K616" s="60"/>
      <c r="L616" s="60"/>
    </row>
    <row r="617" spans="1:12" ht="14.25" hidden="1" customHeight="1">
      <c r="A617" s="72"/>
      <c r="B617" s="60"/>
      <c r="C617" s="60"/>
      <c r="D617" s="61"/>
      <c r="E617" s="61"/>
      <c r="F617" s="65">
        <f t="shared" si="32"/>
        <v>0</v>
      </c>
      <c r="G617" s="59">
        <f t="shared" si="33"/>
        <v>0</v>
      </c>
      <c r="H617" s="70"/>
      <c r="I617" s="70"/>
      <c r="J617" s="60" t="e">
        <f>INT([2]DOWNTIME!$F999*1440)</f>
        <v>#REF!</v>
      </c>
      <c r="K617" s="60"/>
      <c r="L617" s="60"/>
    </row>
    <row r="618" spans="1:12" ht="14.25" hidden="1" customHeight="1">
      <c r="A618" s="72"/>
      <c r="B618" s="60"/>
      <c r="C618" s="60"/>
      <c r="D618" s="61"/>
      <c r="E618" s="61"/>
      <c r="F618" s="65">
        <f t="shared" si="32"/>
        <v>0</v>
      </c>
      <c r="G618" s="59">
        <f t="shared" si="33"/>
        <v>0</v>
      </c>
      <c r="H618" s="70"/>
      <c r="I618" s="70"/>
      <c r="J618" s="60" t="e">
        <f>INT([2]DOWNTIME!$F1000*1440)</f>
        <v>#REF!</v>
      </c>
      <c r="K618" s="60"/>
      <c r="L618" s="60"/>
    </row>
    <row r="619" spans="1:12" ht="14.25" hidden="1" customHeight="1">
      <c r="A619" s="72"/>
      <c r="B619" s="60"/>
      <c r="C619" s="60"/>
      <c r="D619" s="61"/>
      <c r="E619" s="61"/>
      <c r="F619" s="65">
        <f t="shared" si="32"/>
        <v>0</v>
      </c>
      <c r="G619" s="59">
        <f t="shared" si="33"/>
        <v>0</v>
      </c>
      <c r="H619" s="70"/>
      <c r="I619" s="70"/>
      <c r="J619" s="60" t="e">
        <f>INT([2]DOWNTIME!$F1001*1440)</f>
        <v>#REF!</v>
      </c>
      <c r="K619" s="60"/>
      <c r="L619" s="60"/>
    </row>
    <row r="620" spans="1:12" ht="14.25" hidden="1" customHeight="1">
      <c r="A620" s="72"/>
      <c r="B620" s="60"/>
      <c r="C620" s="60"/>
      <c r="D620" s="61"/>
      <c r="E620" s="61"/>
      <c r="F620" s="65">
        <f t="shared" si="32"/>
        <v>0</v>
      </c>
      <c r="G620" s="59">
        <f t="shared" si="33"/>
        <v>0</v>
      </c>
      <c r="H620" s="70"/>
      <c r="I620" s="70"/>
      <c r="J620" s="60" t="e">
        <f>INT([2]DOWNTIME!$F1002*1440)</f>
        <v>#REF!</v>
      </c>
      <c r="K620" s="60"/>
      <c r="L620" s="60"/>
    </row>
    <row r="621" spans="1:12" ht="14.25" hidden="1" customHeight="1">
      <c r="A621" s="72"/>
      <c r="B621" s="60"/>
      <c r="C621" s="60"/>
      <c r="D621" s="61"/>
      <c r="E621" s="61"/>
      <c r="F621" s="65">
        <f t="shared" si="32"/>
        <v>0</v>
      </c>
      <c r="G621" s="59">
        <f t="shared" si="33"/>
        <v>0</v>
      </c>
      <c r="H621" s="70"/>
      <c r="I621" s="70"/>
      <c r="J621" s="60" t="e">
        <f>INT([2]DOWNTIME!$F1003*1440)</f>
        <v>#REF!</v>
      </c>
      <c r="K621" s="60"/>
      <c r="L621" s="60"/>
    </row>
    <row r="622" spans="1:12" ht="14.25" hidden="1" customHeight="1">
      <c r="A622" s="72"/>
      <c r="B622" s="60"/>
      <c r="C622" s="60"/>
      <c r="D622" s="61"/>
      <c r="E622" s="61"/>
      <c r="F622" s="65">
        <f t="shared" si="32"/>
        <v>0</v>
      </c>
      <c r="G622" s="59">
        <f t="shared" si="33"/>
        <v>0</v>
      </c>
      <c r="H622" s="70"/>
      <c r="I622" s="70"/>
      <c r="J622" s="60" t="e">
        <f>INT([2]DOWNTIME!$F1004*1440)</f>
        <v>#REF!</v>
      </c>
      <c r="K622" s="60"/>
      <c r="L622" s="60"/>
    </row>
    <row r="623" spans="1:12" ht="14.25" hidden="1" customHeight="1">
      <c r="A623" s="72"/>
      <c r="B623" s="60"/>
      <c r="C623" s="60"/>
      <c r="D623" s="61"/>
      <c r="E623" s="61"/>
      <c r="F623" s="65">
        <f t="shared" si="32"/>
        <v>0</v>
      </c>
      <c r="G623" s="59">
        <f t="shared" si="33"/>
        <v>0</v>
      </c>
      <c r="H623" s="70"/>
      <c r="I623" s="70"/>
      <c r="J623" s="60" t="e">
        <f>INT([2]DOWNTIME!$F1005*1440)</f>
        <v>#REF!</v>
      </c>
      <c r="K623" s="60"/>
      <c r="L623" s="60"/>
    </row>
    <row r="624" spans="1:12" ht="14.25" hidden="1" customHeight="1">
      <c r="A624" s="72"/>
      <c r="B624" s="60"/>
      <c r="C624" s="60"/>
      <c r="D624" s="61"/>
      <c r="E624" s="61"/>
      <c r="F624" s="65">
        <f t="shared" si="32"/>
        <v>0</v>
      </c>
      <c r="G624" s="59">
        <f t="shared" si="33"/>
        <v>0</v>
      </c>
      <c r="H624" s="70"/>
      <c r="I624" s="70"/>
      <c r="J624" s="60" t="e">
        <f>INT([2]DOWNTIME!$F1006*1440)</f>
        <v>#REF!</v>
      </c>
      <c r="K624" s="60"/>
      <c r="L624" s="60"/>
    </row>
    <row r="625" spans="1:12" ht="14.25" hidden="1" customHeight="1">
      <c r="A625" s="72"/>
      <c r="B625" s="60"/>
      <c r="C625" s="60"/>
      <c r="D625" s="61"/>
      <c r="E625" s="61"/>
      <c r="F625" s="65">
        <f t="shared" si="32"/>
        <v>0</v>
      </c>
      <c r="G625" s="59">
        <f t="shared" si="33"/>
        <v>0</v>
      </c>
      <c r="H625" s="70"/>
      <c r="I625" s="70"/>
      <c r="J625" s="60" t="e">
        <f>INT([2]DOWNTIME!$F1007*1440)</f>
        <v>#REF!</v>
      </c>
      <c r="K625" s="60"/>
      <c r="L625" s="60"/>
    </row>
    <row r="626" spans="1:12" ht="14.25" hidden="1" customHeight="1">
      <c r="A626" s="72"/>
      <c r="B626" s="60"/>
      <c r="C626" s="60"/>
      <c r="D626" s="61"/>
      <c r="E626" s="61"/>
      <c r="F626" s="65">
        <f t="shared" si="32"/>
        <v>0</v>
      </c>
      <c r="G626" s="59">
        <f t="shared" si="33"/>
        <v>0</v>
      </c>
      <c r="H626" s="70"/>
      <c r="I626" s="70"/>
      <c r="J626" s="60" t="e">
        <f>INT([2]DOWNTIME!$F1008*1440)</f>
        <v>#REF!</v>
      </c>
      <c r="K626" s="60"/>
      <c r="L626" s="60"/>
    </row>
    <row r="627" spans="1:12" ht="14.25" hidden="1" customHeight="1">
      <c r="A627" s="72"/>
      <c r="B627" s="60"/>
      <c r="C627" s="60"/>
      <c r="D627" s="61"/>
      <c r="E627" s="61"/>
      <c r="F627" s="65">
        <f t="shared" si="32"/>
        <v>0</v>
      </c>
      <c r="G627" s="59">
        <f t="shared" si="33"/>
        <v>0</v>
      </c>
      <c r="H627" s="70"/>
      <c r="I627" s="70"/>
      <c r="J627" s="60" t="e">
        <f>INT([2]DOWNTIME!$F1009*1440)</f>
        <v>#REF!</v>
      </c>
      <c r="K627" s="60"/>
      <c r="L627" s="60"/>
    </row>
    <row r="628" spans="1:12" ht="14.25" hidden="1" customHeight="1">
      <c r="A628" s="72"/>
      <c r="B628" s="60"/>
      <c r="C628" s="60"/>
      <c r="D628" s="61"/>
      <c r="E628" s="61"/>
      <c r="F628" s="65">
        <f t="shared" si="32"/>
        <v>0</v>
      </c>
      <c r="G628" s="59">
        <f t="shared" si="33"/>
        <v>0</v>
      </c>
      <c r="H628" s="70"/>
      <c r="I628" s="70"/>
      <c r="J628" s="60" t="e">
        <f>INT([2]DOWNTIME!$F1010*1440)</f>
        <v>#REF!</v>
      </c>
      <c r="K628" s="60"/>
      <c r="L628" s="60"/>
    </row>
    <row r="629" spans="1:12" ht="14.25" hidden="1" customHeight="1">
      <c r="A629" s="72"/>
      <c r="B629" s="60"/>
      <c r="C629" s="60"/>
      <c r="D629" s="61"/>
      <c r="E629" s="61"/>
      <c r="F629" s="65">
        <f t="shared" si="32"/>
        <v>0</v>
      </c>
      <c r="G629" s="59">
        <f t="shared" si="33"/>
        <v>0</v>
      </c>
      <c r="H629" s="70"/>
      <c r="I629" s="70"/>
      <c r="J629" s="60" t="e">
        <f>INT([2]DOWNTIME!$F1011*1440)</f>
        <v>#REF!</v>
      </c>
      <c r="K629" s="60"/>
      <c r="L629" s="60"/>
    </row>
    <row r="630" spans="1:12" ht="14.25" hidden="1" customHeight="1">
      <c r="A630" s="72"/>
      <c r="B630" s="60"/>
      <c r="C630" s="60"/>
      <c r="D630" s="61"/>
      <c r="E630" s="61"/>
      <c r="F630" s="65">
        <f t="shared" si="32"/>
        <v>0</v>
      </c>
      <c r="G630" s="59">
        <f t="shared" si="33"/>
        <v>0</v>
      </c>
      <c r="H630" s="70"/>
      <c r="I630" s="70"/>
      <c r="J630" s="60" t="e">
        <f>INT([2]DOWNTIME!$F1012*1440)</f>
        <v>#REF!</v>
      </c>
      <c r="K630" s="60"/>
      <c r="L630" s="60"/>
    </row>
    <row r="631" spans="1:12" ht="14.25" hidden="1" customHeight="1">
      <c r="A631" s="72"/>
      <c r="B631" s="60"/>
      <c r="C631" s="60"/>
      <c r="D631" s="61"/>
      <c r="E631" s="61"/>
      <c r="F631" s="65">
        <f t="shared" si="32"/>
        <v>0</v>
      </c>
      <c r="G631" s="59">
        <f t="shared" si="33"/>
        <v>0</v>
      </c>
      <c r="H631" s="70"/>
      <c r="I631" s="70"/>
      <c r="J631" s="60" t="e">
        <f>INT([2]DOWNTIME!$F1013*1440)</f>
        <v>#REF!</v>
      </c>
      <c r="K631" s="60"/>
      <c r="L631" s="60"/>
    </row>
    <row r="632" spans="1:12">
      <c r="L632" s="56" t="s">
        <v>135</v>
      </c>
    </row>
  </sheetData>
  <conditionalFormatting sqref="F1:F631">
    <cfRule type="cellIs" dxfId="1" priority="7" operator="greaterThan">
      <formula>0.05</formula>
    </cfRule>
    <cfRule type="cellIs" dxfId="0" priority="8" operator="greaterThan">
      <formula>0.01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32"/>
  <sheetViews>
    <sheetView workbookViewId="0">
      <selection activeCell="C15" sqref="C15"/>
    </sheetView>
  </sheetViews>
  <sheetFormatPr defaultRowHeight="21.75"/>
  <cols>
    <col min="1" max="1" width="3.28515625" customWidth="1"/>
    <col min="2" max="2" width="70.7109375" customWidth="1"/>
    <col min="3" max="3" width="37.140625" customWidth="1"/>
    <col min="4" max="4" width="29.5703125" customWidth="1"/>
    <col min="5" max="5" width="67.42578125" customWidth="1"/>
  </cols>
  <sheetData>
    <row r="2" spans="2:5">
      <c r="B2" s="4" t="s">
        <v>0</v>
      </c>
      <c r="C2" s="4" t="s">
        <v>1</v>
      </c>
      <c r="D2" s="4" t="s">
        <v>2</v>
      </c>
      <c r="E2" s="4" t="s">
        <v>3</v>
      </c>
    </row>
    <row r="3" spans="2:5">
      <c r="B3" s="2" t="s">
        <v>4</v>
      </c>
      <c r="C3" s="1" t="s">
        <v>5</v>
      </c>
      <c r="D3" s="1" t="s">
        <v>6</v>
      </c>
      <c r="E3" s="1" t="s">
        <v>7</v>
      </c>
    </row>
    <row r="4" spans="2:5" ht="43.5">
      <c r="B4" s="2" t="s">
        <v>8</v>
      </c>
      <c r="C4" s="1" t="s">
        <v>5</v>
      </c>
      <c r="D4" s="1" t="s">
        <v>9</v>
      </c>
      <c r="E4" s="1" t="s">
        <v>10</v>
      </c>
    </row>
    <row r="5" spans="2:5">
      <c r="B5" s="2" t="s">
        <v>11</v>
      </c>
      <c r="C5" s="1" t="s">
        <v>5</v>
      </c>
      <c r="D5" s="2" t="s">
        <v>12</v>
      </c>
      <c r="E5" s="1" t="s">
        <v>13</v>
      </c>
    </row>
    <row r="6" spans="2:5">
      <c r="B6" s="2" t="s">
        <v>14</v>
      </c>
      <c r="C6" s="1" t="s">
        <v>5</v>
      </c>
      <c r="D6" s="1"/>
      <c r="E6" s="1"/>
    </row>
    <row r="7" spans="2:5">
      <c r="B7" s="1" t="s">
        <v>15</v>
      </c>
      <c r="C7" s="1" t="s">
        <v>5</v>
      </c>
      <c r="D7" s="1"/>
      <c r="E7" s="1" t="s">
        <v>16</v>
      </c>
    </row>
    <row r="8" spans="2:5">
      <c r="B8" s="1" t="s">
        <v>17</v>
      </c>
      <c r="C8" s="1" t="s">
        <v>5</v>
      </c>
      <c r="D8" s="1"/>
      <c r="E8" s="1" t="s">
        <v>18</v>
      </c>
    </row>
    <row r="9" spans="2:5">
      <c r="B9" s="1" t="s">
        <v>19</v>
      </c>
      <c r="C9" s="1" t="s">
        <v>5</v>
      </c>
      <c r="D9" s="1"/>
      <c r="E9" s="1" t="s">
        <v>20</v>
      </c>
    </row>
    <row r="10" spans="2:5">
      <c r="B10" s="1" t="s">
        <v>21</v>
      </c>
      <c r="C10" s="1" t="s">
        <v>5</v>
      </c>
      <c r="D10" s="1"/>
      <c r="E10" s="1"/>
    </row>
    <row r="11" spans="2:5">
      <c r="B11" s="2" t="s">
        <v>22</v>
      </c>
      <c r="C11" s="1" t="s">
        <v>5</v>
      </c>
      <c r="D11" s="1"/>
      <c r="E11" s="1"/>
    </row>
    <row r="12" spans="2:5">
      <c r="B12" s="1" t="s">
        <v>23</v>
      </c>
      <c r="C12" s="1" t="s">
        <v>5</v>
      </c>
      <c r="D12" s="1"/>
      <c r="E12" s="1" t="s">
        <v>24</v>
      </c>
    </row>
    <row r="13" spans="2:5">
      <c r="B13" s="1" t="s">
        <v>25</v>
      </c>
      <c r="C13" s="1" t="s">
        <v>5</v>
      </c>
      <c r="D13" s="1"/>
      <c r="E13" s="1" t="s">
        <v>26</v>
      </c>
    </row>
    <row r="14" spans="2:5">
      <c r="B14" s="1" t="s">
        <v>27</v>
      </c>
      <c r="C14" s="1" t="s">
        <v>5</v>
      </c>
      <c r="D14" s="1"/>
      <c r="E14" s="1" t="s">
        <v>28</v>
      </c>
    </row>
    <row r="15" spans="2:5">
      <c r="B15" s="1" t="s">
        <v>29</v>
      </c>
      <c r="C15" s="1" t="s">
        <v>5</v>
      </c>
      <c r="D15" s="1"/>
      <c r="E15" s="1" t="s">
        <v>30</v>
      </c>
    </row>
    <row r="16" spans="2:5">
      <c r="B16" s="1" t="s">
        <v>31</v>
      </c>
      <c r="C16" s="1" t="s">
        <v>5</v>
      </c>
      <c r="D16" s="1"/>
      <c r="E16" s="1" t="s">
        <v>32</v>
      </c>
    </row>
    <row r="17" spans="2:5">
      <c r="B17" s="1" t="s">
        <v>21</v>
      </c>
      <c r="C17" s="1" t="s">
        <v>5</v>
      </c>
      <c r="D17" s="1"/>
      <c r="E17" s="1"/>
    </row>
    <row r="18" spans="2:5">
      <c r="B18" s="2" t="s">
        <v>33</v>
      </c>
      <c r="C18" s="1" t="s">
        <v>5</v>
      </c>
      <c r="D18" s="2" t="s">
        <v>34</v>
      </c>
      <c r="E18" s="1" t="s">
        <v>35</v>
      </c>
    </row>
    <row r="19" spans="2:5">
      <c r="B19" s="2" t="s">
        <v>36</v>
      </c>
      <c r="C19" s="1" t="s">
        <v>5</v>
      </c>
      <c r="D19" s="2" t="s">
        <v>37</v>
      </c>
      <c r="E19" s="1" t="s">
        <v>38</v>
      </c>
    </row>
    <row r="20" spans="2:5">
      <c r="B20" s="3" t="s">
        <v>39</v>
      </c>
    </row>
    <row r="21" spans="2:5">
      <c r="B21" s="1" t="s">
        <v>0</v>
      </c>
      <c r="C21" s="1" t="s">
        <v>1</v>
      </c>
      <c r="D21" s="1" t="s">
        <v>40</v>
      </c>
      <c r="E21" s="1" t="s">
        <v>3</v>
      </c>
    </row>
    <row r="22" spans="2:5">
      <c r="B22" s="2" t="s">
        <v>41</v>
      </c>
      <c r="C22" s="1" t="s">
        <v>42</v>
      </c>
      <c r="D22" s="1"/>
      <c r="E22" s="1" t="s">
        <v>43</v>
      </c>
    </row>
    <row r="23" spans="2:5">
      <c r="B23" s="2" t="s">
        <v>44</v>
      </c>
      <c r="C23" s="1" t="s">
        <v>42</v>
      </c>
      <c r="D23" s="1"/>
      <c r="E23" s="1" t="s">
        <v>45</v>
      </c>
    </row>
    <row r="24" spans="2:5">
      <c r="B24" s="2" t="s">
        <v>46</v>
      </c>
      <c r="C24" s="1" t="s">
        <v>42</v>
      </c>
      <c r="D24" s="2" t="s">
        <v>47</v>
      </c>
      <c r="E24" s="1" t="s">
        <v>48</v>
      </c>
    </row>
    <row r="25" spans="2:5">
      <c r="B25" s="2" t="s">
        <v>49</v>
      </c>
      <c r="C25" s="1" t="s">
        <v>42</v>
      </c>
      <c r="D25" s="2" t="s">
        <v>50</v>
      </c>
      <c r="E25" s="1" t="s">
        <v>51</v>
      </c>
    </row>
    <row r="26" spans="2:5">
      <c r="B26" s="3" t="s">
        <v>52</v>
      </c>
    </row>
    <row r="27" spans="2:5">
      <c r="B27" s="1" t="s">
        <v>0</v>
      </c>
      <c r="C27" s="1" t="s">
        <v>53</v>
      </c>
      <c r="D27" s="1"/>
    </row>
    <row r="28" spans="2:5">
      <c r="B28" s="2" t="s">
        <v>54</v>
      </c>
      <c r="C28" s="1" t="s">
        <v>55</v>
      </c>
      <c r="D28" s="1"/>
    </row>
    <row r="29" spans="2:5">
      <c r="B29" s="214" t="s">
        <v>56</v>
      </c>
      <c r="C29" s="1" t="s">
        <v>57</v>
      </c>
      <c r="D29" s="215"/>
    </row>
    <row r="30" spans="2:5">
      <c r="B30" s="214"/>
      <c r="C30" s="1" t="s">
        <v>58</v>
      </c>
      <c r="D30" s="215"/>
    </row>
    <row r="31" spans="2:5">
      <c r="B31" s="2" t="s">
        <v>59</v>
      </c>
      <c r="C31" s="1" t="s">
        <v>60</v>
      </c>
      <c r="D31" s="1"/>
    </row>
    <row r="32" spans="2:5">
      <c r="B32" s="2" t="s">
        <v>61</v>
      </c>
      <c r="C32" s="1" t="s">
        <v>62</v>
      </c>
      <c r="D32" s="1"/>
    </row>
  </sheetData>
  <mergeCells count="2">
    <mergeCell ref="B29:B30"/>
    <mergeCell ref="D29:D30"/>
  </mergeCells>
  <pageMargins left="0.17" right="0.17" top="0.17" bottom="0.17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OEE AHV</vt:lpstr>
      <vt:lpstr>AHV-01</vt:lpstr>
      <vt:lpstr>AHV-02</vt:lpstr>
      <vt:lpstr>AHV-03</vt:lpstr>
      <vt:lpstr>AHV-04</vt:lpstr>
      <vt:lpstr>AHV-05</vt:lpstr>
      <vt:lpstr>AHV-06</vt:lpstr>
      <vt:lpstr>Downtime record</vt:lpstr>
      <vt:lpstr>EXPLAINTION</vt:lpstr>
      <vt:lpstr>'OEE AHV'!Print_Area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bpm9354</dc:creator>
  <cp:lastModifiedBy>FDB-MM-024</cp:lastModifiedBy>
  <cp:lastPrinted>2026-01-13T00:53:45Z</cp:lastPrinted>
  <dcterms:created xsi:type="dcterms:W3CDTF">2025-07-23T04:29:53Z</dcterms:created>
  <dcterms:modified xsi:type="dcterms:W3CDTF">2026-03-05T08:20:03Z</dcterms:modified>
</cp:coreProperties>
</file>